
<file path=[Content_Types].xml><?xml version="1.0" encoding="utf-8"?>
<Types xmlns="http://schemas.openxmlformats.org/package/2006/content-types">
  <Override PartName="/xl/activeX/activeX4.bin" ContentType="application/vnd.ms-office.activeX"/>
  <Override PartName="/xl/activeX/activeX9.xml" ContentType="application/vnd.ms-office.activeX+xml"/>
  <Override PartName="/xl/activeX/activeX25.bin" ContentType="application/vnd.ms-office.activeX"/>
  <Override PartName="/xl/styles.xml" ContentType="application/vnd.openxmlformats-officedocument.spreadsheetml.styles+xml"/>
  <Override PartName="/xl/charts/chart4.xml" ContentType="application/vnd.openxmlformats-officedocument.drawingml.chart+xml"/>
  <Override PartName="/xl/activeX/activeX14.bin" ContentType="application/vnd.ms-office.activeX"/>
  <Override PartName="/xl/activeX/activeX19.xml" ContentType="application/vnd.ms-office.activeX+xml"/>
  <Override PartName="/xl/drawings/drawing6.xml" ContentType="application/vnd.openxmlformats-officedocument.drawing+xml"/>
  <Override PartName="/xl/activeX/activeX32.bin" ContentType="application/vnd.ms-office.activeX"/>
  <Override PartName="/xl/worksheets/sheet7.xml" ContentType="application/vnd.openxmlformats-officedocument.spreadsheetml.worksheet+xml"/>
  <Override PartName="/xl/activeX/activeX5.xml" ContentType="application/vnd.ms-office.activeX+xml"/>
  <Override PartName="/xl/activeX/activeX21.bin" ContentType="application/vnd.ms-office.activeX"/>
  <Override PartName="/xl/vbaProject.bin" ContentType="application/vnd.ms-office.vbaProject"/>
  <Default Extension="xml" ContentType="application/xml"/>
  <Override PartName="/xl/drawings/drawing2.xml" ContentType="application/vnd.openxmlformats-officedocument.drawing+xml"/>
  <Override PartName="/xl/activeX/activeX10.bin" ContentType="application/vnd.ms-office.activeX"/>
  <Override PartName="/xl/activeX/activeX15.xml" ContentType="application/vnd.ms-office.activeX+xml"/>
  <Override PartName="/xl/activeX/activeX26.xml" ContentType="application/vnd.ms-office.activeX+xml"/>
  <Override PartName="/xl/worksheets/sheet3.xml" ContentType="application/vnd.openxmlformats-officedocument.spreadsheetml.worksheet+xml"/>
  <Override PartName="/xl/activeX/activeX1.xml" ContentType="application/vnd.ms-office.activeX+xml"/>
  <Override PartName="/xl/activeX/activeX22.xml" ContentType="application/vnd.ms-office.activeX+xml"/>
  <Override PartName="/xl/charts/chart27.xml" ContentType="application/vnd.openxmlformats-officedocument.drawingml.chart+xml"/>
  <Override PartName="/xl/activeX/activeX33.xml" ContentType="application/vnd.ms-office.activeX+xml"/>
  <Override PartName="/xl/activeX/activeX9.bin" ContentType="application/vnd.ms-office.activeX"/>
  <Override PartName="/xl/activeX/activeX11.xml" ContentType="application/vnd.ms-office.activeX+xml"/>
  <Override PartName="/xl/charts/chart16.xml" ContentType="application/vnd.openxmlformats-officedocument.drawingml.chart+xml"/>
  <Override PartName="/xl/charts/chart34.xml" ContentType="application/vnd.openxmlformats-officedocument.drawingml.chart+xml"/>
  <Override PartName="/xl/sharedStrings.xml" ContentType="application/vnd.openxmlformats-officedocument.spreadsheetml.sharedStrings+xml"/>
  <Override PartName="/xl/activeX/activeX7.bin" ContentType="application/vnd.ms-office.activeX"/>
  <Override PartName="/xl/charts/chart14.xml" ContentType="application/vnd.openxmlformats-officedocument.drawingml.chart+xml"/>
  <Override PartName="/xl/activeX/activeX19.bin" ContentType="application/vnd.ms-office.activeX"/>
  <Override PartName="/xl/charts/chart23.xml" ContentType="application/vnd.openxmlformats-officedocument.drawingml.chart+xml"/>
  <Override PartName="/xl/charts/chart32.xml" ContentType="application/vnd.openxmlformats-officedocument.drawingml.chart+xml"/>
  <Override PartName="/xl/activeX/activeX5.bin" ContentType="application/vnd.ms-office.activeX"/>
  <Override PartName="/xl/charts/chart9.xml" ContentType="application/vnd.openxmlformats-officedocument.drawingml.chart+xml"/>
  <Override PartName="/xl/charts/chart12.xml" ContentType="application/vnd.openxmlformats-officedocument.drawingml.chart+xml"/>
  <Override PartName="/xl/activeX/activeX17.bin" ContentType="application/vnd.ms-office.activeX"/>
  <Override PartName="/xl/charts/chart21.xml" ContentType="application/vnd.openxmlformats-officedocument.drawingml.chart+xml"/>
  <Override PartName="/xl/activeX/activeX28.bin" ContentType="application/vnd.ms-office.activeX"/>
  <Override PartName="/xl/charts/chart30.xml" ContentType="application/vnd.openxmlformats-officedocument.drawingml.chart+xml"/>
  <Default Extension="bin" ContentType="application/vnd.openxmlformats-officedocument.spreadsheetml.printerSettings"/>
  <Override PartName="/xl/activeX/activeX3.bin" ContentType="application/vnd.ms-office.activeX"/>
  <Override PartName="/xl/charts/chart7.xml" ContentType="application/vnd.openxmlformats-officedocument.drawingml.chart+xml"/>
  <Override PartName="/xl/charts/chart10.xml" ContentType="application/vnd.openxmlformats-officedocument.drawingml.chart+xml"/>
  <Override PartName="/xl/activeX/activeX15.bin" ContentType="application/vnd.ms-office.activeX"/>
  <Override PartName="/xl/activeX/activeX26.bin" ContentType="application/vnd.ms-office.activeX"/>
  <Override PartName="/xl/activeX/activeX1.bin" ContentType="application/vnd.ms-office.activeX"/>
  <Override PartName="/xl/charts/chart5.xml" ContentType="application/vnd.openxmlformats-officedocument.drawingml.chart+xml"/>
  <Override PartName="/xl/activeX/activeX8.xml" ContentType="application/vnd.ms-office.activeX+xml"/>
  <Override PartName="/xl/activeX/activeX13.bin" ContentType="application/vnd.ms-office.activeX"/>
  <Override PartName="/xl/drawings/drawing7.xml" ContentType="application/vnd.openxmlformats-officedocument.drawing+xml"/>
  <Override PartName="/xl/activeX/activeX22.bin" ContentType="application/vnd.ms-office.activeX"/>
  <Override PartName="/xl/activeX/activeX24.bin" ContentType="application/vnd.ms-office.activeX"/>
  <Override PartName="/xl/activeX/activeX29.xml" ContentType="application/vnd.ms-office.activeX+xml"/>
  <Override PartName="/xl/activeX/activeX33.bin" ContentType="application/vnd.ms-office.activeX"/>
  <Override PartName="/xl/worksheets/sheet6.xml" ContentType="application/vnd.openxmlformats-officedocument.spreadsheetml.worksheet+xml"/>
  <Override PartName="/xl/worksheets/sheet8.xml" ContentType="application/vnd.openxmlformats-officedocument.spreadsheetml.worksheet+xml"/>
  <Override PartName="/xl/charts/chart3.xml" ContentType="application/vnd.openxmlformats-officedocument.drawingml.chart+xml"/>
  <Override PartName="/xl/activeX/activeX6.xml" ContentType="application/vnd.ms-office.activeX+xml"/>
  <Default Extension="emf" ContentType="image/x-emf"/>
  <Override PartName="/xl/activeX/activeX11.bin" ContentType="application/vnd.ms-office.activeX"/>
  <Override PartName="/xl/drawings/drawing5.xml" ContentType="application/vnd.openxmlformats-officedocument.drawing+xml"/>
  <Override PartName="/xl/activeX/activeX18.xml" ContentType="application/vnd.ms-office.activeX+xml"/>
  <Override PartName="/xl/activeX/activeX20.bin" ContentType="application/vnd.ms-office.activeX"/>
  <Override PartName="/xl/activeX/activeX27.xml" ContentType="application/vnd.ms-office.activeX+xml"/>
  <Override PartName="/xl/activeX/activeX31.bin" ContentType="application/vnd.ms-office.activeX"/>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activeX/activeX2.xml" ContentType="application/vnd.ms-office.activeX+xml"/>
  <Override PartName="/xl/activeX/activeX4.xml" ContentType="application/vnd.ms-office.activeX+xml"/>
  <Override PartName="/xl/drawings/drawing3.xml" ContentType="application/vnd.openxmlformats-officedocument.drawing+xml"/>
  <Override PartName="/xl/activeX/activeX16.xml" ContentType="application/vnd.ms-office.activeX+xml"/>
  <Override PartName="/xl/activeX/activeX25.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charts/chart19.xml" ContentType="application/vnd.openxmlformats-officedocument.drawingml.chart+xml"/>
  <Override PartName="/xl/activeX/activeX23.xml" ContentType="application/vnd.ms-office.activeX+xml"/>
  <Override PartName="/xl/charts/chart28.xml" ContentType="application/vnd.openxmlformats-officedocument.drawingml.chart+xml"/>
  <Override PartName="/xl/activeX/activeX32.xml" ContentType="application/vnd.ms-office.activeX+xml"/>
  <Default Extension="vml" ContentType="application/vnd.openxmlformats-officedocument.vmlDrawing"/>
  <Override PartName="/xl/activeX/activeX12.xml" ContentType="application/vnd.ms-office.activeX+xml"/>
  <Override PartName="/xl/activeX/activeX21.xml" ContentType="application/vnd.ms-office.activeX+xml"/>
  <Override PartName="/xl/charts/chart17.xml" ContentType="application/vnd.openxmlformats-officedocument.drawingml.chart+xml"/>
  <Override PartName="/xl/charts/chart26.xml" ContentType="application/vnd.openxmlformats-officedocument.drawingml.chart+xml"/>
  <Override PartName="/xl/activeX/activeX30.xml" ContentType="application/vnd.ms-office.activeX+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activeX/activeX29.bin" ContentType="application/vnd.ms-office.activeX"/>
  <Override PartName="/xl/charts/chart33.xml" ContentType="application/vnd.openxmlformats-officedocument.drawingml.chart+xml"/>
  <Override PartName="/xl/activeX/activeX6.bin" ContentType="application/vnd.ms-office.activeX"/>
  <Override PartName="/xl/charts/chart8.xml" ContentType="application/vnd.openxmlformats-officedocument.drawingml.chart+xml"/>
  <Override PartName="/xl/charts/chart11.xml" ContentType="application/vnd.openxmlformats-officedocument.drawingml.chart+xml"/>
  <Override PartName="/xl/activeX/activeX18.bin" ContentType="application/vnd.ms-office.activeX"/>
  <Override PartName="/xl/charts/chart22.xml" ContentType="application/vnd.openxmlformats-officedocument.drawingml.chart+xml"/>
  <Override PartName="/xl/activeX/activeX27.bin" ContentType="application/vnd.ms-office.activeX"/>
  <Override PartName="/xl/charts/chart31.xml" ContentType="application/vnd.openxmlformats-officedocument.drawingml.chart+xml"/>
  <Override PartName="/docProps/core.xml" ContentType="application/vnd.openxmlformats-package.core-properties+xml"/>
  <Override PartName="/xl/activeX/activeX2.bin" ContentType="application/vnd.ms-office.activeX"/>
  <Override PartName="/xl/charts/chart6.xml" ContentType="application/vnd.openxmlformats-officedocument.drawingml.chart+xml"/>
  <Override PartName="/xl/activeX/activeX16.bin" ContentType="application/vnd.ms-office.activeX"/>
  <Override PartName="/xl/charts/chart20.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activeX/activeX7.xml" ContentType="application/vnd.ms-office.activeX+xml"/>
  <Override PartName="/xl/activeX/activeX23.bin" ContentType="application/vnd.ms-office.activeX"/>
  <Override PartName="/xl/drawings/drawing8.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activeX/activeX12.bin" ContentType="application/vnd.ms-office.activeX"/>
  <Override PartName="/xl/activeX/activeX17.xml" ContentType="application/vnd.ms-office.activeX+xml"/>
  <Override PartName="/xl/activeX/activeX28.xml" ContentType="application/vnd.ms-office.activeX+xml"/>
  <Override PartName="/xl/activeX/activeX30.bin" ContentType="application/vnd.ms-office.activeX"/>
  <Default Extension="rels" ContentType="application/vnd.openxmlformats-package.relationships+xml"/>
  <Override PartName="/xl/worksheets/sheet5.xml" ContentType="application/vnd.openxmlformats-officedocument.spreadsheetml.worksheet+xml"/>
  <Override PartName="/xl/activeX/activeX3.xml" ContentType="application/vnd.ms-office.activeX+xml"/>
  <Override PartName="/xl/activeX/activeX24.xml" ContentType="application/vnd.ms-office.activeX+xml"/>
  <Override PartName="/xl/charts/chart29.xml" ContentType="application/vnd.openxmlformats-officedocument.drawingml.chart+xml"/>
  <Override PartName="/xl/activeX/activeX13.xml" ContentType="application/vnd.ms-office.activeX+xml"/>
  <Override PartName="/xl/charts/chart18.xml" ContentType="application/vnd.openxmlformats-officedocument.drawingml.chart+xml"/>
  <Override PartName="/xl/worksheets/sheet1.xml" ContentType="application/vnd.openxmlformats-officedocument.spreadsheetml.worksheet+xml"/>
  <Override PartName="/xl/activeX/activeX20.xml" ContentType="application/vnd.ms-office.activeX+xml"/>
  <Override PartName="/xl/charts/chart25.xml" ContentType="application/vnd.openxmlformats-officedocument.drawingml.chart+xml"/>
  <Override PartName="/xl/activeX/activeX31.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9360" windowHeight="12240" tabRatio="859" firstSheet="1" activeTab="8"/>
  </bookViews>
  <sheets>
    <sheet name="Instructions" sheetId="21" r:id="rId1"/>
    <sheet name="Timing -19 Cell" sheetId="22" r:id="rId2"/>
    <sheet name="Fuel - 18 Cell" sheetId="23" r:id="rId3"/>
    <sheet name="Timing - 21 Cell" sheetId="9" r:id="rId4"/>
    <sheet name="Fuel - 20 Cell" sheetId="8" r:id="rId5"/>
    <sheet name="Fuel - BIG MAP" sheetId="28" r:id="rId6"/>
    <sheet name="Timing - BIG MAP" sheetId="27" r:id="rId7"/>
    <sheet name="MIVEC - 20 Cell" sheetId="24" r:id="rId8"/>
    <sheet name="MIVEC - 19 Cell" sheetId="26" r:id="rId9"/>
    <sheet name="ChangeLog" sheetId="25" r:id="rId10"/>
  </sheets>
  <calcPr calcId="125725"/>
</workbook>
</file>

<file path=xl/calcChain.xml><?xml version="1.0" encoding="utf-8"?>
<calcChain xmlns="http://schemas.openxmlformats.org/spreadsheetml/2006/main">
  <c r="CB51" i="28"/>
  <c r="CC51"/>
  <c r="CD51"/>
  <c r="CE51"/>
  <c r="CF51"/>
  <c r="CG51"/>
  <c r="CH51"/>
  <c r="CI51"/>
  <c r="CJ51"/>
  <c r="CK51"/>
  <c r="CL51"/>
  <c r="CM51"/>
  <c r="CN51"/>
  <c r="CO51"/>
  <c r="CP51"/>
  <c r="CQ51"/>
  <c r="CR51"/>
  <c r="CS51"/>
  <c r="CT51"/>
  <c r="CU51"/>
  <c r="CV51"/>
  <c r="CW51"/>
  <c r="CX51"/>
  <c r="CY51"/>
  <c r="CZ51"/>
  <c r="DA51"/>
  <c r="DB51"/>
  <c r="DC51"/>
  <c r="DD51"/>
  <c r="CB52"/>
  <c r="CC52"/>
  <c r="CD52"/>
  <c r="CE52"/>
  <c r="CF52"/>
  <c r="CG52"/>
  <c r="CH52"/>
  <c r="CI52"/>
  <c r="CJ52"/>
  <c r="CK52"/>
  <c r="CL52"/>
  <c r="CM52"/>
  <c r="CN52"/>
  <c r="CO52"/>
  <c r="CP52"/>
  <c r="CQ52"/>
  <c r="CR52"/>
  <c r="CS52"/>
  <c r="CT52"/>
  <c r="CU52"/>
  <c r="CV52"/>
  <c r="CW52"/>
  <c r="CX52"/>
  <c r="CY52"/>
  <c r="CZ52"/>
  <c r="DA52"/>
  <c r="DB52"/>
  <c r="DC52"/>
  <c r="DD52"/>
  <c r="CB53"/>
  <c r="CC53"/>
  <c r="CD53"/>
  <c r="CE53"/>
  <c r="CF53"/>
  <c r="CG53"/>
  <c r="CH53"/>
  <c r="CI53"/>
  <c r="CJ53"/>
  <c r="CK53"/>
  <c r="CL53"/>
  <c r="CM53"/>
  <c r="CN53"/>
  <c r="CO53"/>
  <c r="CP53"/>
  <c r="CQ53"/>
  <c r="CR53"/>
  <c r="CS53"/>
  <c r="CT53"/>
  <c r="CU53"/>
  <c r="CV53"/>
  <c r="CW53"/>
  <c r="CX53"/>
  <c r="CY53"/>
  <c r="CZ53"/>
  <c r="DA53"/>
  <c r="DB53"/>
  <c r="DC53"/>
  <c r="DD53"/>
  <c r="CB54"/>
  <c r="CC54"/>
  <c r="CD54"/>
  <c r="CE54"/>
  <c r="CF54"/>
  <c r="CG54"/>
  <c r="CH54"/>
  <c r="CI54"/>
  <c r="CJ54"/>
  <c r="CK54"/>
  <c r="CL54"/>
  <c r="CM54"/>
  <c r="CN54"/>
  <c r="CO54"/>
  <c r="CP54"/>
  <c r="CQ54"/>
  <c r="CR54"/>
  <c r="CS54"/>
  <c r="CT54"/>
  <c r="CU54"/>
  <c r="CV54"/>
  <c r="CW54"/>
  <c r="CX54"/>
  <c r="CY54"/>
  <c r="CZ54"/>
  <c r="DA54"/>
  <c r="DB54"/>
  <c r="DC54"/>
  <c r="DD54"/>
  <c r="CB55"/>
  <c r="CC55"/>
  <c r="CD55"/>
  <c r="CE55"/>
  <c r="CF55"/>
  <c r="CG55"/>
  <c r="CH55"/>
  <c r="CI55"/>
  <c r="CJ55"/>
  <c r="CK55"/>
  <c r="CL55"/>
  <c r="CM55"/>
  <c r="CN55"/>
  <c r="CO55"/>
  <c r="CP55"/>
  <c r="CQ55"/>
  <c r="CR55"/>
  <c r="CS55"/>
  <c r="CT55"/>
  <c r="CU55"/>
  <c r="CV55"/>
  <c r="CW55"/>
  <c r="CX55"/>
  <c r="CY55"/>
  <c r="CZ55"/>
  <c r="DA55"/>
  <c r="DB55"/>
  <c r="DC55"/>
  <c r="DD55"/>
  <c r="CB56"/>
  <c r="CC56"/>
  <c r="CD56"/>
  <c r="CE56"/>
  <c r="CF56"/>
  <c r="CG56"/>
  <c r="CH56"/>
  <c r="CI56"/>
  <c r="CJ56"/>
  <c r="CK56"/>
  <c r="CL56"/>
  <c r="CM56"/>
  <c r="CN56"/>
  <c r="CO56"/>
  <c r="CP56"/>
  <c r="CQ56"/>
  <c r="CR56"/>
  <c r="CS56"/>
  <c r="CT56"/>
  <c r="CU56"/>
  <c r="CV56"/>
  <c r="CW56"/>
  <c r="CX56"/>
  <c r="CY56"/>
  <c r="CZ56"/>
  <c r="DA56"/>
  <c r="DB56"/>
  <c r="DC56"/>
  <c r="DD56"/>
  <c r="CB57"/>
  <c r="CC57"/>
  <c r="CD57"/>
  <c r="CE57"/>
  <c r="CF57"/>
  <c r="CG57"/>
  <c r="CH57"/>
  <c r="CI57"/>
  <c r="CJ57"/>
  <c r="CK57"/>
  <c r="CL57"/>
  <c r="CM57"/>
  <c r="CN57"/>
  <c r="CO57"/>
  <c r="CP57"/>
  <c r="CQ57"/>
  <c r="CR57"/>
  <c r="CS57"/>
  <c r="CT57"/>
  <c r="CU57"/>
  <c r="CV57"/>
  <c r="CW57"/>
  <c r="CX57"/>
  <c r="CY57"/>
  <c r="CZ57"/>
  <c r="DA57"/>
  <c r="DB57"/>
  <c r="DC57"/>
  <c r="DD57"/>
  <c r="CB58"/>
  <c r="CC58"/>
  <c r="CD58"/>
  <c r="CE58"/>
  <c r="CF58"/>
  <c r="CG58"/>
  <c r="CH58"/>
  <c r="CI58"/>
  <c r="CJ58"/>
  <c r="CK58"/>
  <c r="CL58"/>
  <c r="CM58"/>
  <c r="CN58"/>
  <c r="CO58"/>
  <c r="CP58"/>
  <c r="CQ58"/>
  <c r="CR58"/>
  <c r="CS58"/>
  <c r="CT58"/>
  <c r="CU58"/>
  <c r="CV58"/>
  <c r="CW58"/>
  <c r="CX58"/>
  <c r="CY58"/>
  <c r="CZ58"/>
  <c r="DA58"/>
  <c r="DB58"/>
  <c r="DC58"/>
  <c r="DD58"/>
  <c r="CB59"/>
  <c r="CC59"/>
  <c r="CD59"/>
  <c r="CE59"/>
  <c r="CF59"/>
  <c r="CG59"/>
  <c r="CH59"/>
  <c r="CI59"/>
  <c r="CJ59"/>
  <c r="CK59"/>
  <c r="CL59"/>
  <c r="CM59"/>
  <c r="CN59"/>
  <c r="CO59"/>
  <c r="CP59"/>
  <c r="CQ59"/>
  <c r="CR59"/>
  <c r="CS59"/>
  <c r="CT59"/>
  <c r="CU59"/>
  <c r="CV59"/>
  <c r="CW59"/>
  <c r="CX59"/>
  <c r="CY59"/>
  <c r="CZ59"/>
  <c r="DA59"/>
  <c r="DB59"/>
  <c r="DC59"/>
  <c r="DD59"/>
  <c r="CB60"/>
  <c r="CC60"/>
  <c r="CD60"/>
  <c r="CE60"/>
  <c r="CF60"/>
  <c r="CG60"/>
  <c r="CH60"/>
  <c r="CI60"/>
  <c r="CJ60"/>
  <c r="CK60"/>
  <c r="CL60"/>
  <c r="CM60"/>
  <c r="CN60"/>
  <c r="CO60"/>
  <c r="CP60"/>
  <c r="CQ60"/>
  <c r="CR60"/>
  <c r="CS60"/>
  <c r="CT60"/>
  <c r="CU60"/>
  <c r="CV60"/>
  <c r="CW60"/>
  <c r="CX60"/>
  <c r="CY60"/>
  <c r="CZ60"/>
  <c r="DA60"/>
  <c r="DB60"/>
  <c r="DC60"/>
  <c r="DD60"/>
  <c r="CB61"/>
  <c r="CC61"/>
  <c r="CD61"/>
  <c r="CE61"/>
  <c r="CF61"/>
  <c r="CG61"/>
  <c r="CH61"/>
  <c r="CI61"/>
  <c r="CJ61"/>
  <c r="CK61"/>
  <c r="CL61"/>
  <c r="CM61"/>
  <c r="CN61"/>
  <c r="CO61"/>
  <c r="CP61"/>
  <c r="CQ61"/>
  <c r="CR61"/>
  <c r="CS61"/>
  <c r="CT61"/>
  <c r="CU61"/>
  <c r="CV61"/>
  <c r="CW61"/>
  <c r="CX61"/>
  <c r="CY61"/>
  <c r="CZ61"/>
  <c r="DA61"/>
  <c r="DB61"/>
  <c r="DC61"/>
  <c r="DD61"/>
  <c r="CB62"/>
  <c r="CC62"/>
  <c r="CD62"/>
  <c r="CE62"/>
  <c r="CF62"/>
  <c r="CG62"/>
  <c r="CH62"/>
  <c r="CI62"/>
  <c r="CJ62"/>
  <c r="CK62"/>
  <c r="CL62"/>
  <c r="CM62"/>
  <c r="CN62"/>
  <c r="CO62"/>
  <c r="CP62"/>
  <c r="CQ62"/>
  <c r="CR62"/>
  <c r="CS62"/>
  <c r="CT62"/>
  <c r="CU62"/>
  <c r="CV62"/>
  <c r="CW62"/>
  <c r="CX62"/>
  <c r="CY62"/>
  <c r="CZ62"/>
  <c r="DA62"/>
  <c r="DB62"/>
  <c r="DC62"/>
  <c r="DD62"/>
  <c r="CB63"/>
  <c r="CC63"/>
  <c r="CD63"/>
  <c r="CE63"/>
  <c r="CF63"/>
  <c r="CG63"/>
  <c r="CH63"/>
  <c r="CI63"/>
  <c r="CJ63"/>
  <c r="CK63"/>
  <c r="CL63"/>
  <c r="CM63"/>
  <c r="CN63"/>
  <c r="CO63"/>
  <c r="CP63"/>
  <c r="CQ63"/>
  <c r="CR63"/>
  <c r="CS63"/>
  <c r="CT63"/>
  <c r="CU63"/>
  <c r="CV63"/>
  <c r="CW63"/>
  <c r="CX63"/>
  <c r="CY63"/>
  <c r="CZ63"/>
  <c r="DA63"/>
  <c r="DB63"/>
  <c r="DC63"/>
  <c r="DD63"/>
  <c r="CB64"/>
  <c r="CC64"/>
  <c r="CD64"/>
  <c r="CE64"/>
  <c r="CF64"/>
  <c r="CG64"/>
  <c r="CH64"/>
  <c r="CI64"/>
  <c r="CJ64"/>
  <c r="CK64"/>
  <c r="CL64"/>
  <c r="CM64"/>
  <c r="CN64"/>
  <c r="CO64"/>
  <c r="CP64"/>
  <c r="CQ64"/>
  <c r="CR64"/>
  <c r="CS64"/>
  <c r="CT64"/>
  <c r="CU64"/>
  <c r="CV64"/>
  <c r="CW64"/>
  <c r="CX64"/>
  <c r="CY64"/>
  <c r="CZ64"/>
  <c r="DA64"/>
  <c r="DB64"/>
  <c r="DC64"/>
  <c r="DD64"/>
  <c r="CB65"/>
  <c r="CC65"/>
  <c r="CD65"/>
  <c r="CE65"/>
  <c r="CF65"/>
  <c r="CG65"/>
  <c r="CH65"/>
  <c r="CI65"/>
  <c r="CJ65"/>
  <c r="CK65"/>
  <c r="CL65"/>
  <c r="CM65"/>
  <c r="CN65"/>
  <c r="CO65"/>
  <c r="CP65"/>
  <c r="CQ65"/>
  <c r="CR65"/>
  <c r="CS65"/>
  <c r="CT65"/>
  <c r="CU65"/>
  <c r="CV65"/>
  <c r="CW65"/>
  <c r="CX65"/>
  <c r="CY65"/>
  <c r="CZ65"/>
  <c r="DA65"/>
  <c r="DB65"/>
  <c r="DC65"/>
  <c r="DD65"/>
  <c r="CB66"/>
  <c r="CC66"/>
  <c r="CD66"/>
  <c r="CE66"/>
  <c r="CF66"/>
  <c r="CG66"/>
  <c r="CH66"/>
  <c r="CI66"/>
  <c r="CJ66"/>
  <c r="CK66"/>
  <c r="CL66"/>
  <c r="CM66"/>
  <c r="CN66"/>
  <c r="CO66"/>
  <c r="CP66"/>
  <c r="CQ66"/>
  <c r="CR66"/>
  <c r="CS66"/>
  <c r="CT66"/>
  <c r="CU66"/>
  <c r="CV66"/>
  <c r="CW66"/>
  <c r="CX66"/>
  <c r="CY66"/>
  <c r="CZ66"/>
  <c r="DA66"/>
  <c r="DB66"/>
  <c r="DC66"/>
  <c r="DD66"/>
  <c r="CB67"/>
  <c r="CC67"/>
  <c r="CD67"/>
  <c r="CE67"/>
  <c r="CF67"/>
  <c r="CG67"/>
  <c r="CH67"/>
  <c r="CI67"/>
  <c r="CJ67"/>
  <c r="CK67"/>
  <c r="CL67"/>
  <c r="CM67"/>
  <c r="CN67"/>
  <c r="CO67"/>
  <c r="CP67"/>
  <c r="CQ67"/>
  <c r="CR67"/>
  <c r="CS67"/>
  <c r="CT67"/>
  <c r="CU67"/>
  <c r="CV67"/>
  <c r="CW67"/>
  <c r="CX67"/>
  <c r="CY67"/>
  <c r="CZ67"/>
  <c r="DA67"/>
  <c r="DB67"/>
  <c r="DC67"/>
  <c r="DD67"/>
  <c r="CB68"/>
  <c r="CC68"/>
  <c r="CD68"/>
  <c r="CE68"/>
  <c r="CF68"/>
  <c r="CG68"/>
  <c r="CH68"/>
  <c r="CI68"/>
  <c r="CJ68"/>
  <c r="CK68"/>
  <c r="CL68"/>
  <c r="CM68"/>
  <c r="CN68"/>
  <c r="CO68"/>
  <c r="CP68"/>
  <c r="CQ68"/>
  <c r="CR68"/>
  <c r="CS68"/>
  <c r="CT68"/>
  <c r="CU68"/>
  <c r="CV68"/>
  <c r="CW68"/>
  <c r="CX68"/>
  <c r="CY68"/>
  <c r="CZ68"/>
  <c r="DA68"/>
  <c r="DB68"/>
  <c r="DC68"/>
  <c r="DD68"/>
  <c r="CB69"/>
  <c r="CC69"/>
  <c r="CD69"/>
  <c r="CE69"/>
  <c r="CF69"/>
  <c r="CG69"/>
  <c r="CH69"/>
  <c r="CI69"/>
  <c r="CJ69"/>
  <c r="CK69"/>
  <c r="CL69"/>
  <c r="CM69"/>
  <c r="CN69"/>
  <c r="CO69"/>
  <c r="CP69"/>
  <c r="CQ69"/>
  <c r="CR69"/>
  <c r="CS69"/>
  <c r="CT69"/>
  <c r="CU69"/>
  <c r="CV69"/>
  <c r="CW69"/>
  <c r="CX69"/>
  <c r="CY69"/>
  <c r="CZ69"/>
  <c r="DA69"/>
  <c r="DB69"/>
  <c r="DC69"/>
  <c r="DD69"/>
  <c r="CB70"/>
  <c r="CC70"/>
  <c r="CD70"/>
  <c r="CE70"/>
  <c r="CF70"/>
  <c r="CG70"/>
  <c r="CH70"/>
  <c r="CI70"/>
  <c r="CJ70"/>
  <c r="CK70"/>
  <c r="CL70"/>
  <c r="CM70"/>
  <c r="CN70"/>
  <c r="CO70"/>
  <c r="CP70"/>
  <c r="CQ70"/>
  <c r="CR70"/>
  <c r="CS70"/>
  <c r="CT70"/>
  <c r="CU70"/>
  <c r="CV70"/>
  <c r="CW70"/>
  <c r="CX70"/>
  <c r="CY70"/>
  <c r="CZ70"/>
  <c r="DA70"/>
  <c r="DB70"/>
  <c r="DC70"/>
  <c r="DD70"/>
  <c r="CB71"/>
  <c r="CC71"/>
  <c r="CD71"/>
  <c r="CE71"/>
  <c r="CF71"/>
  <c r="CG71"/>
  <c r="CH71"/>
  <c r="CI71"/>
  <c r="CJ71"/>
  <c r="CK71"/>
  <c r="CL71"/>
  <c r="CM71"/>
  <c r="CN71"/>
  <c r="CO71"/>
  <c r="CP71"/>
  <c r="CQ71"/>
  <c r="CR71"/>
  <c r="CS71"/>
  <c r="CT71"/>
  <c r="CU71"/>
  <c r="CV71"/>
  <c r="CW71"/>
  <c r="CX71"/>
  <c r="CY71"/>
  <c r="CZ71"/>
  <c r="DA71"/>
  <c r="DB71"/>
  <c r="DC71"/>
  <c r="DD71"/>
  <c r="CB72"/>
  <c r="CC72"/>
  <c r="CD72"/>
  <c r="CE72"/>
  <c r="CF72"/>
  <c r="CG72"/>
  <c r="CH72"/>
  <c r="CI72"/>
  <c r="CJ72"/>
  <c r="CK72"/>
  <c r="CL72"/>
  <c r="CM72"/>
  <c r="CN72"/>
  <c r="CO72"/>
  <c r="CP72"/>
  <c r="CQ72"/>
  <c r="CR72"/>
  <c r="CS72"/>
  <c r="CT72"/>
  <c r="CU72"/>
  <c r="CV72"/>
  <c r="CW72"/>
  <c r="CX72"/>
  <c r="CY72"/>
  <c r="CZ72"/>
  <c r="DA72"/>
  <c r="DB72"/>
  <c r="DC72"/>
  <c r="DD72"/>
  <c r="CB73"/>
  <c r="CC73"/>
  <c r="CD73"/>
  <c r="CE73"/>
  <c r="CF73"/>
  <c r="CG73"/>
  <c r="CH73"/>
  <c r="CI73"/>
  <c r="CJ73"/>
  <c r="CK73"/>
  <c r="CL73"/>
  <c r="CM73"/>
  <c r="CN73"/>
  <c r="CO73"/>
  <c r="CP73"/>
  <c r="CQ73"/>
  <c r="CR73"/>
  <c r="CS73"/>
  <c r="CT73"/>
  <c r="CU73"/>
  <c r="CV73"/>
  <c r="CW73"/>
  <c r="CX73"/>
  <c r="CY73"/>
  <c r="CZ73"/>
  <c r="DA73"/>
  <c r="DB73"/>
  <c r="DC73"/>
  <c r="DD73"/>
  <c r="CB74"/>
  <c r="CC74"/>
  <c r="CD74"/>
  <c r="CE74"/>
  <c r="CF74"/>
  <c r="CG74"/>
  <c r="CH74"/>
  <c r="CI74"/>
  <c r="CJ74"/>
  <c r="CK74"/>
  <c r="CL74"/>
  <c r="CM74"/>
  <c r="CN74"/>
  <c r="CO74"/>
  <c r="CP74"/>
  <c r="CQ74"/>
  <c r="CR74"/>
  <c r="CS74"/>
  <c r="CT74"/>
  <c r="CU74"/>
  <c r="CV74"/>
  <c r="CW74"/>
  <c r="CX74"/>
  <c r="CY74"/>
  <c r="CZ74"/>
  <c r="DA74"/>
  <c r="DB74"/>
  <c r="DC74"/>
  <c r="DD74"/>
  <c r="CB75"/>
  <c r="CC75"/>
  <c r="CD75"/>
  <c r="CE75"/>
  <c r="CF75"/>
  <c r="CG75"/>
  <c r="CH75"/>
  <c r="CI75"/>
  <c r="CJ75"/>
  <c r="CK75"/>
  <c r="CL75"/>
  <c r="CM75"/>
  <c r="CN75"/>
  <c r="CO75"/>
  <c r="CP75"/>
  <c r="CQ75"/>
  <c r="CR75"/>
  <c r="CS75"/>
  <c r="CT75"/>
  <c r="CU75"/>
  <c r="CV75"/>
  <c r="CW75"/>
  <c r="CX75"/>
  <c r="CY75"/>
  <c r="CZ75"/>
  <c r="DA75"/>
  <c r="DB75"/>
  <c r="DC75"/>
  <c r="DD75"/>
  <c r="CA52"/>
  <c r="CA53"/>
  <c r="CA54"/>
  <c r="CA55"/>
  <c r="CA56"/>
  <c r="CA57"/>
  <c r="CA58"/>
  <c r="CA59"/>
  <c r="CA60"/>
  <c r="CA61"/>
  <c r="CA62"/>
  <c r="CA63"/>
  <c r="CA64"/>
  <c r="CA65"/>
  <c r="CA66"/>
  <c r="CA67"/>
  <c r="CA68"/>
  <c r="CA69"/>
  <c r="CA70"/>
  <c r="CA71"/>
  <c r="CA72"/>
  <c r="CA73"/>
  <c r="CA74"/>
  <c r="CA75"/>
  <c r="AO147"/>
  <c r="AP147"/>
  <c r="AQ147"/>
  <c r="AR147"/>
  <c r="AS147"/>
  <c r="AT147"/>
  <c r="AU147"/>
  <c r="AV147"/>
  <c r="AW147"/>
  <c r="AX147"/>
  <c r="AY147"/>
  <c r="AZ147"/>
  <c r="AO148"/>
  <c r="AP148"/>
  <c r="AQ148"/>
  <c r="AR148"/>
  <c r="AS148"/>
  <c r="AT148"/>
  <c r="AU148"/>
  <c r="AV148"/>
  <c r="AW148"/>
  <c r="AX148"/>
  <c r="AY148"/>
  <c r="AZ148"/>
  <c r="AO149"/>
  <c r="AP149"/>
  <c r="AQ149"/>
  <c r="AR149"/>
  <c r="AS149"/>
  <c r="AT149"/>
  <c r="AU149"/>
  <c r="AV149"/>
  <c r="AW149"/>
  <c r="AX149"/>
  <c r="AY149"/>
  <c r="AZ149"/>
  <c r="AO150"/>
  <c r="AP150"/>
  <c r="AQ150"/>
  <c r="AR150"/>
  <c r="AS150"/>
  <c r="AT150"/>
  <c r="AU150"/>
  <c r="AV150"/>
  <c r="AW150"/>
  <c r="AX150"/>
  <c r="AY150"/>
  <c r="AZ150"/>
  <c r="AO151"/>
  <c r="AP151"/>
  <c r="AQ151"/>
  <c r="AR151"/>
  <c r="AS151"/>
  <c r="AT151"/>
  <c r="AU151"/>
  <c r="AV151"/>
  <c r="AW151"/>
  <c r="AX151"/>
  <c r="AY151"/>
  <c r="AZ151"/>
  <c r="AO152"/>
  <c r="AP152"/>
  <c r="AQ152"/>
  <c r="AR152"/>
  <c r="AS152"/>
  <c r="AT152"/>
  <c r="AU152"/>
  <c r="AV152"/>
  <c r="AW152"/>
  <c r="AX152"/>
  <c r="AY152"/>
  <c r="AZ152"/>
  <c r="AO153"/>
  <c r="AP153"/>
  <c r="AQ153"/>
  <c r="AR153"/>
  <c r="AS153"/>
  <c r="AT153"/>
  <c r="AU153"/>
  <c r="AV153"/>
  <c r="AW153"/>
  <c r="AX153"/>
  <c r="AY153"/>
  <c r="AZ153"/>
  <c r="AO154"/>
  <c r="AP154"/>
  <c r="AQ154"/>
  <c r="AR154"/>
  <c r="AS154"/>
  <c r="AT154"/>
  <c r="AU154"/>
  <c r="AV154"/>
  <c r="AW154"/>
  <c r="AX154"/>
  <c r="AY154"/>
  <c r="AZ154"/>
  <c r="AO155"/>
  <c r="AP155"/>
  <c r="AQ155"/>
  <c r="AR155"/>
  <c r="AS155"/>
  <c r="AT155"/>
  <c r="AU155"/>
  <c r="AV155"/>
  <c r="AW155"/>
  <c r="AX155"/>
  <c r="AY155"/>
  <c r="AZ155"/>
  <c r="AO156"/>
  <c r="AP156"/>
  <c r="AQ156"/>
  <c r="AR156"/>
  <c r="AS156"/>
  <c r="AT156"/>
  <c r="AU156"/>
  <c r="AV156"/>
  <c r="AW156"/>
  <c r="AX156"/>
  <c r="AY156"/>
  <c r="AZ156"/>
  <c r="AO157"/>
  <c r="AP157"/>
  <c r="AQ157"/>
  <c r="AR157"/>
  <c r="AS157"/>
  <c r="AT157"/>
  <c r="AU157"/>
  <c r="AV157"/>
  <c r="AW157"/>
  <c r="AX157"/>
  <c r="AY157"/>
  <c r="AZ157"/>
  <c r="AO158"/>
  <c r="AP158"/>
  <c r="AQ158"/>
  <c r="AR158"/>
  <c r="AS158"/>
  <c r="AT158"/>
  <c r="AU158"/>
  <c r="AV158"/>
  <c r="AW158"/>
  <c r="AX158"/>
  <c r="AY158"/>
  <c r="AZ158"/>
  <c r="AO159"/>
  <c r="AP159"/>
  <c r="AQ159"/>
  <c r="AR159"/>
  <c r="AS159"/>
  <c r="AT159"/>
  <c r="AU159"/>
  <c r="AV159"/>
  <c r="AW159"/>
  <c r="AX159"/>
  <c r="AY159"/>
  <c r="AZ159"/>
  <c r="AO160"/>
  <c r="AP160"/>
  <c r="AQ160"/>
  <c r="AR160"/>
  <c r="AS160"/>
  <c r="AT160"/>
  <c r="AU160"/>
  <c r="AV160"/>
  <c r="AW160"/>
  <c r="AX160"/>
  <c r="AY160"/>
  <c r="AZ160"/>
  <c r="AU138"/>
  <c r="AU139"/>
  <c r="AU140"/>
  <c r="AU141"/>
  <c r="AU142"/>
  <c r="AU143"/>
  <c r="AU144"/>
  <c r="AU145"/>
  <c r="AU146"/>
  <c r="AN147"/>
  <c r="AN148"/>
  <c r="AN149"/>
  <c r="AN150"/>
  <c r="AN151"/>
  <c r="AN152"/>
  <c r="AN153"/>
  <c r="AN154"/>
  <c r="AN155"/>
  <c r="AN156"/>
  <c r="AN157"/>
  <c r="AN158"/>
  <c r="AN159"/>
  <c r="AN160"/>
  <c r="AM147"/>
  <c r="AM148"/>
  <c r="AM149"/>
  <c r="AM150"/>
  <c r="AM151"/>
  <c r="AM152"/>
  <c r="AM153"/>
  <c r="AM154"/>
  <c r="AM155"/>
  <c r="AM156"/>
  <c r="AM157"/>
  <c r="AM158"/>
  <c r="AM159"/>
  <c r="AM160"/>
  <c r="AL147"/>
  <c r="AL148"/>
  <c r="AL149"/>
  <c r="AL150"/>
  <c r="AL151"/>
  <c r="AL152"/>
  <c r="AL153"/>
  <c r="AL154"/>
  <c r="AL155"/>
  <c r="AL156"/>
  <c r="AL157"/>
  <c r="AL158"/>
  <c r="AL159"/>
  <c r="AL160"/>
  <c r="AK147"/>
  <c r="AK148"/>
  <c r="AK149"/>
  <c r="AK150"/>
  <c r="AK151"/>
  <c r="AK152"/>
  <c r="AK153"/>
  <c r="AK154"/>
  <c r="AK155"/>
  <c r="AK156"/>
  <c r="AK157"/>
  <c r="AK158"/>
  <c r="AK159"/>
  <c r="AK160"/>
  <c r="AJ147"/>
  <c r="AJ148"/>
  <c r="AJ149"/>
  <c r="AJ150"/>
  <c r="AJ151"/>
  <c r="AJ152"/>
  <c r="AJ153"/>
  <c r="AJ154"/>
  <c r="AJ155"/>
  <c r="AJ156"/>
  <c r="AJ157"/>
  <c r="AJ158"/>
  <c r="AJ159"/>
  <c r="AJ160"/>
  <c r="AI147"/>
  <c r="AI148"/>
  <c r="AI149"/>
  <c r="AI150"/>
  <c r="AI151"/>
  <c r="AI152"/>
  <c r="AI153"/>
  <c r="AI154"/>
  <c r="AI155"/>
  <c r="AI156"/>
  <c r="AI157"/>
  <c r="AI158"/>
  <c r="AI159"/>
  <c r="AI160"/>
  <c r="AH147"/>
  <c r="AH148"/>
  <c r="AH149"/>
  <c r="AH150"/>
  <c r="AH151"/>
  <c r="AH152"/>
  <c r="AH153"/>
  <c r="AH154"/>
  <c r="AH155"/>
  <c r="AH156"/>
  <c r="AH157"/>
  <c r="AH158"/>
  <c r="AH159"/>
  <c r="AH160"/>
  <c r="AH138"/>
  <c r="AH139"/>
  <c r="AH140"/>
  <c r="AH141"/>
  <c r="AH142"/>
  <c r="AH143"/>
  <c r="AH144"/>
  <c r="AH145"/>
  <c r="AH146"/>
  <c r="AH137"/>
  <c r="X136"/>
  <c r="Y136"/>
  <c r="Z136"/>
  <c r="AA136"/>
  <c r="AB136"/>
  <c r="AC136"/>
  <c r="AD136"/>
  <c r="AE136"/>
  <c r="AF136"/>
  <c r="AG136"/>
  <c r="AH136"/>
  <c r="AI136"/>
  <c r="AJ136"/>
  <c r="AK136"/>
  <c r="AL136"/>
  <c r="AM136"/>
  <c r="AN136"/>
  <c r="AO136"/>
  <c r="AP136"/>
  <c r="AQ136"/>
  <c r="AR136"/>
  <c r="AS136"/>
  <c r="AT136"/>
  <c r="AU136"/>
  <c r="AV136"/>
  <c r="AW136"/>
  <c r="AX136"/>
  <c r="AY136"/>
  <c r="AZ136"/>
  <c r="AG147"/>
  <c r="AG148"/>
  <c r="AG149"/>
  <c r="AG150"/>
  <c r="AG151"/>
  <c r="AG152"/>
  <c r="AG153"/>
  <c r="AG154"/>
  <c r="AG155"/>
  <c r="AG156"/>
  <c r="AG157"/>
  <c r="AG158"/>
  <c r="AG159"/>
  <c r="AG160"/>
  <c r="AF147"/>
  <c r="AF148"/>
  <c r="AF149"/>
  <c r="AF150"/>
  <c r="AF151"/>
  <c r="AF152"/>
  <c r="AF153"/>
  <c r="AF154"/>
  <c r="AF155"/>
  <c r="AF156"/>
  <c r="AF157"/>
  <c r="AF158"/>
  <c r="AF159"/>
  <c r="AF160"/>
  <c r="W113"/>
  <c r="X113"/>
  <c r="Y113"/>
  <c r="Z113"/>
  <c r="AA113"/>
  <c r="W114"/>
  <c r="X114"/>
  <c r="Y114"/>
  <c r="Z114"/>
  <c r="AA114"/>
  <c r="W115"/>
  <c r="X115"/>
  <c r="Y115"/>
  <c r="Z115"/>
  <c r="AA115"/>
  <c r="W116"/>
  <c r="X116"/>
  <c r="Y116"/>
  <c r="Z116"/>
  <c r="AA116"/>
  <c r="W117"/>
  <c r="X117"/>
  <c r="Y117"/>
  <c r="Z117"/>
  <c r="AA117"/>
  <c r="W118"/>
  <c r="X118"/>
  <c r="Y118"/>
  <c r="Z118"/>
  <c r="AA118"/>
  <c r="W119"/>
  <c r="X119"/>
  <c r="Y119"/>
  <c r="Z119"/>
  <c r="AA119"/>
  <c r="W120"/>
  <c r="X120"/>
  <c r="Y120"/>
  <c r="Z120"/>
  <c r="AA120"/>
  <c r="W121"/>
  <c r="X121"/>
  <c r="Y121"/>
  <c r="Z121"/>
  <c r="AA121"/>
  <c r="W122"/>
  <c r="X122"/>
  <c r="Y122"/>
  <c r="Z122"/>
  <c r="AA122"/>
  <c r="W123"/>
  <c r="X123"/>
  <c r="Y123"/>
  <c r="Z123"/>
  <c r="AA123"/>
  <c r="W124"/>
  <c r="X124"/>
  <c r="Y124"/>
  <c r="Z124"/>
  <c r="AA124"/>
  <c r="W125"/>
  <c r="X125"/>
  <c r="Y125"/>
  <c r="Z125"/>
  <c r="AA125"/>
  <c r="W126"/>
  <c r="X126"/>
  <c r="Y126"/>
  <c r="Z126"/>
  <c r="AA126"/>
  <c r="W127"/>
  <c r="X127"/>
  <c r="Y127"/>
  <c r="Z127"/>
  <c r="AA127"/>
  <c r="V123"/>
  <c r="V124"/>
  <c r="V125"/>
  <c r="V126"/>
  <c r="V127"/>
  <c r="V114"/>
  <c r="V115"/>
  <c r="V116"/>
  <c r="V117"/>
  <c r="V118"/>
  <c r="V119"/>
  <c r="V120"/>
  <c r="V121"/>
  <c r="V122"/>
  <c r="V113"/>
  <c r="V104"/>
  <c r="V105"/>
  <c r="V106"/>
  <c r="V107"/>
  <c r="V108"/>
  <c r="V109"/>
  <c r="V110"/>
  <c r="V111"/>
  <c r="V112"/>
  <c r="W154"/>
  <c r="X154"/>
  <c r="Y154"/>
  <c r="Z154"/>
  <c r="AA154"/>
  <c r="AB154"/>
  <c r="AC154"/>
  <c r="AD154"/>
  <c r="AE154"/>
  <c r="W155"/>
  <c r="X155"/>
  <c r="Y155"/>
  <c r="Z155"/>
  <c r="AA155"/>
  <c r="AB155"/>
  <c r="AC155"/>
  <c r="AD155"/>
  <c r="AE155"/>
  <c r="W156"/>
  <c r="X156"/>
  <c r="Y156"/>
  <c r="Z156"/>
  <c r="AA156"/>
  <c r="AB156"/>
  <c r="AC156"/>
  <c r="AD156"/>
  <c r="AE156"/>
  <c r="W157"/>
  <c r="X157"/>
  <c r="Y157"/>
  <c r="Z157"/>
  <c r="AA157"/>
  <c r="AB157"/>
  <c r="AC157"/>
  <c r="AD157"/>
  <c r="AE157"/>
  <c r="W158"/>
  <c r="X158"/>
  <c r="Y158"/>
  <c r="Z158"/>
  <c r="AA158"/>
  <c r="AB158"/>
  <c r="AC158"/>
  <c r="AD158"/>
  <c r="AE158"/>
  <c r="W159"/>
  <c r="X159"/>
  <c r="Y159"/>
  <c r="Z159"/>
  <c r="AA159"/>
  <c r="AB159"/>
  <c r="AC159"/>
  <c r="AD159"/>
  <c r="AE159"/>
  <c r="W160"/>
  <c r="X160"/>
  <c r="Y160"/>
  <c r="Z160"/>
  <c r="AA160"/>
  <c r="AB160"/>
  <c r="AC160"/>
  <c r="AD160"/>
  <c r="AE160"/>
  <c r="W145"/>
  <c r="X145"/>
  <c r="Y145"/>
  <c r="Z145"/>
  <c r="AA145"/>
  <c r="AB145"/>
  <c r="AC145"/>
  <c r="AD145"/>
  <c r="AE145"/>
  <c r="AF145"/>
  <c r="AG145"/>
  <c r="AI145"/>
  <c r="AJ145"/>
  <c r="AK145"/>
  <c r="AL145"/>
  <c r="AM145"/>
  <c r="AN145"/>
  <c r="AO145"/>
  <c r="AP145"/>
  <c r="AQ145"/>
  <c r="AR145"/>
  <c r="AS145"/>
  <c r="AT145"/>
  <c r="AV145"/>
  <c r="AW145"/>
  <c r="AX145"/>
  <c r="AY145"/>
  <c r="AZ145"/>
  <c r="W146"/>
  <c r="X146"/>
  <c r="Y146"/>
  <c r="Z146"/>
  <c r="AA146"/>
  <c r="AB146"/>
  <c r="AC146"/>
  <c r="AD146"/>
  <c r="AE146"/>
  <c r="AF146"/>
  <c r="AG146"/>
  <c r="AI146"/>
  <c r="AJ146"/>
  <c r="AK146"/>
  <c r="AL146"/>
  <c r="AM146"/>
  <c r="AN146"/>
  <c r="AO146"/>
  <c r="AP146"/>
  <c r="AQ146"/>
  <c r="AR146"/>
  <c r="AS146"/>
  <c r="AT146"/>
  <c r="AV146"/>
  <c r="AW146"/>
  <c r="AX146"/>
  <c r="AY146"/>
  <c r="AZ146"/>
  <c r="W147"/>
  <c r="X147"/>
  <c r="Y147"/>
  <c r="Z147"/>
  <c r="AA147"/>
  <c r="AB147"/>
  <c r="AC147"/>
  <c r="AD147"/>
  <c r="AE147"/>
  <c r="W148"/>
  <c r="X148"/>
  <c r="Y148"/>
  <c r="Z148"/>
  <c r="AA148"/>
  <c r="AB148"/>
  <c r="AC148"/>
  <c r="AD148"/>
  <c r="AE148"/>
  <c r="W149"/>
  <c r="X149"/>
  <c r="Y149"/>
  <c r="Z149"/>
  <c r="AA149"/>
  <c r="AB149"/>
  <c r="AC149"/>
  <c r="AD149"/>
  <c r="AE149"/>
  <c r="W150"/>
  <c r="X150"/>
  <c r="Y150"/>
  <c r="Z150"/>
  <c r="AA150"/>
  <c r="AB150"/>
  <c r="AC150"/>
  <c r="AD150"/>
  <c r="AE150"/>
  <c r="W151"/>
  <c r="X151"/>
  <c r="Y151"/>
  <c r="Z151"/>
  <c r="AA151"/>
  <c r="AB151"/>
  <c r="AC151"/>
  <c r="AD151"/>
  <c r="AE151"/>
  <c r="W152"/>
  <c r="X152"/>
  <c r="Y152"/>
  <c r="Z152"/>
  <c r="AA152"/>
  <c r="AB152"/>
  <c r="AC152"/>
  <c r="AD152"/>
  <c r="AE152"/>
  <c r="W153"/>
  <c r="X153"/>
  <c r="Y153"/>
  <c r="Z153"/>
  <c r="AA153"/>
  <c r="AB153"/>
  <c r="AC153"/>
  <c r="AD153"/>
  <c r="AE153"/>
  <c r="W137"/>
  <c r="W138"/>
  <c r="W139"/>
  <c r="W140"/>
  <c r="W141"/>
  <c r="W142"/>
  <c r="W143"/>
  <c r="W144"/>
  <c r="AQ137"/>
  <c r="AR137"/>
  <c r="AS137"/>
  <c r="AT137"/>
  <c r="AU137"/>
  <c r="AV137"/>
  <c r="AW137"/>
  <c r="AX137"/>
  <c r="AY137"/>
  <c r="AZ137"/>
  <c r="AQ138"/>
  <c r="AR138"/>
  <c r="AS138"/>
  <c r="AT138"/>
  <c r="AV138"/>
  <c r="AW138"/>
  <c r="AX138"/>
  <c r="AY138"/>
  <c r="AZ138"/>
  <c r="AQ139"/>
  <c r="AR139"/>
  <c r="AS139"/>
  <c r="AT139"/>
  <c r="AV139"/>
  <c r="AW139"/>
  <c r="AX139"/>
  <c r="AY139"/>
  <c r="AZ139"/>
  <c r="AQ140"/>
  <c r="AR140"/>
  <c r="AS140"/>
  <c r="AT140"/>
  <c r="AV140"/>
  <c r="AW140"/>
  <c r="AX140"/>
  <c r="AY140"/>
  <c r="AZ140"/>
  <c r="AQ141"/>
  <c r="AR141"/>
  <c r="AS141"/>
  <c r="AT141"/>
  <c r="AV141"/>
  <c r="AW141"/>
  <c r="AX141"/>
  <c r="AY141"/>
  <c r="AZ141"/>
  <c r="AQ142"/>
  <c r="AR142"/>
  <c r="AS142"/>
  <c r="AT142"/>
  <c r="AV142"/>
  <c r="AW142"/>
  <c r="AX142"/>
  <c r="AY142"/>
  <c r="AZ142"/>
  <c r="AQ143"/>
  <c r="AR143"/>
  <c r="AS143"/>
  <c r="AT143"/>
  <c r="AV143"/>
  <c r="AW143"/>
  <c r="AX143"/>
  <c r="AY143"/>
  <c r="AZ143"/>
  <c r="AQ144"/>
  <c r="AR144"/>
  <c r="AS144"/>
  <c r="AT144"/>
  <c r="AV144"/>
  <c r="AW144"/>
  <c r="AX144"/>
  <c r="AY144"/>
  <c r="AZ144"/>
  <c r="AP144"/>
  <c r="AO144"/>
  <c r="AN144"/>
  <c r="AM144"/>
  <c r="AL144"/>
  <c r="AK144"/>
  <c r="AJ144"/>
  <c r="AI144"/>
  <c r="AG144"/>
  <c r="AF144"/>
  <c r="AE144"/>
  <c r="AD144"/>
  <c r="AC144"/>
  <c r="AB144"/>
  <c r="AA144"/>
  <c r="Z144"/>
  <c r="Y144"/>
  <c r="X144"/>
  <c r="AP143"/>
  <c r="AO143"/>
  <c r="AN143"/>
  <c r="AM143"/>
  <c r="AL143"/>
  <c r="AK143"/>
  <c r="AJ143"/>
  <c r="AI143"/>
  <c r="AG143"/>
  <c r="AF143"/>
  <c r="AE143"/>
  <c r="AD143"/>
  <c r="AC143"/>
  <c r="AB143"/>
  <c r="AA143"/>
  <c r="Z143"/>
  <c r="Y143"/>
  <c r="X143"/>
  <c r="AP142"/>
  <c r="AO142"/>
  <c r="AN142"/>
  <c r="AM142"/>
  <c r="AL142"/>
  <c r="AK142"/>
  <c r="AJ142"/>
  <c r="AI142"/>
  <c r="AG142"/>
  <c r="AF142"/>
  <c r="AE142"/>
  <c r="AD142"/>
  <c r="AC142"/>
  <c r="AB142"/>
  <c r="AA142"/>
  <c r="Z142"/>
  <c r="Y142"/>
  <c r="X142"/>
  <c r="AP141"/>
  <c r="AO141"/>
  <c r="AN141"/>
  <c r="AM141"/>
  <c r="AL141"/>
  <c r="AK141"/>
  <c r="AJ141"/>
  <c r="AI141"/>
  <c r="AG141"/>
  <c r="AF141"/>
  <c r="AE141"/>
  <c r="AD141"/>
  <c r="AC141"/>
  <c r="AB141"/>
  <c r="AA141"/>
  <c r="Z141"/>
  <c r="Y141"/>
  <c r="X141"/>
  <c r="AP140"/>
  <c r="AO140"/>
  <c r="AN140"/>
  <c r="AM140"/>
  <c r="AL140"/>
  <c r="AK140"/>
  <c r="AJ140"/>
  <c r="AI140"/>
  <c r="AG140"/>
  <c r="AF140"/>
  <c r="AE140"/>
  <c r="AD140"/>
  <c r="AC140"/>
  <c r="AB140"/>
  <c r="AA140"/>
  <c r="Z140"/>
  <c r="Y140"/>
  <c r="X140"/>
  <c r="AP139"/>
  <c r="AO139"/>
  <c r="AN139"/>
  <c r="AM139"/>
  <c r="AL139"/>
  <c r="AK139"/>
  <c r="AJ139"/>
  <c r="AI139"/>
  <c r="AG139"/>
  <c r="AF139"/>
  <c r="AE139"/>
  <c r="AD139"/>
  <c r="AC139"/>
  <c r="AB139"/>
  <c r="AA139"/>
  <c r="Z139"/>
  <c r="Y139"/>
  <c r="X139"/>
  <c r="AP138"/>
  <c r="AO138"/>
  <c r="AN138"/>
  <c r="AM138"/>
  <c r="AL138"/>
  <c r="AK138"/>
  <c r="AJ138"/>
  <c r="AI138"/>
  <c r="AG138"/>
  <c r="AF138"/>
  <c r="AE138"/>
  <c r="AD138"/>
  <c r="AC138"/>
  <c r="AB138"/>
  <c r="AA138"/>
  <c r="Z138"/>
  <c r="Y138"/>
  <c r="X138"/>
  <c r="AP137"/>
  <c r="AO137"/>
  <c r="AN137"/>
  <c r="AM137"/>
  <c r="AL137"/>
  <c r="AK137"/>
  <c r="AJ137"/>
  <c r="AI137"/>
  <c r="AG137"/>
  <c r="AF137"/>
  <c r="AE137"/>
  <c r="AD137"/>
  <c r="AC137"/>
  <c r="AB137"/>
  <c r="AA137"/>
  <c r="Z137"/>
  <c r="Y137"/>
  <c r="X137"/>
  <c r="W136"/>
  <c r="AA112"/>
  <c r="Z112"/>
  <c r="Y112"/>
  <c r="X112"/>
  <c r="W112"/>
  <c r="AB111"/>
  <c r="AA111"/>
  <c r="Z111"/>
  <c r="Y111"/>
  <c r="X111"/>
  <c r="W111"/>
  <c r="AD110"/>
  <c r="AC110"/>
  <c r="AB110"/>
  <c r="AA110"/>
  <c r="Z110"/>
  <c r="Y110"/>
  <c r="X110"/>
  <c r="W110"/>
  <c r="AD109"/>
  <c r="AC109"/>
  <c r="AB109"/>
  <c r="AA109"/>
  <c r="Z109"/>
  <c r="Y109"/>
  <c r="X109"/>
  <c r="W109"/>
  <c r="AD108"/>
  <c r="AC108"/>
  <c r="AB108"/>
  <c r="AA108"/>
  <c r="Z108"/>
  <c r="Y108"/>
  <c r="X108"/>
  <c r="W108"/>
  <c r="AD107"/>
  <c r="AC107"/>
  <c r="AB107"/>
  <c r="AA107"/>
  <c r="Z107"/>
  <c r="Y107"/>
  <c r="X107"/>
  <c r="W107"/>
  <c r="AD106"/>
  <c r="AC106"/>
  <c r="AB106"/>
  <c r="AA106"/>
  <c r="Z106"/>
  <c r="Y106"/>
  <c r="X106"/>
  <c r="W106"/>
  <c r="AD105"/>
  <c r="AC105"/>
  <c r="AB105"/>
  <c r="AA105"/>
  <c r="Z105"/>
  <c r="Y105"/>
  <c r="X105"/>
  <c r="W105"/>
  <c r="AD104"/>
  <c r="AC104"/>
  <c r="AB104"/>
  <c r="AA104"/>
  <c r="Z104"/>
  <c r="Y104"/>
  <c r="X104"/>
  <c r="W104"/>
  <c r="V103"/>
  <c r="U103"/>
  <c r="W101"/>
  <c r="CA51"/>
  <c r="AM33"/>
  <c r="AA33"/>
  <c r="AM32"/>
  <c r="AA31"/>
  <c r="X21" s="1"/>
  <c r="CB29" s="1"/>
  <c r="W6"/>
  <c r="CA14" s="1"/>
  <c r="AD2"/>
  <c r="Z2"/>
  <c r="AY18" s="1"/>
  <c r="DC26" s="1"/>
  <c r="AB27" i="27"/>
  <c r="AC27"/>
  <c r="AD27"/>
  <c r="AE27"/>
  <c r="AF27"/>
  <c r="AG27"/>
  <c r="AH27"/>
  <c r="AI27"/>
  <c r="AJ27"/>
  <c r="AK27"/>
  <c r="AL27"/>
  <c r="AM27"/>
  <c r="AN27"/>
  <c r="AO27"/>
  <c r="AP27"/>
  <c r="AQ27"/>
  <c r="AR27"/>
  <c r="AS27"/>
  <c r="AT27"/>
  <c r="AU27"/>
  <c r="AV27"/>
  <c r="AW27"/>
  <c r="AX27"/>
  <c r="AY27"/>
  <c r="AZ27"/>
  <c r="BA27"/>
  <c r="BB27"/>
  <c r="BC27"/>
  <c r="BD27"/>
  <c r="BE27"/>
  <c r="AB28"/>
  <c r="AC28"/>
  <c r="AD28"/>
  <c r="AE28"/>
  <c r="AF28"/>
  <c r="AG28"/>
  <c r="AH28"/>
  <c r="AI28"/>
  <c r="AJ28"/>
  <c r="AK28"/>
  <c r="AL28"/>
  <c r="AM28"/>
  <c r="AN28"/>
  <c r="AO28"/>
  <c r="AP28"/>
  <c r="AQ28"/>
  <c r="AR28"/>
  <c r="AS28"/>
  <c r="AT28"/>
  <c r="AU28"/>
  <c r="AV28"/>
  <c r="AW28"/>
  <c r="AX28"/>
  <c r="AY28"/>
  <c r="AZ28"/>
  <c r="BA28"/>
  <c r="BB28"/>
  <c r="BC28"/>
  <c r="BD28"/>
  <c r="BE28"/>
  <c r="AB29"/>
  <c r="AC29"/>
  <c r="AD29"/>
  <c r="AE29"/>
  <c r="AF29"/>
  <c r="AG29"/>
  <c r="AH29"/>
  <c r="AI29"/>
  <c r="AJ29"/>
  <c r="AK29"/>
  <c r="AL29"/>
  <c r="AM29"/>
  <c r="AN29"/>
  <c r="AO29"/>
  <c r="AP29"/>
  <c r="AQ29"/>
  <c r="AR29"/>
  <c r="AS29"/>
  <c r="AT29"/>
  <c r="AU29"/>
  <c r="AV29"/>
  <c r="AW29"/>
  <c r="AX29"/>
  <c r="AY29"/>
  <c r="AZ29"/>
  <c r="BA29"/>
  <c r="BB29"/>
  <c r="BC29"/>
  <c r="BD29"/>
  <c r="BE29"/>
  <c r="AB30"/>
  <c r="AC30"/>
  <c r="AD30"/>
  <c r="AE30"/>
  <c r="AF30"/>
  <c r="AG30"/>
  <c r="AH30"/>
  <c r="AI30"/>
  <c r="AJ30"/>
  <c r="AK30"/>
  <c r="AL30"/>
  <c r="AM30"/>
  <c r="AN30"/>
  <c r="AO30"/>
  <c r="AP30"/>
  <c r="AQ30"/>
  <c r="AR30"/>
  <c r="AS30"/>
  <c r="AT30"/>
  <c r="AU30"/>
  <c r="AV30"/>
  <c r="AW30"/>
  <c r="AX30"/>
  <c r="AY30"/>
  <c r="AZ30"/>
  <c r="BA30"/>
  <c r="BB30"/>
  <c r="BC30"/>
  <c r="BD30"/>
  <c r="BE30"/>
  <c r="AU11"/>
  <c r="AV11"/>
  <c r="AW11"/>
  <c r="AX11"/>
  <c r="AY11"/>
  <c r="AZ11"/>
  <c r="AU9"/>
  <c r="AV9"/>
  <c r="AW9"/>
  <c r="AX9"/>
  <c r="AY9"/>
  <c r="AZ9"/>
  <c r="BA9"/>
  <c r="BB9"/>
  <c r="BC9"/>
  <c r="BD9"/>
  <c r="BE9"/>
  <c r="AU10"/>
  <c r="AV10"/>
  <c r="AW10"/>
  <c r="AX10"/>
  <c r="AY10"/>
  <c r="AZ10"/>
  <c r="BA10"/>
  <c r="BB10"/>
  <c r="BC10"/>
  <c r="BD10"/>
  <c r="BE10"/>
  <c r="BA11"/>
  <c r="BB11"/>
  <c r="BC11"/>
  <c r="BD11"/>
  <c r="BE11"/>
  <c r="AX6"/>
  <c r="AY6"/>
  <c r="AX7"/>
  <c r="AY7"/>
  <c r="AX8"/>
  <c r="AY8"/>
  <c r="AX12"/>
  <c r="AY12"/>
  <c r="AX13"/>
  <c r="AY13"/>
  <c r="AX14"/>
  <c r="AY14"/>
  <c r="AX15"/>
  <c r="AY15"/>
  <c r="AX16"/>
  <c r="AY16"/>
  <c r="AX17"/>
  <c r="AY17"/>
  <c r="AX18"/>
  <c r="AY18"/>
  <c r="AX19"/>
  <c r="AY19"/>
  <c r="AX20"/>
  <c r="AY20"/>
  <c r="AX21"/>
  <c r="AY21"/>
  <c r="AX22"/>
  <c r="AY22"/>
  <c r="AX23"/>
  <c r="AY23"/>
  <c r="AX24"/>
  <c r="AY24"/>
  <c r="AX25"/>
  <c r="AY25"/>
  <c r="AX26"/>
  <c r="AY26"/>
  <c r="AB6"/>
  <c r="AC6"/>
  <c r="AD6"/>
  <c r="AE6"/>
  <c r="AF6"/>
  <c r="AG6"/>
  <c r="AH6"/>
  <c r="AI6"/>
  <c r="AJ6"/>
  <c r="AK6"/>
  <c r="AL6"/>
  <c r="AM6"/>
  <c r="AN6"/>
  <c r="AO6"/>
  <c r="AP6"/>
  <c r="AQ6"/>
  <c r="AR6"/>
  <c r="AS6"/>
  <c r="AT6"/>
  <c r="AU6"/>
  <c r="AV6"/>
  <c r="AW6"/>
  <c r="AZ6"/>
  <c r="BA6"/>
  <c r="BB6"/>
  <c r="BC6"/>
  <c r="BD6"/>
  <c r="BE6"/>
  <c r="AB7"/>
  <c r="AC7"/>
  <c r="AD7"/>
  <c r="AE7"/>
  <c r="AF7"/>
  <c r="AG7"/>
  <c r="AH7"/>
  <c r="AI7"/>
  <c r="AJ7"/>
  <c r="AK7"/>
  <c r="AL7"/>
  <c r="AM7"/>
  <c r="AN7"/>
  <c r="AO7"/>
  <c r="AP7"/>
  <c r="AQ7"/>
  <c r="AR7"/>
  <c r="AS7"/>
  <c r="AT7"/>
  <c r="AU7"/>
  <c r="AV7"/>
  <c r="AW7"/>
  <c r="AZ7"/>
  <c r="BA7"/>
  <c r="BB7"/>
  <c r="BC7"/>
  <c r="BD7"/>
  <c r="BE7"/>
  <c r="AB8"/>
  <c r="AC8"/>
  <c r="AD8"/>
  <c r="AE8"/>
  <c r="AF8"/>
  <c r="AG8"/>
  <c r="AH8"/>
  <c r="AI8"/>
  <c r="AJ8"/>
  <c r="AK8"/>
  <c r="AL8"/>
  <c r="AM8"/>
  <c r="AN8"/>
  <c r="AO8"/>
  <c r="AP8"/>
  <c r="AQ8"/>
  <c r="AR8"/>
  <c r="AS8"/>
  <c r="AT8"/>
  <c r="AU8"/>
  <c r="AV8"/>
  <c r="AW8"/>
  <c r="AZ8"/>
  <c r="BA8"/>
  <c r="BB8"/>
  <c r="BC8"/>
  <c r="BD8"/>
  <c r="BE8"/>
  <c r="AB9"/>
  <c r="AC9"/>
  <c r="AD9"/>
  <c r="AE9"/>
  <c r="AF9"/>
  <c r="AG9"/>
  <c r="AH9"/>
  <c r="AI9"/>
  <c r="AJ9"/>
  <c r="AK9"/>
  <c r="AL9"/>
  <c r="AM9"/>
  <c r="AN9"/>
  <c r="AO9"/>
  <c r="AP9"/>
  <c r="AQ9"/>
  <c r="AR9"/>
  <c r="AS9"/>
  <c r="AT9"/>
  <c r="AB10"/>
  <c r="AC10"/>
  <c r="AD10"/>
  <c r="AE10"/>
  <c r="AF10"/>
  <c r="AG10"/>
  <c r="AH10"/>
  <c r="AI10"/>
  <c r="AJ10"/>
  <c r="AK10"/>
  <c r="AL10"/>
  <c r="AM10"/>
  <c r="AN10"/>
  <c r="AO10"/>
  <c r="AP10"/>
  <c r="AQ10"/>
  <c r="AR10"/>
  <c r="AS10"/>
  <c r="AT10"/>
  <c r="AB11"/>
  <c r="AC11"/>
  <c r="AD11"/>
  <c r="AE11"/>
  <c r="AF11"/>
  <c r="AG11"/>
  <c r="AH11"/>
  <c r="AI11"/>
  <c r="AJ11"/>
  <c r="AK11"/>
  <c r="AL11"/>
  <c r="AM11"/>
  <c r="AN11"/>
  <c r="AO11"/>
  <c r="AP11"/>
  <c r="AQ11"/>
  <c r="AR11"/>
  <c r="AS11"/>
  <c r="AT11"/>
  <c r="AB12"/>
  <c r="AC12"/>
  <c r="AD12"/>
  <c r="AE12"/>
  <c r="AF12"/>
  <c r="AG12"/>
  <c r="AH12"/>
  <c r="AI12"/>
  <c r="AJ12"/>
  <c r="AK12"/>
  <c r="AL12"/>
  <c r="AM12"/>
  <c r="AN12"/>
  <c r="AO12"/>
  <c r="AP12"/>
  <c r="AQ12"/>
  <c r="AR12"/>
  <c r="AS12"/>
  <c r="AT12"/>
  <c r="AU12"/>
  <c r="AV12"/>
  <c r="AW12"/>
  <c r="AZ12"/>
  <c r="BA12"/>
  <c r="BB12"/>
  <c r="BC12"/>
  <c r="BD12"/>
  <c r="BE12"/>
  <c r="AB13"/>
  <c r="AC13"/>
  <c r="AD13"/>
  <c r="AE13"/>
  <c r="AF13"/>
  <c r="AG13"/>
  <c r="AH13"/>
  <c r="AI13"/>
  <c r="AJ13"/>
  <c r="AK13"/>
  <c r="AL13"/>
  <c r="AM13"/>
  <c r="AN13"/>
  <c r="AO13"/>
  <c r="AP13"/>
  <c r="AQ13"/>
  <c r="AR13"/>
  <c r="AS13"/>
  <c r="AT13"/>
  <c r="AU13"/>
  <c r="AV13"/>
  <c r="AW13"/>
  <c r="AZ13"/>
  <c r="BA13"/>
  <c r="BB13"/>
  <c r="BC13"/>
  <c r="BD13"/>
  <c r="BE13"/>
  <c r="AB14"/>
  <c r="AC14"/>
  <c r="AD14"/>
  <c r="AE14"/>
  <c r="AF14"/>
  <c r="AG14"/>
  <c r="AH14"/>
  <c r="AI14"/>
  <c r="AJ14"/>
  <c r="AK14"/>
  <c r="AL14"/>
  <c r="AM14"/>
  <c r="AN14"/>
  <c r="AO14"/>
  <c r="AP14"/>
  <c r="AQ14"/>
  <c r="AR14"/>
  <c r="AS14"/>
  <c r="AT14"/>
  <c r="AU14"/>
  <c r="AV14"/>
  <c r="AW14"/>
  <c r="AZ14"/>
  <c r="BA14"/>
  <c r="BB14"/>
  <c r="BC14"/>
  <c r="BD14"/>
  <c r="BE14"/>
  <c r="AB15"/>
  <c r="AC15"/>
  <c r="AD15"/>
  <c r="AE15"/>
  <c r="AF15"/>
  <c r="AG15"/>
  <c r="AH15"/>
  <c r="AI15"/>
  <c r="AJ15"/>
  <c r="AK15"/>
  <c r="AL15"/>
  <c r="AM15"/>
  <c r="AN15"/>
  <c r="AO15"/>
  <c r="AP15"/>
  <c r="AQ15"/>
  <c r="AR15"/>
  <c r="AS15"/>
  <c r="AT15"/>
  <c r="AU15"/>
  <c r="AV15"/>
  <c r="AW15"/>
  <c r="AZ15"/>
  <c r="BA15"/>
  <c r="BB15"/>
  <c r="BC15"/>
  <c r="BD15"/>
  <c r="BE15"/>
  <c r="AB16"/>
  <c r="AC16"/>
  <c r="AD16"/>
  <c r="AE16"/>
  <c r="AF16"/>
  <c r="AG16"/>
  <c r="AH16"/>
  <c r="AI16"/>
  <c r="AJ16"/>
  <c r="AK16"/>
  <c r="AL16"/>
  <c r="AM16"/>
  <c r="AN16"/>
  <c r="AO16"/>
  <c r="AP16"/>
  <c r="AQ16"/>
  <c r="AR16"/>
  <c r="AS16"/>
  <c r="AT16"/>
  <c r="AU16"/>
  <c r="AV16"/>
  <c r="AW16"/>
  <c r="AZ16"/>
  <c r="BA16"/>
  <c r="BB16"/>
  <c r="BC16"/>
  <c r="BD16"/>
  <c r="BE16"/>
  <c r="AB17"/>
  <c r="AC17"/>
  <c r="AD17"/>
  <c r="AE17"/>
  <c r="AF17"/>
  <c r="AG17"/>
  <c r="AH17"/>
  <c r="AI17"/>
  <c r="AJ17"/>
  <c r="AK17"/>
  <c r="AL17"/>
  <c r="AM17"/>
  <c r="AN17"/>
  <c r="AO17"/>
  <c r="AP17"/>
  <c r="AQ17"/>
  <c r="AR17"/>
  <c r="AS17"/>
  <c r="AT17"/>
  <c r="AU17"/>
  <c r="AV17"/>
  <c r="AW17"/>
  <c r="AZ17"/>
  <c r="BA17"/>
  <c r="BB17"/>
  <c r="BC17"/>
  <c r="BD17"/>
  <c r="BE17"/>
  <c r="AB18"/>
  <c r="AC18"/>
  <c r="AD18"/>
  <c r="AE18"/>
  <c r="AF18"/>
  <c r="AG18"/>
  <c r="AH18"/>
  <c r="AI18"/>
  <c r="AJ18"/>
  <c r="AK18"/>
  <c r="AL18"/>
  <c r="AM18"/>
  <c r="AN18"/>
  <c r="AO18"/>
  <c r="AP18"/>
  <c r="AQ18"/>
  <c r="AR18"/>
  <c r="AS18"/>
  <c r="AT18"/>
  <c r="AU18"/>
  <c r="AV18"/>
  <c r="AW18"/>
  <c r="AZ18"/>
  <c r="BA18"/>
  <c r="BB18"/>
  <c r="BC18"/>
  <c r="BD18"/>
  <c r="BE18"/>
  <c r="AB19"/>
  <c r="AC19"/>
  <c r="AD19"/>
  <c r="AE19"/>
  <c r="AF19"/>
  <c r="AG19"/>
  <c r="AH19"/>
  <c r="AI19"/>
  <c r="AJ19"/>
  <c r="AK19"/>
  <c r="AL19"/>
  <c r="AM19"/>
  <c r="AN19"/>
  <c r="AO19"/>
  <c r="AP19"/>
  <c r="AQ19"/>
  <c r="AR19"/>
  <c r="AS19"/>
  <c r="AT19"/>
  <c r="AU19"/>
  <c r="AV19"/>
  <c r="AW19"/>
  <c r="AZ19"/>
  <c r="BA19"/>
  <c r="BB19"/>
  <c r="BC19"/>
  <c r="BD19"/>
  <c r="BE19"/>
  <c r="BH19"/>
  <c r="BI19"/>
  <c r="BJ19"/>
  <c r="BK19"/>
  <c r="BL19"/>
  <c r="BM19"/>
  <c r="BN19"/>
  <c r="BO19"/>
  <c r="BP19"/>
  <c r="BQ19"/>
  <c r="BR19"/>
  <c r="BS19"/>
  <c r="BT19"/>
  <c r="BU19"/>
  <c r="BV19"/>
  <c r="BW19"/>
  <c r="BX19"/>
  <c r="BY19"/>
  <c r="BZ19"/>
  <c r="CA19"/>
  <c r="CB19"/>
  <c r="CC19"/>
  <c r="CD19"/>
  <c r="CE19"/>
  <c r="CF19"/>
  <c r="CG19"/>
  <c r="CH19"/>
  <c r="CI19"/>
  <c r="CJ19"/>
  <c r="CK19"/>
  <c r="AB20"/>
  <c r="AC20"/>
  <c r="AD20"/>
  <c r="AE20"/>
  <c r="AF20"/>
  <c r="AG20"/>
  <c r="AH20"/>
  <c r="AI20"/>
  <c r="AJ20"/>
  <c r="AK20"/>
  <c r="AL20"/>
  <c r="AM20"/>
  <c r="AN20"/>
  <c r="AO20"/>
  <c r="AP20"/>
  <c r="AQ20"/>
  <c r="AR20"/>
  <c r="AS20"/>
  <c r="AT20"/>
  <c r="AU20"/>
  <c r="AV20"/>
  <c r="AW20"/>
  <c r="AZ20"/>
  <c r="BA20"/>
  <c r="BB20"/>
  <c r="BC20"/>
  <c r="BD20"/>
  <c r="BE20"/>
  <c r="BH20"/>
  <c r="BI20"/>
  <c r="BJ20"/>
  <c r="BK20"/>
  <c r="BL20"/>
  <c r="BM20"/>
  <c r="BN20"/>
  <c r="BO20"/>
  <c r="BP20"/>
  <c r="BQ20"/>
  <c r="BR20"/>
  <c r="BS20"/>
  <c r="BT20"/>
  <c r="BU20"/>
  <c r="BV20"/>
  <c r="BW20"/>
  <c r="BX20"/>
  <c r="BY20"/>
  <c r="BZ20"/>
  <c r="CA20"/>
  <c r="CB20"/>
  <c r="CC20"/>
  <c r="CD20"/>
  <c r="CE20"/>
  <c r="CF20"/>
  <c r="CG20"/>
  <c r="CH20"/>
  <c r="CI20"/>
  <c r="CJ20"/>
  <c r="CK20"/>
  <c r="AB21"/>
  <c r="AC21"/>
  <c r="AD21"/>
  <c r="AE21"/>
  <c r="AF21"/>
  <c r="AG21"/>
  <c r="AH21"/>
  <c r="AI21"/>
  <c r="AJ21"/>
  <c r="AK21"/>
  <c r="AL21"/>
  <c r="AM21"/>
  <c r="AN21"/>
  <c r="AO21"/>
  <c r="AP21"/>
  <c r="AQ21"/>
  <c r="AR21"/>
  <c r="AS21"/>
  <c r="AT21"/>
  <c r="AU21"/>
  <c r="AV21"/>
  <c r="AW21"/>
  <c r="AZ21"/>
  <c r="BA21"/>
  <c r="BB21"/>
  <c r="BC21"/>
  <c r="BD21"/>
  <c r="BE21"/>
  <c r="BH21"/>
  <c r="BI21"/>
  <c r="BJ21"/>
  <c r="BK21"/>
  <c r="BL21"/>
  <c r="BM21"/>
  <c r="BN21"/>
  <c r="BO21"/>
  <c r="BP21"/>
  <c r="BQ21"/>
  <c r="BR21"/>
  <c r="BS21"/>
  <c r="BT21"/>
  <c r="BU21"/>
  <c r="BV21"/>
  <c r="BW21"/>
  <c r="BX21"/>
  <c r="BY21"/>
  <c r="BZ21"/>
  <c r="CA21"/>
  <c r="CB21"/>
  <c r="CC21"/>
  <c r="CD21"/>
  <c r="CE21"/>
  <c r="CF21"/>
  <c r="CG21"/>
  <c r="CH21"/>
  <c r="CI21"/>
  <c r="CJ21"/>
  <c r="CK21"/>
  <c r="AB22"/>
  <c r="AC22"/>
  <c r="AD22"/>
  <c r="AE22"/>
  <c r="AF22"/>
  <c r="AG22"/>
  <c r="AH22"/>
  <c r="AI22"/>
  <c r="AJ22"/>
  <c r="AK22"/>
  <c r="AL22"/>
  <c r="AM22"/>
  <c r="AN22"/>
  <c r="AO22"/>
  <c r="AP22"/>
  <c r="AQ22"/>
  <c r="AR22"/>
  <c r="AS22"/>
  <c r="AT22"/>
  <c r="AU22"/>
  <c r="AV22"/>
  <c r="AW22"/>
  <c r="AZ22"/>
  <c r="BA22"/>
  <c r="BB22"/>
  <c r="BC22"/>
  <c r="BD22"/>
  <c r="BE22"/>
  <c r="BH22"/>
  <c r="BI22"/>
  <c r="BJ22"/>
  <c r="BK22"/>
  <c r="BL22"/>
  <c r="BM22"/>
  <c r="BN22"/>
  <c r="BO22"/>
  <c r="BP22"/>
  <c r="BQ22"/>
  <c r="BR22"/>
  <c r="BS22"/>
  <c r="BT22"/>
  <c r="BU22"/>
  <c r="BV22"/>
  <c r="BW22"/>
  <c r="BX22"/>
  <c r="BY22"/>
  <c r="BZ22"/>
  <c r="CA22"/>
  <c r="CB22"/>
  <c r="CC22"/>
  <c r="CD22"/>
  <c r="CE22"/>
  <c r="CF22"/>
  <c r="CG22"/>
  <c r="CH22"/>
  <c r="CI22"/>
  <c r="CJ22"/>
  <c r="CK22"/>
  <c r="AB23"/>
  <c r="AC23"/>
  <c r="AD23"/>
  <c r="AE23"/>
  <c r="AF23"/>
  <c r="AG23"/>
  <c r="AH23"/>
  <c r="AI23"/>
  <c r="AJ23"/>
  <c r="AK23"/>
  <c r="AL23"/>
  <c r="AM23"/>
  <c r="AN23"/>
  <c r="AO23"/>
  <c r="AP23"/>
  <c r="AQ23"/>
  <c r="AR23"/>
  <c r="AS23"/>
  <c r="AT23"/>
  <c r="AU23"/>
  <c r="AV23"/>
  <c r="AW23"/>
  <c r="AZ23"/>
  <c r="BA23"/>
  <c r="BB23"/>
  <c r="BC23"/>
  <c r="BD23"/>
  <c r="BE23"/>
  <c r="BH23"/>
  <c r="BI23"/>
  <c r="BJ23"/>
  <c r="BK23"/>
  <c r="BL23"/>
  <c r="BM23"/>
  <c r="BN23"/>
  <c r="BO23"/>
  <c r="BP23"/>
  <c r="BQ23"/>
  <c r="BR23"/>
  <c r="BS23"/>
  <c r="BT23"/>
  <c r="BU23"/>
  <c r="BV23"/>
  <c r="BW23"/>
  <c r="BX23"/>
  <c r="BY23"/>
  <c r="BZ23"/>
  <c r="CA23"/>
  <c r="CB23"/>
  <c r="CC23"/>
  <c r="CD23"/>
  <c r="CE23"/>
  <c r="CF23"/>
  <c r="CG23"/>
  <c r="CH23"/>
  <c r="CI23"/>
  <c r="CJ23"/>
  <c r="CK23"/>
  <c r="AB24"/>
  <c r="AC24"/>
  <c r="AD24"/>
  <c r="AE24"/>
  <c r="AF24"/>
  <c r="AG24"/>
  <c r="AH24"/>
  <c r="AI24"/>
  <c r="AJ24"/>
  <c r="AK24"/>
  <c r="AL24"/>
  <c r="AM24"/>
  <c r="AN24"/>
  <c r="AO24"/>
  <c r="AP24"/>
  <c r="AQ24"/>
  <c r="AR24"/>
  <c r="AS24"/>
  <c r="AT24"/>
  <c r="AU24"/>
  <c r="AV24"/>
  <c r="AW24"/>
  <c r="AZ24"/>
  <c r="BA24"/>
  <c r="BB24"/>
  <c r="BC24"/>
  <c r="BD24"/>
  <c r="BE24"/>
  <c r="BH24"/>
  <c r="BI24"/>
  <c r="BJ24"/>
  <c r="BK24"/>
  <c r="BL24"/>
  <c r="BM24"/>
  <c r="BN24"/>
  <c r="BO24"/>
  <c r="BP24"/>
  <c r="BQ24"/>
  <c r="BR24"/>
  <c r="BS24"/>
  <c r="BT24"/>
  <c r="BU24"/>
  <c r="BV24"/>
  <c r="BW24"/>
  <c r="BX24"/>
  <c r="BY24"/>
  <c r="BZ24"/>
  <c r="CA24"/>
  <c r="CB24"/>
  <c r="CC24"/>
  <c r="CD24"/>
  <c r="CE24"/>
  <c r="CF24"/>
  <c r="CG24"/>
  <c r="CH24"/>
  <c r="CI24"/>
  <c r="CJ24"/>
  <c r="CK24"/>
  <c r="AB25"/>
  <c r="AC25"/>
  <c r="AD25"/>
  <c r="AE25"/>
  <c r="AF25"/>
  <c r="AG25"/>
  <c r="AH25"/>
  <c r="AI25"/>
  <c r="AJ25"/>
  <c r="AK25"/>
  <c r="AL25"/>
  <c r="AM25"/>
  <c r="AN25"/>
  <c r="AO25"/>
  <c r="AP25"/>
  <c r="AQ25"/>
  <c r="AR25"/>
  <c r="AS25"/>
  <c r="AT25"/>
  <c r="AU25"/>
  <c r="AV25"/>
  <c r="AW25"/>
  <c r="AZ25"/>
  <c r="BA25"/>
  <c r="BB25"/>
  <c r="BC25"/>
  <c r="BD25"/>
  <c r="BE25"/>
  <c r="BH25"/>
  <c r="BI25"/>
  <c r="BJ25"/>
  <c r="BK25"/>
  <c r="BL25"/>
  <c r="BM25"/>
  <c r="BN25"/>
  <c r="BO25"/>
  <c r="BP25"/>
  <c r="BQ25"/>
  <c r="BR25"/>
  <c r="BS25"/>
  <c r="BT25"/>
  <c r="BU25"/>
  <c r="BV25"/>
  <c r="BW25"/>
  <c r="BX25"/>
  <c r="BY25"/>
  <c r="BZ25"/>
  <c r="CA25"/>
  <c r="CB25"/>
  <c r="CC25"/>
  <c r="CD25"/>
  <c r="CE25"/>
  <c r="CF25"/>
  <c r="CG25"/>
  <c r="CH25"/>
  <c r="CI25"/>
  <c r="CJ25"/>
  <c r="CK25"/>
  <c r="AB26"/>
  <c r="AC26"/>
  <c r="AD26"/>
  <c r="AE26"/>
  <c r="AF26"/>
  <c r="AG26"/>
  <c r="AH26"/>
  <c r="AI26"/>
  <c r="AJ26"/>
  <c r="AK26"/>
  <c r="AL26"/>
  <c r="AM26"/>
  <c r="AN26"/>
  <c r="AO26"/>
  <c r="AP26"/>
  <c r="AQ26"/>
  <c r="AR26"/>
  <c r="AS26"/>
  <c r="AT26"/>
  <c r="AU26"/>
  <c r="AV26"/>
  <c r="AW26"/>
  <c r="AZ26"/>
  <c r="BA26"/>
  <c r="BB26"/>
  <c r="BC26"/>
  <c r="BD26"/>
  <c r="BE26"/>
  <c r="BH26"/>
  <c r="BI26"/>
  <c r="BJ26"/>
  <c r="BK26"/>
  <c r="BL26"/>
  <c r="BM26"/>
  <c r="BN26"/>
  <c r="BO26"/>
  <c r="BP26"/>
  <c r="BQ26"/>
  <c r="BR26"/>
  <c r="BS26"/>
  <c r="BT26"/>
  <c r="BU26"/>
  <c r="BV26"/>
  <c r="BW26"/>
  <c r="BX26"/>
  <c r="BY26"/>
  <c r="BZ26"/>
  <c r="CA26"/>
  <c r="CB26"/>
  <c r="CC26"/>
  <c r="CD26"/>
  <c r="CE26"/>
  <c r="CF26"/>
  <c r="CG26"/>
  <c r="CH26"/>
  <c r="CI26"/>
  <c r="CJ26"/>
  <c r="CK26"/>
  <c r="BH27"/>
  <c r="BI27"/>
  <c r="BJ27"/>
  <c r="BK27"/>
  <c r="BL27"/>
  <c r="BM27"/>
  <c r="BN27"/>
  <c r="BO27"/>
  <c r="BP27"/>
  <c r="BQ27"/>
  <c r="BR27"/>
  <c r="BS27"/>
  <c r="BT27"/>
  <c r="BU27"/>
  <c r="BV27"/>
  <c r="BW27"/>
  <c r="BX27"/>
  <c r="BY27"/>
  <c r="BZ27"/>
  <c r="CA27"/>
  <c r="CB27"/>
  <c r="CC27"/>
  <c r="CD27"/>
  <c r="CE27"/>
  <c r="CF27"/>
  <c r="CG27"/>
  <c r="CH27"/>
  <c r="CI27"/>
  <c r="CJ27"/>
  <c r="CK27"/>
  <c r="BH28"/>
  <c r="BI28"/>
  <c r="BJ28"/>
  <c r="BK28"/>
  <c r="BL28"/>
  <c r="BM28"/>
  <c r="BN28"/>
  <c r="BO28"/>
  <c r="BP28"/>
  <c r="BQ28"/>
  <c r="BR28"/>
  <c r="BS28"/>
  <c r="BT28"/>
  <c r="BU28"/>
  <c r="BV28"/>
  <c r="BW28"/>
  <c r="BX28"/>
  <c r="BY28"/>
  <c r="BZ28"/>
  <c r="CA28"/>
  <c r="CB28"/>
  <c r="CC28"/>
  <c r="CD28"/>
  <c r="CE28"/>
  <c r="CF28"/>
  <c r="CG28"/>
  <c r="CH28"/>
  <c r="CI28"/>
  <c r="CJ28"/>
  <c r="CK28"/>
  <c r="BH29"/>
  <c r="BI29"/>
  <c r="BJ29"/>
  <c r="BK29"/>
  <c r="BL29"/>
  <c r="BM29"/>
  <c r="BN29"/>
  <c r="BO29"/>
  <c r="BP29"/>
  <c r="BQ29"/>
  <c r="BR29"/>
  <c r="BS29"/>
  <c r="BT29"/>
  <c r="BU29"/>
  <c r="BV29"/>
  <c r="BW29"/>
  <c r="BX29"/>
  <c r="BY29"/>
  <c r="BZ29"/>
  <c r="CA29"/>
  <c r="CB29"/>
  <c r="CC29"/>
  <c r="CD29"/>
  <c r="CE29"/>
  <c r="CF29"/>
  <c r="CG29"/>
  <c r="CH29"/>
  <c r="CI29"/>
  <c r="CJ29"/>
  <c r="CK29"/>
  <c r="BH30"/>
  <c r="BI30"/>
  <c r="BJ30"/>
  <c r="BK30"/>
  <c r="BL30"/>
  <c r="BM30"/>
  <c r="BN30"/>
  <c r="BO30"/>
  <c r="BP30"/>
  <c r="BQ30"/>
  <c r="BR30"/>
  <c r="BS30"/>
  <c r="BT30"/>
  <c r="BU30"/>
  <c r="BV30"/>
  <c r="BW30"/>
  <c r="BX30"/>
  <c r="BY30"/>
  <c r="BZ30"/>
  <c r="CA30"/>
  <c r="CB30"/>
  <c r="CC30"/>
  <c r="CD30"/>
  <c r="CE30"/>
  <c r="CF30"/>
  <c r="CG30"/>
  <c r="CH30"/>
  <c r="CI30"/>
  <c r="CJ30"/>
  <c r="CK30"/>
  <c r="BH31"/>
  <c r="BI31"/>
  <c r="BJ31"/>
  <c r="BK31"/>
  <c r="BL31"/>
  <c r="BM31"/>
  <c r="BN31"/>
  <c r="BO31"/>
  <c r="BP31"/>
  <c r="BQ31"/>
  <c r="BR31"/>
  <c r="BS31"/>
  <c r="BT31"/>
  <c r="BU31"/>
  <c r="BV31"/>
  <c r="BW31"/>
  <c r="BX31"/>
  <c r="BY31"/>
  <c r="BZ31"/>
  <c r="CA31"/>
  <c r="CB31"/>
  <c r="CC31"/>
  <c r="CD31"/>
  <c r="CE31"/>
  <c r="CF31"/>
  <c r="CG31"/>
  <c r="CH31"/>
  <c r="CI31"/>
  <c r="CJ31"/>
  <c r="CK31"/>
  <c r="BH32"/>
  <c r="BI32"/>
  <c r="BJ32"/>
  <c r="BK32"/>
  <c r="BL32"/>
  <c r="BM32"/>
  <c r="BN32"/>
  <c r="BO32"/>
  <c r="BP32"/>
  <c r="BQ32"/>
  <c r="BR32"/>
  <c r="BS32"/>
  <c r="BT32"/>
  <c r="BU32"/>
  <c r="BV32"/>
  <c r="BW32"/>
  <c r="BX32"/>
  <c r="BY32"/>
  <c r="BZ32"/>
  <c r="CA32"/>
  <c r="CB32"/>
  <c r="CC32"/>
  <c r="CD32"/>
  <c r="CE32"/>
  <c r="CF32"/>
  <c r="CG32"/>
  <c r="CH32"/>
  <c r="CI32"/>
  <c r="CJ32"/>
  <c r="CK32"/>
  <c r="BH33"/>
  <c r="BI33"/>
  <c r="BJ33"/>
  <c r="BK33"/>
  <c r="BL33"/>
  <c r="BM33"/>
  <c r="BN33"/>
  <c r="BO33"/>
  <c r="BP33"/>
  <c r="BQ33"/>
  <c r="BR33"/>
  <c r="BS33"/>
  <c r="BT33"/>
  <c r="BU33"/>
  <c r="BV33"/>
  <c r="BW33"/>
  <c r="BX33"/>
  <c r="BY33"/>
  <c r="BZ33"/>
  <c r="CA33"/>
  <c r="CB33"/>
  <c r="CC33"/>
  <c r="CD33"/>
  <c r="CE33"/>
  <c r="CF33"/>
  <c r="CG33"/>
  <c r="CH33"/>
  <c r="CI33"/>
  <c r="CJ33"/>
  <c r="CK33"/>
  <c r="BH34"/>
  <c r="BI34"/>
  <c r="BJ34"/>
  <c r="BK34"/>
  <c r="BL34"/>
  <c r="BM34"/>
  <c r="BN34"/>
  <c r="BO34"/>
  <c r="BP34"/>
  <c r="BQ34"/>
  <c r="BR34"/>
  <c r="BS34"/>
  <c r="BT34"/>
  <c r="BU34"/>
  <c r="BV34"/>
  <c r="BW34"/>
  <c r="BX34"/>
  <c r="BY34"/>
  <c r="BZ34"/>
  <c r="CA34"/>
  <c r="CB34"/>
  <c r="CC34"/>
  <c r="CD34"/>
  <c r="CE34"/>
  <c r="CF34"/>
  <c r="CG34"/>
  <c r="CH34"/>
  <c r="CI34"/>
  <c r="CJ34"/>
  <c r="CK34"/>
  <c r="BH35"/>
  <c r="BI35"/>
  <c r="BJ35"/>
  <c r="BK35"/>
  <c r="BL35"/>
  <c r="BM35"/>
  <c r="BN35"/>
  <c r="BO35"/>
  <c r="BP35"/>
  <c r="BQ35"/>
  <c r="BR35"/>
  <c r="BS35"/>
  <c r="BT35"/>
  <c r="BU35"/>
  <c r="BV35"/>
  <c r="BW35"/>
  <c r="BX35"/>
  <c r="BY35"/>
  <c r="BZ35"/>
  <c r="CA35"/>
  <c r="CB35"/>
  <c r="CC35"/>
  <c r="CD35"/>
  <c r="CE35"/>
  <c r="CF35"/>
  <c r="CG35"/>
  <c r="CH35"/>
  <c r="CI35"/>
  <c r="CJ35"/>
  <c r="CK35"/>
  <c r="BH36"/>
  <c r="BI36"/>
  <c r="BJ36"/>
  <c r="BK36"/>
  <c r="BL36"/>
  <c r="BM36"/>
  <c r="BN36"/>
  <c r="BO36"/>
  <c r="BP36"/>
  <c r="BQ36"/>
  <c r="BR36"/>
  <c r="BS36"/>
  <c r="BT36"/>
  <c r="BU36"/>
  <c r="BV36"/>
  <c r="BW36"/>
  <c r="BX36"/>
  <c r="BY36"/>
  <c r="BZ36"/>
  <c r="CA36"/>
  <c r="CB36"/>
  <c r="CC36"/>
  <c r="CD36"/>
  <c r="CE36"/>
  <c r="CF36"/>
  <c r="CG36"/>
  <c r="CH36"/>
  <c r="CI36"/>
  <c r="CJ36"/>
  <c r="CK36"/>
  <c r="BH37"/>
  <c r="BI37"/>
  <c r="BJ37"/>
  <c r="BK37"/>
  <c r="BL37"/>
  <c r="BM37"/>
  <c r="BN37"/>
  <c r="BO37"/>
  <c r="BP37"/>
  <c r="BQ37"/>
  <c r="BR37"/>
  <c r="BS37"/>
  <c r="BT37"/>
  <c r="BU37"/>
  <c r="BV37"/>
  <c r="BW37"/>
  <c r="BX37"/>
  <c r="BY37"/>
  <c r="BZ37"/>
  <c r="CA37"/>
  <c r="CB37"/>
  <c r="CC37"/>
  <c r="CD37"/>
  <c r="CE37"/>
  <c r="CF37"/>
  <c r="CG37"/>
  <c r="CH37"/>
  <c r="CI37"/>
  <c r="CJ37"/>
  <c r="CK37"/>
  <c r="BH38"/>
  <c r="BI38"/>
  <c r="BJ38"/>
  <c r="BK38"/>
  <c r="BL38"/>
  <c r="BM38"/>
  <c r="BN38"/>
  <c r="BO38"/>
  <c r="BP38"/>
  <c r="BQ38"/>
  <c r="BR38"/>
  <c r="BS38"/>
  <c r="BT38"/>
  <c r="BU38"/>
  <c r="BV38"/>
  <c r="BW38"/>
  <c r="BX38"/>
  <c r="BY38"/>
  <c r="BZ38"/>
  <c r="CA38"/>
  <c r="CB38"/>
  <c r="CC38"/>
  <c r="CD38"/>
  <c r="CE38"/>
  <c r="CF38"/>
  <c r="CG38"/>
  <c r="CH38"/>
  <c r="CI38"/>
  <c r="CJ38"/>
  <c r="CK38"/>
  <c r="BH39"/>
  <c r="BI39"/>
  <c r="BJ39"/>
  <c r="BK39"/>
  <c r="BL39"/>
  <c r="BM39"/>
  <c r="BN39"/>
  <c r="BO39"/>
  <c r="BP39"/>
  <c r="BQ39"/>
  <c r="BR39"/>
  <c r="BS39"/>
  <c r="BT39"/>
  <c r="BU39"/>
  <c r="BV39"/>
  <c r="BW39"/>
  <c r="BX39"/>
  <c r="BY39"/>
  <c r="BZ39"/>
  <c r="CA39"/>
  <c r="CB39"/>
  <c r="CC39"/>
  <c r="CD39"/>
  <c r="CE39"/>
  <c r="CF39"/>
  <c r="CG39"/>
  <c r="CH39"/>
  <c r="CI39"/>
  <c r="CJ39"/>
  <c r="CK39"/>
  <c r="BH40"/>
  <c r="BI40"/>
  <c r="BJ40"/>
  <c r="BK40"/>
  <c r="BL40"/>
  <c r="BM40"/>
  <c r="BN40"/>
  <c r="BO40"/>
  <c r="BP40"/>
  <c r="BQ40"/>
  <c r="BR40"/>
  <c r="BS40"/>
  <c r="BT40"/>
  <c r="BU40"/>
  <c r="BV40"/>
  <c r="BW40"/>
  <c r="BX40"/>
  <c r="BY40"/>
  <c r="BZ40"/>
  <c r="CA40"/>
  <c r="CB40"/>
  <c r="CC40"/>
  <c r="CD40"/>
  <c r="CE40"/>
  <c r="CF40"/>
  <c r="CG40"/>
  <c r="CH40"/>
  <c r="CI40"/>
  <c r="CJ40"/>
  <c r="CK40"/>
  <c r="BH41"/>
  <c r="BI41"/>
  <c r="BJ41"/>
  <c r="BK41"/>
  <c r="BL41"/>
  <c r="BM41"/>
  <c r="BN41"/>
  <c r="BO41"/>
  <c r="BP41"/>
  <c r="BQ41"/>
  <c r="BR41"/>
  <c r="BS41"/>
  <c r="BT41"/>
  <c r="BU41"/>
  <c r="BV41"/>
  <c r="BW41"/>
  <c r="BX41"/>
  <c r="BY41"/>
  <c r="BZ41"/>
  <c r="CA41"/>
  <c r="CB41"/>
  <c r="CC41"/>
  <c r="CD41"/>
  <c r="CE41"/>
  <c r="CF41"/>
  <c r="CG41"/>
  <c r="CH41"/>
  <c r="CI41"/>
  <c r="CJ41"/>
  <c r="CK41"/>
  <c r="BH42"/>
  <c r="BI42"/>
  <c r="BJ42"/>
  <c r="BK42"/>
  <c r="BL42"/>
  <c r="BM42"/>
  <c r="BN42"/>
  <c r="BO42"/>
  <c r="BP42"/>
  <c r="BQ42"/>
  <c r="BR42"/>
  <c r="BS42"/>
  <c r="BT42"/>
  <c r="BU42"/>
  <c r="BV42"/>
  <c r="BW42"/>
  <c r="BX42"/>
  <c r="BY42"/>
  <c r="BZ42"/>
  <c r="CA42"/>
  <c r="CB42"/>
  <c r="CC42"/>
  <c r="CD42"/>
  <c r="CE42"/>
  <c r="CF42"/>
  <c r="CG42"/>
  <c r="CH42"/>
  <c r="CI42"/>
  <c r="CJ42"/>
  <c r="CK42"/>
  <c r="BH43"/>
  <c r="BI43"/>
  <c r="BJ43"/>
  <c r="BK43"/>
  <c r="BL43"/>
  <c r="BM43"/>
  <c r="BN43"/>
  <c r="BO43"/>
  <c r="BP43"/>
  <c r="BQ43"/>
  <c r="BR43"/>
  <c r="BS43"/>
  <c r="BT43"/>
  <c r="BU43"/>
  <c r="BV43"/>
  <c r="BW43"/>
  <c r="BX43"/>
  <c r="BY43"/>
  <c r="BZ43"/>
  <c r="CA43"/>
  <c r="CB43"/>
  <c r="CC43"/>
  <c r="CD43"/>
  <c r="CE43"/>
  <c r="CF43"/>
  <c r="CG43"/>
  <c r="CH43"/>
  <c r="CI43"/>
  <c r="CJ43"/>
  <c r="CK43"/>
  <c r="BH49"/>
  <c r="BI49"/>
  <c r="BJ49"/>
  <c r="BK49"/>
  <c r="BL49"/>
  <c r="BM49"/>
  <c r="BN49"/>
  <c r="BO49"/>
  <c r="BP49"/>
  <c r="BQ49"/>
  <c r="BR49"/>
  <c r="BS49"/>
  <c r="BT49"/>
  <c r="BU49"/>
  <c r="BV49"/>
  <c r="BW49"/>
  <c r="BX49"/>
  <c r="BY49"/>
  <c r="BZ49"/>
  <c r="CA49"/>
  <c r="CB49"/>
  <c r="CC49"/>
  <c r="CD49"/>
  <c r="CE49"/>
  <c r="CF49"/>
  <c r="CG49"/>
  <c r="CH49"/>
  <c r="CI49"/>
  <c r="CJ49"/>
  <c r="CK49"/>
  <c r="BH50"/>
  <c r="BI50"/>
  <c r="BJ50"/>
  <c r="BK50"/>
  <c r="BL50"/>
  <c r="BM50"/>
  <c r="BN50"/>
  <c r="BO50"/>
  <c r="BP50"/>
  <c r="BQ50"/>
  <c r="BR50"/>
  <c r="BS50"/>
  <c r="BT50"/>
  <c r="BU50"/>
  <c r="BV50"/>
  <c r="BW50"/>
  <c r="BX50"/>
  <c r="BY50"/>
  <c r="BZ50"/>
  <c r="CA50"/>
  <c r="CB50"/>
  <c r="CC50"/>
  <c r="CD50"/>
  <c r="CE50"/>
  <c r="CF50"/>
  <c r="CG50"/>
  <c r="CH50"/>
  <c r="CI50"/>
  <c r="CJ50"/>
  <c r="CK50"/>
  <c r="BH51"/>
  <c r="BI51"/>
  <c r="BJ51"/>
  <c r="BK51"/>
  <c r="BL51"/>
  <c r="BM51"/>
  <c r="BN51"/>
  <c r="BO51"/>
  <c r="BP51"/>
  <c r="BQ51"/>
  <c r="BR51"/>
  <c r="BS51"/>
  <c r="BT51"/>
  <c r="BU51"/>
  <c r="BV51"/>
  <c r="BW51"/>
  <c r="BX51"/>
  <c r="BY51"/>
  <c r="BZ51"/>
  <c r="CA51"/>
  <c r="CB51"/>
  <c r="CC51"/>
  <c r="CD51"/>
  <c r="CE51"/>
  <c r="CF51"/>
  <c r="CG51"/>
  <c r="CH51"/>
  <c r="CI51"/>
  <c r="CJ51"/>
  <c r="CK51"/>
  <c r="BH52"/>
  <c r="BI52"/>
  <c r="BJ52"/>
  <c r="BK52"/>
  <c r="BL52"/>
  <c r="BM52"/>
  <c r="BN52"/>
  <c r="BO52"/>
  <c r="BP52"/>
  <c r="BQ52"/>
  <c r="BR52"/>
  <c r="BS52"/>
  <c r="BT52"/>
  <c r="BU52"/>
  <c r="BV52"/>
  <c r="BW52"/>
  <c r="BX52"/>
  <c r="BY52"/>
  <c r="BZ52"/>
  <c r="CA52"/>
  <c r="CB52"/>
  <c r="CC52"/>
  <c r="CD52"/>
  <c r="CE52"/>
  <c r="CF52"/>
  <c r="CG52"/>
  <c r="CH52"/>
  <c r="CI52"/>
  <c r="CJ52"/>
  <c r="CK52"/>
  <c r="BH53"/>
  <c r="BI53"/>
  <c r="BJ53"/>
  <c r="BK53"/>
  <c r="BL53"/>
  <c r="BM53"/>
  <c r="BN53"/>
  <c r="BO53"/>
  <c r="BP53"/>
  <c r="BQ53"/>
  <c r="BR53"/>
  <c r="BS53"/>
  <c r="BT53"/>
  <c r="BU53"/>
  <c r="BV53"/>
  <c r="BW53"/>
  <c r="BX53"/>
  <c r="BY53"/>
  <c r="BZ53"/>
  <c r="CA53"/>
  <c r="CB53"/>
  <c r="CC53"/>
  <c r="CD53"/>
  <c r="CE53"/>
  <c r="CF53"/>
  <c r="CG53"/>
  <c r="CH53"/>
  <c r="CI53"/>
  <c r="CJ53"/>
  <c r="CK53"/>
  <c r="BH54"/>
  <c r="BI54"/>
  <c r="BJ54"/>
  <c r="BK54"/>
  <c r="BL54"/>
  <c r="BM54"/>
  <c r="BN54"/>
  <c r="BO54"/>
  <c r="BP54"/>
  <c r="BQ54"/>
  <c r="BR54"/>
  <c r="BS54"/>
  <c r="BT54"/>
  <c r="BU54"/>
  <c r="BV54"/>
  <c r="BW54"/>
  <c r="BX54"/>
  <c r="BY54"/>
  <c r="BZ54"/>
  <c r="CA54"/>
  <c r="CB54"/>
  <c r="CC54"/>
  <c r="CD54"/>
  <c r="CE54"/>
  <c r="CF54"/>
  <c r="CG54"/>
  <c r="CH54"/>
  <c r="CI54"/>
  <c r="CJ54"/>
  <c r="CK54"/>
  <c r="BH55"/>
  <c r="BI55"/>
  <c r="BJ55"/>
  <c r="BK55"/>
  <c r="BL55"/>
  <c r="BM55"/>
  <c r="BN55"/>
  <c r="BO55"/>
  <c r="BP55"/>
  <c r="BQ55"/>
  <c r="BR55"/>
  <c r="BS55"/>
  <c r="BT55"/>
  <c r="BU55"/>
  <c r="BV55"/>
  <c r="BW55"/>
  <c r="BX55"/>
  <c r="BY55"/>
  <c r="BZ55"/>
  <c r="CA55"/>
  <c r="CB55"/>
  <c r="CC55"/>
  <c r="CD55"/>
  <c r="CE55"/>
  <c r="CF55"/>
  <c r="CG55"/>
  <c r="CH55"/>
  <c r="CI55"/>
  <c r="CJ55"/>
  <c r="CK55"/>
  <c r="BH56"/>
  <c r="BI56"/>
  <c r="BJ56"/>
  <c r="BK56"/>
  <c r="BL56"/>
  <c r="BM56"/>
  <c r="BN56"/>
  <c r="BO56"/>
  <c r="BP56"/>
  <c r="BQ56"/>
  <c r="BR56"/>
  <c r="BS56"/>
  <c r="BT56"/>
  <c r="BU56"/>
  <c r="BV56"/>
  <c r="BW56"/>
  <c r="BX56"/>
  <c r="BY56"/>
  <c r="BZ56"/>
  <c r="CA56"/>
  <c r="CB56"/>
  <c r="CC56"/>
  <c r="CD56"/>
  <c r="CE56"/>
  <c r="CF56"/>
  <c r="CG56"/>
  <c r="CH56"/>
  <c r="CI56"/>
  <c r="CJ56"/>
  <c r="CK56"/>
  <c r="BH57"/>
  <c r="BI57"/>
  <c r="BJ57"/>
  <c r="BK57"/>
  <c r="BL57"/>
  <c r="BM57"/>
  <c r="BN57"/>
  <c r="BO57"/>
  <c r="BP57"/>
  <c r="BQ57"/>
  <c r="BR57"/>
  <c r="BS57"/>
  <c r="BT57"/>
  <c r="BU57"/>
  <c r="BV57"/>
  <c r="BW57"/>
  <c r="BX57"/>
  <c r="BY57"/>
  <c r="BZ57"/>
  <c r="CA57"/>
  <c r="CB57"/>
  <c r="CC57"/>
  <c r="CD57"/>
  <c r="CE57"/>
  <c r="CF57"/>
  <c r="CG57"/>
  <c r="CH57"/>
  <c r="CI57"/>
  <c r="CJ57"/>
  <c r="CK57"/>
  <c r="BH58"/>
  <c r="BI58"/>
  <c r="BJ58"/>
  <c r="BK58"/>
  <c r="BL58"/>
  <c r="BM58"/>
  <c r="BN58"/>
  <c r="BO58"/>
  <c r="BP58"/>
  <c r="BQ58"/>
  <c r="BR58"/>
  <c r="BS58"/>
  <c r="BT58"/>
  <c r="BU58"/>
  <c r="BV58"/>
  <c r="BW58"/>
  <c r="BX58"/>
  <c r="BY58"/>
  <c r="BZ58"/>
  <c r="CA58"/>
  <c r="CB58"/>
  <c r="CC58"/>
  <c r="CD58"/>
  <c r="CE58"/>
  <c r="CF58"/>
  <c r="CG58"/>
  <c r="CH58"/>
  <c r="CI58"/>
  <c r="CJ58"/>
  <c r="CK58"/>
  <c r="BH59"/>
  <c r="BI59"/>
  <c r="BJ59"/>
  <c r="BK59"/>
  <c r="BL59"/>
  <c r="BM59"/>
  <c r="BN59"/>
  <c r="BO59"/>
  <c r="BP59"/>
  <c r="BQ59"/>
  <c r="BR59"/>
  <c r="BS59"/>
  <c r="BT59"/>
  <c r="BU59"/>
  <c r="BV59"/>
  <c r="BW59"/>
  <c r="BX59"/>
  <c r="BY59"/>
  <c r="BZ59"/>
  <c r="CA59"/>
  <c r="CB59"/>
  <c r="CC59"/>
  <c r="CD59"/>
  <c r="CE59"/>
  <c r="CF59"/>
  <c r="CG59"/>
  <c r="CH59"/>
  <c r="CI59"/>
  <c r="CJ59"/>
  <c r="CK59"/>
  <c r="BH60"/>
  <c r="BI60"/>
  <c r="BJ60"/>
  <c r="BK60"/>
  <c r="BL60"/>
  <c r="BM60"/>
  <c r="BN60"/>
  <c r="BO60"/>
  <c r="BP60"/>
  <c r="BQ60"/>
  <c r="BR60"/>
  <c r="BS60"/>
  <c r="BT60"/>
  <c r="BU60"/>
  <c r="BV60"/>
  <c r="BW60"/>
  <c r="BX60"/>
  <c r="BY60"/>
  <c r="BZ60"/>
  <c r="CA60"/>
  <c r="CB60"/>
  <c r="CC60"/>
  <c r="CD60"/>
  <c r="CE60"/>
  <c r="CF60"/>
  <c r="CG60"/>
  <c r="CH60"/>
  <c r="CI60"/>
  <c r="CJ60"/>
  <c r="CK60"/>
  <c r="BH61"/>
  <c r="BI61"/>
  <c r="BJ61"/>
  <c r="BK61"/>
  <c r="BL61"/>
  <c r="BM61"/>
  <c r="BN61"/>
  <c r="BO61"/>
  <c r="BP61"/>
  <c r="BQ61"/>
  <c r="BR61"/>
  <c r="BS61"/>
  <c r="BT61"/>
  <c r="BU61"/>
  <c r="BV61"/>
  <c r="BW61"/>
  <c r="BX61"/>
  <c r="BY61"/>
  <c r="BZ61"/>
  <c r="CA61"/>
  <c r="CB61"/>
  <c r="CC61"/>
  <c r="CD61"/>
  <c r="CE61"/>
  <c r="CF61"/>
  <c r="CG61"/>
  <c r="CH61"/>
  <c r="CI61"/>
  <c r="CJ61"/>
  <c r="CK61"/>
  <c r="BH62"/>
  <c r="BI62"/>
  <c r="BJ62"/>
  <c r="BK62"/>
  <c r="BL62"/>
  <c r="BM62"/>
  <c r="BN62"/>
  <c r="BO62"/>
  <c r="BP62"/>
  <c r="BQ62"/>
  <c r="BR62"/>
  <c r="BS62"/>
  <c r="BT62"/>
  <c r="BU62"/>
  <c r="BV62"/>
  <c r="BW62"/>
  <c r="BX62"/>
  <c r="BY62"/>
  <c r="BZ62"/>
  <c r="CA62"/>
  <c r="CB62"/>
  <c r="CC62"/>
  <c r="CD62"/>
  <c r="CE62"/>
  <c r="CF62"/>
  <c r="CG62"/>
  <c r="CH62"/>
  <c r="CI62"/>
  <c r="CJ62"/>
  <c r="CK62"/>
  <c r="BH63"/>
  <c r="BI63"/>
  <c r="BJ63"/>
  <c r="BK63"/>
  <c r="BL63"/>
  <c r="BM63"/>
  <c r="BN63"/>
  <c r="BO63"/>
  <c r="BP63"/>
  <c r="BQ63"/>
  <c r="BR63"/>
  <c r="BS63"/>
  <c r="BT63"/>
  <c r="BU63"/>
  <c r="BV63"/>
  <c r="BW63"/>
  <c r="BX63"/>
  <c r="BY63"/>
  <c r="BZ63"/>
  <c r="CA63"/>
  <c r="CB63"/>
  <c r="CC63"/>
  <c r="CD63"/>
  <c r="CE63"/>
  <c r="CF63"/>
  <c r="CG63"/>
  <c r="CH63"/>
  <c r="CI63"/>
  <c r="CJ63"/>
  <c r="CK63"/>
  <c r="BH64"/>
  <c r="BI64"/>
  <c r="BJ64"/>
  <c r="BK64"/>
  <c r="BL64"/>
  <c r="BM64"/>
  <c r="BN64"/>
  <c r="BO64"/>
  <c r="BP64"/>
  <c r="BQ64"/>
  <c r="BR64"/>
  <c r="BS64"/>
  <c r="BT64"/>
  <c r="BU64"/>
  <c r="BV64"/>
  <c r="BW64"/>
  <c r="BX64"/>
  <c r="BY64"/>
  <c r="BZ64"/>
  <c r="CA64"/>
  <c r="CB64"/>
  <c r="CC64"/>
  <c r="CD64"/>
  <c r="CE64"/>
  <c r="CF64"/>
  <c r="CG64"/>
  <c r="CH64"/>
  <c r="CI64"/>
  <c r="CJ64"/>
  <c r="CK64"/>
  <c r="BH65"/>
  <c r="BI65"/>
  <c r="BJ65"/>
  <c r="BK65"/>
  <c r="BL65"/>
  <c r="BM65"/>
  <c r="BN65"/>
  <c r="BO65"/>
  <c r="BP65"/>
  <c r="BQ65"/>
  <c r="BR65"/>
  <c r="BS65"/>
  <c r="BT65"/>
  <c r="BU65"/>
  <c r="BV65"/>
  <c r="BW65"/>
  <c r="BX65"/>
  <c r="BY65"/>
  <c r="BZ65"/>
  <c r="CA65"/>
  <c r="CB65"/>
  <c r="CC65"/>
  <c r="CD65"/>
  <c r="CE65"/>
  <c r="CF65"/>
  <c r="CG65"/>
  <c r="CH65"/>
  <c r="CI65"/>
  <c r="CJ65"/>
  <c r="CK65"/>
  <c r="BH66"/>
  <c r="BI66"/>
  <c r="BJ66"/>
  <c r="BK66"/>
  <c r="BL66"/>
  <c r="BM66"/>
  <c r="BN66"/>
  <c r="BO66"/>
  <c r="BP66"/>
  <c r="BQ66"/>
  <c r="BR66"/>
  <c r="BS66"/>
  <c r="BT66"/>
  <c r="BU66"/>
  <c r="BV66"/>
  <c r="BW66"/>
  <c r="BX66"/>
  <c r="BY66"/>
  <c r="BZ66"/>
  <c r="CA66"/>
  <c r="CB66"/>
  <c r="CC66"/>
  <c r="CD66"/>
  <c r="CE66"/>
  <c r="CF66"/>
  <c r="CG66"/>
  <c r="CH66"/>
  <c r="CI66"/>
  <c r="CJ66"/>
  <c r="CK66"/>
  <c r="BH67"/>
  <c r="BI67"/>
  <c r="BJ67"/>
  <c r="BK67"/>
  <c r="BL67"/>
  <c r="BM67"/>
  <c r="BN67"/>
  <c r="BO67"/>
  <c r="BP67"/>
  <c r="BQ67"/>
  <c r="BR67"/>
  <c r="BS67"/>
  <c r="BT67"/>
  <c r="BU67"/>
  <c r="BV67"/>
  <c r="BW67"/>
  <c r="BX67"/>
  <c r="BY67"/>
  <c r="BZ67"/>
  <c r="CA67"/>
  <c r="CB67"/>
  <c r="CC67"/>
  <c r="CD67"/>
  <c r="CE67"/>
  <c r="CF67"/>
  <c r="CG67"/>
  <c r="CH67"/>
  <c r="CI67"/>
  <c r="CJ67"/>
  <c r="CK67"/>
  <c r="BH68"/>
  <c r="BI68"/>
  <c r="BJ68"/>
  <c r="BK68"/>
  <c r="BL68"/>
  <c r="BM68"/>
  <c r="BN68"/>
  <c r="BO68"/>
  <c r="BP68"/>
  <c r="BQ68"/>
  <c r="BR68"/>
  <c r="BS68"/>
  <c r="BT68"/>
  <c r="BU68"/>
  <c r="BV68"/>
  <c r="BW68"/>
  <c r="BX68"/>
  <c r="BY68"/>
  <c r="BZ68"/>
  <c r="CA68"/>
  <c r="CB68"/>
  <c r="CC68"/>
  <c r="CD68"/>
  <c r="CE68"/>
  <c r="CF68"/>
  <c r="CG68"/>
  <c r="CH68"/>
  <c r="CI68"/>
  <c r="CJ68"/>
  <c r="CK68"/>
  <c r="BH69"/>
  <c r="BI69"/>
  <c r="BJ69"/>
  <c r="BK69"/>
  <c r="BL69"/>
  <c r="BM69"/>
  <c r="BN69"/>
  <c r="BO69"/>
  <c r="BP69"/>
  <c r="BQ69"/>
  <c r="BR69"/>
  <c r="BS69"/>
  <c r="BT69"/>
  <c r="BU69"/>
  <c r="BV69"/>
  <c r="BW69"/>
  <c r="BX69"/>
  <c r="BY69"/>
  <c r="BZ69"/>
  <c r="CA69"/>
  <c r="CB69"/>
  <c r="CC69"/>
  <c r="CD69"/>
  <c r="CE69"/>
  <c r="CF69"/>
  <c r="CG69"/>
  <c r="CH69"/>
  <c r="CI69"/>
  <c r="CJ69"/>
  <c r="CK69"/>
  <c r="BH70"/>
  <c r="BI70"/>
  <c r="BJ70"/>
  <c r="BK70"/>
  <c r="BL70"/>
  <c r="BM70"/>
  <c r="BN70"/>
  <c r="BO70"/>
  <c r="BP70"/>
  <c r="BQ70"/>
  <c r="BR70"/>
  <c r="BS70"/>
  <c r="BT70"/>
  <c r="BU70"/>
  <c r="BV70"/>
  <c r="BW70"/>
  <c r="BX70"/>
  <c r="BY70"/>
  <c r="BZ70"/>
  <c r="CA70"/>
  <c r="CB70"/>
  <c r="CC70"/>
  <c r="CD70"/>
  <c r="CE70"/>
  <c r="CF70"/>
  <c r="CG70"/>
  <c r="CH70"/>
  <c r="CI70"/>
  <c r="CJ70"/>
  <c r="CK70"/>
  <c r="BH71"/>
  <c r="BI71"/>
  <c r="BJ71"/>
  <c r="BK71"/>
  <c r="BL71"/>
  <c r="BM71"/>
  <c r="BN71"/>
  <c r="BO71"/>
  <c r="BP71"/>
  <c r="BQ71"/>
  <c r="BR71"/>
  <c r="BS71"/>
  <c r="BT71"/>
  <c r="BU71"/>
  <c r="BV71"/>
  <c r="BW71"/>
  <c r="BX71"/>
  <c r="BY71"/>
  <c r="BZ71"/>
  <c r="CA71"/>
  <c r="CB71"/>
  <c r="CC71"/>
  <c r="CD71"/>
  <c r="CE71"/>
  <c r="CF71"/>
  <c r="CG71"/>
  <c r="CH71"/>
  <c r="CI71"/>
  <c r="CJ71"/>
  <c r="CK71"/>
  <c r="BH72"/>
  <c r="BI72"/>
  <c r="BJ72"/>
  <c r="BK72"/>
  <c r="BL72"/>
  <c r="BM72"/>
  <c r="BN72"/>
  <c r="BO72"/>
  <c r="BP72"/>
  <c r="BQ72"/>
  <c r="BR72"/>
  <c r="BS72"/>
  <c r="BT72"/>
  <c r="BU72"/>
  <c r="BV72"/>
  <c r="BW72"/>
  <c r="BX72"/>
  <c r="BY72"/>
  <c r="BZ72"/>
  <c r="CA72"/>
  <c r="CB72"/>
  <c r="CC72"/>
  <c r="CD72"/>
  <c r="CE72"/>
  <c r="CF72"/>
  <c r="CG72"/>
  <c r="CH72"/>
  <c r="CI72"/>
  <c r="CJ72"/>
  <c r="CK72"/>
  <c r="BH73"/>
  <c r="BI73"/>
  <c r="BJ73"/>
  <c r="BK73"/>
  <c r="BL73"/>
  <c r="BM73"/>
  <c r="BN73"/>
  <c r="BO73"/>
  <c r="BP73"/>
  <c r="BQ73"/>
  <c r="BR73"/>
  <c r="BS73"/>
  <c r="BT73"/>
  <c r="BU73"/>
  <c r="BV73"/>
  <c r="BW73"/>
  <c r="BX73"/>
  <c r="BY73"/>
  <c r="BZ73"/>
  <c r="CA73"/>
  <c r="CB73"/>
  <c r="CC73"/>
  <c r="CD73"/>
  <c r="CE73"/>
  <c r="CF73"/>
  <c r="CG73"/>
  <c r="CH73"/>
  <c r="CI73"/>
  <c r="CJ73"/>
  <c r="CK73"/>
  <c r="AD2" i="24"/>
  <c r="Z2"/>
  <c r="AC23" i="26"/>
  <c r="AD2"/>
  <c r="Z2"/>
  <c r="AO104"/>
  <c r="AO6"/>
  <c r="BZ14"/>
  <c r="AO105"/>
  <c r="AO7"/>
  <c r="BZ15"/>
  <c r="AO106"/>
  <c r="AO8"/>
  <c r="BZ16"/>
  <c r="AO107"/>
  <c r="AO9"/>
  <c r="BZ17"/>
  <c r="AO108"/>
  <c r="AO10"/>
  <c r="BZ18"/>
  <c r="AO109"/>
  <c r="AO11"/>
  <c r="AO110"/>
  <c r="AO111"/>
  <c r="AO13"/>
  <c r="BZ22"/>
  <c r="AO112"/>
  <c r="AO113"/>
  <c r="AO15"/>
  <c r="BZ24"/>
  <c r="AO114"/>
  <c r="AO115"/>
  <c r="AO17"/>
  <c r="AO116"/>
  <c r="AO117"/>
  <c r="AO118"/>
  <c r="AO119"/>
  <c r="W104"/>
  <c r="W6"/>
  <c r="BH14"/>
  <c r="X104"/>
  <c r="X6"/>
  <c r="BI14"/>
  <c r="W105"/>
  <c r="W7"/>
  <c r="BH15"/>
  <c r="X105"/>
  <c r="X7"/>
  <c r="BI15"/>
  <c r="Y104"/>
  <c r="Y6"/>
  <c r="BJ14"/>
  <c r="Y105"/>
  <c r="Y7"/>
  <c r="BJ15"/>
  <c r="Z104"/>
  <c r="Z6"/>
  <c r="BK14"/>
  <c r="Z105"/>
  <c r="Z7"/>
  <c r="BK15"/>
  <c r="AA104"/>
  <c r="AA6"/>
  <c r="BL14"/>
  <c r="AA105"/>
  <c r="AA7"/>
  <c r="BL15"/>
  <c r="AB104"/>
  <c r="AB6"/>
  <c r="BM14"/>
  <c r="AB105"/>
  <c r="AB7"/>
  <c r="BM15"/>
  <c r="AC104"/>
  <c r="AC6"/>
  <c r="BN14"/>
  <c r="AC105"/>
  <c r="AC7"/>
  <c r="BN15"/>
  <c r="AD104"/>
  <c r="AD6"/>
  <c r="BO14"/>
  <c r="AD105"/>
  <c r="AD7"/>
  <c r="BO15"/>
  <c r="AE104"/>
  <c r="AE6"/>
  <c r="BP14"/>
  <c r="AE105"/>
  <c r="AE7"/>
  <c r="BP15"/>
  <c r="AF104"/>
  <c r="AF6"/>
  <c r="BQ14"/>
  <c r="AF105"/>
  <c r="AF7"/>
  <c r="BQ15"/>
  <c r="AG104"/>
  <c r="AG6"/>
  <c r="BR14"/>
  <c r="AG105"/>
  <c r="AG7"/>
  <c r="BR15"/>
  <c r="AH104"/>
  <c r="AH6"/>
  <c r="BS14"/>
  <c r="AH105"/>
  <c r="AH7"/>
  <c r="BS15"/>
  <c r="AI104"/>
  <c r="AI6"/>
  <c r="BT14"/>
  <c r="AI105"/>
  <c r="AI7"/>
  <c r="BT15"/>
  <c r="AJ104"/>
  <c r="AJ6"/>
  <c r="BU14"/>
  <c r="AJ105"/>
  <c r="AJ7"/>
  <c r="BU15"/>
  <c r="AK104"/>
  <c r="AK6"/>
  <c r="BV14"/>
  <c r="AK105"/>
  <c r="AK7"/>
  <c r="BV15"/>
  <c r="AL104"/>
  <c r="AL6"/>
  <c r="BW14"/>
  <c r="AL105"/>
  <c r="AL7"/>
  <c r="BW15"/>
  <c r="AM104"/>
  <c r="AM6"/>
  <c r="BX14"/>
  <c r="AM105"/>
  <c r="AM7"/>
  <c r="BX15"/>
  <c r="AN104"/>
  <c r="AN6"/>
  <c r="BY14"/>
  <c r="AN105"/>
  <c r="AN7"/>
  <c r="BY15"/>
  <c r="W106"/>
  <c r="W8"/>
  <c r="BH16"/>
  <c r="X106"/>
  <c r="X8"/>
  <c r="BI16"/>
  <c r="Y106"/>
  <c r="Y8"/>
  <c r="BJ16"/>
  <c r="Z106"/>
  <c r="Z8"/>
  <c r="BK16"/>
  <c r="AA106"/>
  <c r="AA8"/>
  <c r="BL16"/>
  <c r="AB106"/>
  <c r="AB8"/>
  <c r="BM16"/>
  <c r="AC106"/>
  <c r="AC8"/>
  <c r="BN16"/>
  <c r="AD106"/>
  <c r="AD8"/>
  <c r="BO16"/>
  <c r="AE106"/>
  <c r="AE8"/>
  <c r="BP16"/>
  <c r="AF106"/>
  <c r="AF8"/>
  <c r="BQ16"/>
  <c r="AG106"/>
  <c r="AG8"/>
  <c r="BR16"/>
  <c r="AH106"/>
  <c r="AH8"/>
  <c r="BS16"/>
  <c r="AI106"/>
  <c r="AI8"/>
  <c r="BT16"/>
  <c r="AJ106"/>
  <c r="AJ8"/>
  <c r="BU16"/>
  <c r="AK106"/>
  <c r="AK8"/>
  <c r="BV16"/>
  <c r="AL106"/>
  <c r="AL8"/>
  <c r="BW16"/>
  <c r="AM106"/>
  <c r="AM8"/>
  <c r="BX16"/>
  <c r="AN106"/>
  <c r="AN8"/>
  <c r="BY16"/>
  <c r="W107"/>
  <c r="W9"/>
  <c r="BH17"/>
  <c r="X107"/>
  <c r="X9"/>
  <c r="BI17"/>
  <c r="Y107"/>
  <c r="Y9"/>
  <c r="BJ17"/>
  <c r="Z107"/>
  <c r="Z9"/>
  <c r="BK17"/>
  <c r="AA107"/>
  <c r="AA9"/>
  <c r="BL17"/>
  <c r="AB107"/>
  <c r="AB9"/>
  <c r="BM17"/>
  <c r="AC107"/>
  <c r="AC9"/>
  <c r="BN17"/>
  <c r="AD107"/>
  <c r="AD9"/>
  <c r="BO17"/>
  <c r="AE107"/>
  <c r="AE9"/>
  <c r="BP17"/>
  <c r="AF107"/>
  <c r="AF9"/>
  <c r="BQ17"/>
  <c r="AG107"/>
  <c r="AG9"/>
  <c r="BR17"/>
  <c r="AH107"/>
  <c r="AH9"/>
  <c r="BS17"/>
  <c r="AI107"/>
  <c r="AI9"/>
  <c r="BT17"/>
  <c r="AJ107"/>
  <c r="AJ9"/>
  <c r="BU17"/>
  <c r="AK107"/>
  <c r="AK9"/>
  <c r="BV17"/>
  <c r="AL107"/>
  <c r="AL9"/>
  <c r="BW17"/>
  <c r="AM107"/>
  <c r="AM9"/>
  <c r="BX17"/>
  <c r="AN107"/>
  <c r="AN9"/>
  <c r="BY17"/>
  <c r="W108"/>
  <c r="W10"/>
  <c r="BH18"/>
  <c r="X108"/>
  <c r="X10"/>
  <c r="BI18"/>
  <c r="Y108"/>
  <c r="Y10"/>
  <c r="BJ18"/>
  <c r="Z108"/>
  <c r="Z10"/>
  <c r="BK18"/>
  <c r="AA108"/>
  <c r="AA10"/>
  <c r="BL18"/>
  <c r="AB108"/>
  <c r="AB10"/>
  <c r="BM18"/>
  <c r="AC108"/>
  <c r="AC10"/>
  <c r="BN18"/>
  <c r="AD108"/>
  <c r="AD10"/>
  <c r="BO18"/>
  <c r="AE108"/>
  <c r="AE10"/>
  <c r="BP18"/>
  <c r="AF108"/>
  <c r="AF10"/>
  <c r="BQ18"/>
  <c r="AG108"/>
  <c r="AG10"/>
  <c r="BR18"/>
  <c r="AH108"/>
  <c r="AH10"/>
  <c r="BS18"/>
  <c r="AI108"/>
  <c r="AI10"/>
  <c r="BT18"/>
  <c r="AJ108"/>
  <c r="AJ10"/>
  <c r="BU18"/>
  <c r="AK108"/>
  <c r="AK10"/>
  <c r="BV18"/>
  <c r="AL108"/>
  <c r="AL10"/>
  <c r="BW18"/>
  <c r="AM108"/>
  <c r="AM10"/>
  <c r="BX18"/>
  <c r="AN108"/>
  <c r="AN10"/>
  <c r="BY18"/>
  <c r="W109"/>
  <c r="W11"/>
  <c r="X109"/>
  <c r="X11"/>
  <c r="BI19"/>
  <c r="Y109"/>
  <c r="Y11"/>
  <c r="Z109"/>
  <c r="Z11"/>
  <c r="BK19"/>
  <c r="AA109"/>
  <c r="AA11"/>
  <c r="AB109"/>
  <c r="AB11"/>
  <c r="BM19"/>
  <c r="AC109"/>
  <c r="AC11"/>
  <c r="AD109"/>
  <c r="AD11"/>
  <c r="BO19"/>
  <c r="AE109"/>
  <c r="AE11"/>
  <c r="AF109"/>
  <c r="AF11"/>
  <c r="BQ19"/>
  <c r="AG109"/>
  <c r="AG11"/>
  <c r="AH109"/>
  <c r="AH11"/>
  <c r="BS19"/>
  <c r="AI109"/>
  <c r="AI11"/>
  <c r="AJ109"/>
  <c r="AJ11"/>
  <c r="BU19"/>
  <c r="AK109"/>
  <c r="AK11"/>
  <c r="AL109"/>
  <c r="AL11"/>
  <c r="BW19"/>
  <c r="AM109"/>
  <c r="AM11"/>
  <c r="AN109"/>
  <c r="W110"/>
  <c r="X110"/>
  <c r="X12"/>
  <c r="BI21"/>
  <c r="Y110"/>
  <c r="Z110"/>
  <c r="Z12"/>
  <c r="BK21"/>
  <c r="AA110"/>
  <c r="AB110"/>
  <c r="AB12"/>
  <c r="BM21"/>
  <c r="AC110"/>
  <c r="AD110"/>
  <c r="AD12"/>
  <c r="BO21"/>
  <c r="AE110"/>
  <c r="AF110"/>
  <c r="AF12"/>
  <c r="BQ21"/>
  <c r="AG110"/>
  <c r="AH110"/>
  <c r="AH12"/>
  <c r="BS21"/>
  <c r="AI110"/>
  <c r="AJ110"/>
  <c r="AJ12"/>
  <c r="BU21"/>
  <c r="AK110"/>
  <c r="AL110"/>
  <c r="AL12"/>
  <c r="BW21"/>
  <c r="AM110"/>
  <c r="AN110"/>
  <c r="AN12"/>
  <c r="BY21"/>
  <c r="W111"/>
  <c r="W13"/>
  <c r="BH22"/>
  <c r="X111"/>
  <c r="Y111"/>
  <c r="Y13"/>
  <c r="BJ22"/>
  <c r="Z111"/>
  <c r="AA111"/>
  <c r="AA13"/>
  <c r="BL22"/>
  <c r="AB111"/>
  <c r="AC111"/>
  <c r="AC13"/>
  <c r="BN22"/>
  <c r="AD111"/>
  <c r="AE111"/>
  <c r="AE13"/>
  <c r="BP22"/>
  <c r="AF111"/>
  <c r="AG111"/>
  <c r="AG13"/>
  <c r="BR22"/>
  <c r="AH111"/>
  <c r="AI111"/>
  <c r="AI13"/>
  <c r="BT22"/>
  <c r="AJ111"/>
  <c r="AK111"/>
  <c r="AK13"/>
  <c r="BV22"/>
  <c r="AL111"/>
  <c r="AM111"/>
  <c r="AM13"/>
  <c r="BX22"/>
  <c r="AN111"/>
  <c r="W112"/>
  <c r="X112"/>
  <c r="X14"/>
  <c r="Y112"/>
  <c r="Z112"/>
  <c r="Z14"/>
  <c r="AA112"/>
  <c r="AB112"/>
  <c r="AB14"/>
  <c r="AC112"/>
  <c r="AD112"/>
  <c r="AD14"/>
  <c r="AE112"/>
  <c r="AF112"/>
  <c r="AF14"/>
  <c r="AG112"/>
  <c r="AH112"/>
  <c r="AH14"/>
  <c r="AI112"/>
  <c r="AJ112"/>
  <c r="AJ14"/>
  <c r="AK112"/>
  <c r="AL112"/>
  <c r="AL14"/>
  <c r="AM112"/>
  <c r="AN112"/>
  <c r="AN14"/>
  <c r="W113"/>
  <c r="W15"/>
  <c r="BH24"/>
  <c r="X113"/>
  <c r="Y113"/>
  <c r="Y15"/>
  <c r="BJ24"/>
  <c r="Z113"/>
  <c r="AA113"/>
  <c r="AA15"/>
  <c r="BL24"/>
  <c r="AB113"/>
  <c r="AC113"/>
  <c r="AC15"/>
  <c r="BN24"/>
  <c r="AD113"/>
  <c r="AE113"/>
  <c r="AE15"/>
  <c r="BP24"/>
  <c r="AF113"/>
  <c r="AG113"/>
  <c r="AG15"/>
  <c r="BR24"/>
  <c r="AH113"/>
  <c r="AI113"/>
  <c r="AI15"/>
  <c r="BT24"/>
  <c r="AJ113"/>
  <c r="AK113"/>
  <c r="AK15"/>
  <c r="BV24"/>
  <c r="AL113"/>
  <c r="AM113"/>
  <c r="AM15"/>
  <c r="BX24"/>
  <c r="AN113"/>
  <c r="W114"/>
  <c r="X114"/>
  <c r="X16"/>
  <c r="BI25"/>
  <c r="Y114"/>
  <c r="Z114"/>
  <c r="Z16"/>
  <c r="BK25"/>
  <c r="AA114"/>
  <c r="AB114"/>
  <c r="AB16"/>
  <c r="BM25"/>
  <c r="AC114"/>
  <c r="AD114"/>
  <c r="AD16"/>
  <c r="BO25"/>
  <c r="AE114"/>
  <c r="AF114"/>
  <c r="AF16"/>
  <c r="BQ25"/>
  <c r="AG114"/>
  <c r="AH114"/>
  <c r="AH16"/>
  <c r="BS25"/>
  <c r="AI114"/>
  <c r="AJ114"/>
  <c r="AJ16"/>
  <c r="BU25"/>
  <c r="AK114"/>
  <c r="AL114"/>
  <c r="AL16"/>
  <c r="BW25"/>
  <c r="AM114"/>
  <c r="AN114"/>
  <c r="AN16"/>
  <c r="BY25"/>
  <c r="W115"/>
  <c r="W17"/>
  <c r="BH26"/>
  <c r="X115"/>
  <c r="Y115"/>
  <c r="Y17"/>
  <c r="BJ26"/>
  <c r="Z115"/>
  <c r="AA115"/>
  <c r="AA17"/>
  <c r="BL26"/>
  <c r="AB115"/>
  <c r="AC115"/>
  <c r="AC17"/>
  <c r="BN26"/>
  <c r="AD115"/>
  <c r="AE115"/>
  <c r="AE17"/>
  <c r="AF115"/>
  <c r="AG115"/>
  <c r="AG17"/>
  <c r="AH115"/>
  <c r="AI115"/>
  <c r="AI17"/>
  <c r="AJ115"/>
  <c r="AK115"/>
  <c r="AK17"/>
  <c r="AL115"/>
  <c r="AM115"/>
  <c r="AM17"/>
  <c r="AN115"/>
  <c r="W116"/>
  <c r="X116"/>
  <c r="X18"/>
  <c r="Y116"/>
  <c r="Z116"/>
  <c r="Z18"/>
  <c r="AA116"/>
  <c r="AB116"/>
  <c r="AB18"/>
  <c r="AC116"/>
  <c r="AD116"/>
  <c r="AD18"/>
  <c r="AE116"/>
  <c r="AF116"/>
  <c r="AF18"/>
  <c r="AG116"/>
  <c r="AH116"/>
  <c r="AH18"/>
  <c r="AI116"/>
  <c r="AJ116"/>
  <c r="AJ18"/>
  <c r="AK116"/>
  <c r="AL116"/>
  <c r="AL18"/>
  <c r="BW27"/>
  <c r="AM116"/>
  <c r="AN116"/>
  <c r="AN18"/>
  <c r="BY27"/>
  <c r="W117"/>
  <c r="W19"/>
  <c r="X117"/>
  <c r="Y117"/>
  <c r="Z117"/>
  <c r="AA117"/>
  <c r="AB117"/>
  <c r="AC117"/>
  <c r="AD117"/>
  <c r="AE117"/>
  <c r="AF117"/>
  <c r="AG117"/>
  <c r="AH117"/>
  <c r="AI117"/>
  <c r="AJ117"/>
  <c r="AK117"/>
  <c r="AL117"/>
  <c r="AM117"/>
  <c r="AN117"/>
  <c r="W118"/>
  <c r="X118"/>
  <c r="Y118"/>
  <c r="Z118"/>
  <c r="AA118"/>
  <c r="AB118"/>
  <c r="AC118"/>
  <c r="AD118"/>
  <c r="AE118"/>
  <c r="AF118"/>
  <c r="AG118"/>
  <c r="AH118"/>
  <c r="AI118"/>
  <c r="AJ118"/>
  <c r="AK118"/>
  <c r="AL118"/>
  <c r="AM118"/>
  <c r="AN118"/>
  <c r="BH19"/>
  <c r="BJ19"/>
  <c r="BL19"/>
  <c r="BN19"/>
  <c r="BP19"/>
  <c r="BR19"/>
  <c r="BT19"/>
  <c r="BV19"/>
  <c r="BX19"/>
  <c r="BZ19"/>
  <c r="W119"/>
  <c r="X119"/>
  <c r="X21"/>
  <c r="BI29"/>
  <c r="Y119"/>
  <c r="Z119"/>
  <c r="Z21"/>
  <c r="BK29"/>
  <c r="AA119"/>
  <c r="AB119"/>
  <c r="AB21"/>
  <c r="BM29"/>
  <c r="AC119"/>
  <c r="AD119"/>
  <c r="AD21"/>
  <c r="BO29"/>
  <c r="AE119"/>
  <c r="AF119"/>
  <c r="AF21"/>
  <c r="BQ29"/>
  <c r="AG119"/>
  <c r="AH119"/>
  <c r="AH21"/>
  <c r="BS29"/>
  <c r="AI119"/>
  <c r="AJ119"/>
  <c r="AJ21"/>
  <c r="BU29"/>
  <c r="AK119"/>
  <c r="AL119"/>
  <c r="AL21"/>
  <c r="BW29"/>
  <c r="AM119"/>
  <c r="AN119"/>
  <c r="AN21"/>
  <c r="BY29"/>
  <c r="BI20"/>
  <c r="BK20"/>
  <c r="BM20"/>
  <c r="BO20"/>
  <c r="BQ20"/>
  <c r="BS20"/>
  <c r="BU20"/>
  <c r="BW20"/>
  <c r="BY20"/>
  <c r="AM23"/>
  <c r="BI23"/>
  <c r="BK23"/>
  <c r="BM23"/>
  <c r="BO23"/>
  <c r="BQ23"/>
  <c r="BS23"/>
  <c r="BU23"/>
  <c r="BW23"/>
  <c r="BY23"/>
  <c r="AM24"/>
  <c r="BP26"/>
  <c r="BR26"/>
  <c r="BT26"/>
  <c r="BV26"/>
  <c r="BX26"/>
  <c r="BZ26"/>
  <c r="BI27"/>
  <c r="BK27"/>
  <c r="BM27"/>
  <c r="BO27"/>
  <c r="BQ27"/>
  <c r="BS27"/>
  <c r="BU27"/>
  <c r="BH28"/>
  <c r="BH42"/>
  <c r="BI42"/>
  <c r="BJ42"/>
  <c r="BK42"/>
  <c r="BL42"/>
  <c r="BM42"/>
  <c r="BN42"/>
  <c r="BO42"/>
  <c r="BP42"/>
  <c r="BQ42"/>
  <c r="BR42"/>
  <c r="BS42"/>
  <c r="BT42"/>
  <c r="BU42"/>
  <c r="BV42"/>
  <c r="BW42"/>
  <c r="BX42"/>
  <c r="BY42"/>
  <c r="BZ42"/>
  <c r="BH43"/>
  <c r="BI43"/>
  <c r="BJ43"/>
  <c r="BK43"/>
  <c r="BL43"/>
  <c r="BM43"/>
  <c r="BN43"/>
  <c r="BO43"/>
  <c r="BP43"/>
  <c r="BQ43"/>
  <c r="BR43"/>
  <c r="BS43"/>
  <c r="BT43"/>
  <c r="BU43"/>
  <c r="BV43"/>
  <c r="BW43"/>
  <c r="BX43"/>
  <c r="BY43"/>
  <c r="BZ43"/>
  <c r="BH44"/>
  <c r="BI44"/>
  <c r="BJ44"/>
  <c r="BK44"/>
  <c r="BL44"/>
  <c r="BM44"/>
  <c r="BN44"/>
  <c r="BO44"/>
  <c r="BP44"/>
  <c r="BQ44"/>
  <c r="BR44"/>
  <c r="BS44"/>
  <c r="BT44"/>
  <c r="BU44"/>
  <c r="BV44"/>
  <c r="BW44"/>
  <c r="BX44"/>
  <c r="BY44"/>
  <c r="BZ44"/>
  <c r="BH45"/>
  <c r="BI45"/>
  <c r="BJ45"/>
  <c r="BK45"/>
  <c r="BL45"/>
  <c r="BM45"/>
  <c r="BN45"/>
  <c r="BO45"/>
  <c r="BP45"/>
  <c r="BQ45"/>
  <c r="BR45"/>
  <c r="BS45"/>
  <c r="BT45"/>
  <c r="BU45"/>
  <c r="BV45"/>
  <c r="BW45"/>
  <c r="BX45"/>
  <c r="BY45"/>
  <c r="BZ45"/>
  <c r="BH46"/>
  <c r="BI46"/>
  <c r="BJ46"/>
  <c r="BK46"/>
  <c r="BL46"/>
  <c r="BM46"/>
  <c r="BN46"/>
  <c r="BO46"/>
  <c r="BP46"/>
  <c r="BQ46"/>
  <c r="BR46"/>
  <c r="BS46"/>
  <c r="BT46"/>
  <c r="BU46"/>
  <c r="BV46"/>
  <c r="BW46"/>
  <c r="BX46"/>
  <c r="BY46"/>
  <c r="BZ46"/>
  <c r="BH47"/>
  <c r="BI47"/>
  <c r="BJ47"/>
  <c r="BK47"/>
  <c r="BL47"/>
  <c r="BM47"/>
  <c r="BN47"/>
  <c r="BO47"/>
  <c r="BP47"/>
  <c r="BQ47"/>
  <c r="BR47"/>
  <c r="BS47"/>
  <c r="BT47"/>
  <c r="BU47"/>
  <c r="BV47"/>
  <c r="BW47"/>
  <c r="BX47"/>
  <c r="BY47"/>
  <c r="BZ47"/>
  <c r="BH48"/>
  <c r="BI48"/>
  <c r="BJ48"/>
  <c r="BK48"/>
  <c r="BL48"/>
  <c r="BM48"/>
  <c r="BN48"/>
  <c r="BO48"/>
  <c r="BP48"/>
  <c r="BQ48"/>
  <c r="BR48"/>
  <c r="BS48"/>
  <c r="BT48"/>
  <c r="BU48"/>
  <c r="BV48"/>
  <c r="BW48"/>
  <c r="BX48"/>
  <c r="BY48"/>
  <c r="BZ48"/>
  <c r="BH49"/>
  <c r="BI49"/>
  <c r="BJ49"/>
  <c r="BK49"/>
  <c r="BL49"/>
  <c r="BM49"/>
  <c r="BN49"/>
  <c r="BO49"/>
  <c r="BP49"/>
  <c r="BQ49"/>
  <c r="BR49"/>
  <c r="BS49"/>
  <c r="BT49"/>
  <c r="BU49"/>
  <c r="BV49"/>
  <c r="BW49"/>
  <c r="BX49"/>
  <c r="BY49"/>
  <c r="BZ49"/>
  <c r="BH50"/>
  <c r="BI50"/>
  <c r="BJ50"/>
  <c r="BK50"/>
  <c r="BL50"/>
  <c r="BM50"/>
  <c r="BN50"/>
  <c r="BO50"/>
  <c r="BP50"/>
  <c r="BQ50"/>
  <c r="BR50"/>
  <c r="BS50"/>
  <c r="BT50"/>
  <c r="BU50"/>
  <c r="BV50"/>
  <c r="BW50"/>
  <c r="BX50"/>
  <c r="BY50"/>
  <c r="BZ50"/>
  <c r="BH51"/>
  <c r="BI51"/>
  <c r="BJ51"/>
  <c r="BK51"/>
  <c r="BL51"/>
  <c r="BM51"/>
  <c r="BN51"/>
  <c r="BO51"/>
  <c r="BP51"/>
  <c r="BQ51"/>
  <c r="BR51"/>
  <c r="BS51"/>
  <c r="BT51"/>
  <c r="BU51"/>
  <c r="BV51"/>
  <c r="BW51"/>
  <c r="BX51"/>
  <c r="BY51"/>
  <c r="BZ51"/>
  <c r="BH52"/>
  <c r="BI52"/>
  <c r="BJ52"/>
  <c r="BK52"/>
  <c r="BL52"/>
  <c r="BM52"/>
  <c r="BN52"/>
  <c r="BO52"/>
  <c r="BP52"/>
  <c r="BQ52"/>
  <c r="BR52"/>
  <c r="BS52"/>
  <c r="BT52"/>
  <c r="BU52"/>
  <c r="BV52"/>
  <c r="BW52"/>
  <c r="BX52"/>
  <c r="BY52"/>
  <c r="BZ52"/>
  <c r="BH53"/>
  <c r="BI53"/>
  <c r="BJ53"/>
  <c r="BK53"/>
  <c r="BL53"/>
  <c r="BM53"/>
  <c r="BN53"/>
  <c r="BO53"/>
  <c r="BP53"/>
  <c r="BQ53"/>
  <c r="BR53"/>
  <c r="BS53"/>
  <c r="BT53"/>
  <c r="BU53"/>
  <c r="BV53"/>
  <c r="BW53"/>
  <c r="BX53"/>
  <c r="BY53"/>
  <c r="BZ53"/>
  <c r="BH54"/>
  <c r="BI54"/>
  <c r="BJ54"/>
  <c r="BK54"/>
  <c r="BL54"/>
  <c r="BM54"/>
  <c r="BN54"/>
  <c r="BO54"/>
  <c r="BP54"/>
  <c r="BQ54"/>
  <c r="BR54"/>
  <c r="BS54"/>
  <c r="BT54"/>
  <c r="BU54"/>
  <c r="BV54"/>
  <c r="BW54"/>
  <c r="BX54"/>
  <c r="BY54"/>
  <c r="BZ54"/>
  <c r="BH55"/>
  <c r="BI55"/>
  <c r="BJ55"/>
  <c r="BK55"/>
  <c r="BL55"/>
  <c r="BM55"/>
  <c r="BN55"/>
  <c r="BO55"/>
  <c r="BP55"/>
  <c r="BQ55"/>
  <c r="BR55"/>
  <c r="BS55"/>
  <c r="BT55"/>
  <c r="BU55"/>
  <c r="BV55"/>
  <c r="BW55"/>
  <c r="BX55"/>
  <c r="BY55"/>
  <c r="BZ55"/>
  <c r="BH56"/>
  <c r="BI56"/>
  <c r="BJ56"/>
  <c r="BK56"/>
  <c r="BL56"/>
  <c r="BM56"/>
  <c r="BN56"/>
  <c r="BO56"/>
  <c r="BP56"/>
  <c r="BQ56"/>
  <c r="BR56"/>
  <c r="BS56"/>
  <c r="BT56"/>
  <c r="BU56"/>
  <c r="BV56"/>
  <c r="BW56"/>
  <c r="BX56"/>
  <c r="BY56"/>
  <c r="BZ56"/>
  <c r="BH57"/>
  <c r="BI57"/>
  <c r="BJ57"/>
  <c r="BK57"/>
  <c r="BL57"/>
  <c r="BM57"/>
  <c r="BN57"/>
  <c r="BO57"/>
  <c r="BP57"/>
  <c r="BQ57"/>
  <c r="BR57"/>
  <c r="BS57"/>
  <c r="BT57"/>
  <c r="BU57"/>
  <c r="BV57"/>
  <c r="BW57"/>
  <c r="BX57"/>
  <c r="BY57"/>
  <c r="BZ57"/>
  <c r="W78"/>
  <c r="U80"/>
  <c r="AC23" i="24"/>
  <c r="AM24"/>
  <c r="AM23"/>
  <c r="W78"/>
  <c r="U80"/>
  <c r="AA23" i="23"/>
  <c r="AT20" i="22"/>
  <c r="AT21"/>
  <c r="AK10"/>
  <c r="AL10"/>
  <c r="AM10"/>
  <c r="AN10"/>
  <c r="AO10"/>
  <c r="AP10"/>
  <c r="AQ10"/>
  <c r="AR10"/>
  <c r="AK11"/>
  <c r="AL11"/>
  <c r="AM11"/>
  <c r="AN11"/>
  <c r="AO11"/>
  <c r="AP11"/>
  <c r="AQ11"/>
  <c r="AR11"/>
  <c r="AK12"/>
  <c r="AL12"/>
  <c r="AM12"/>
  <c r="AN12"/>
  <c r="AO12"/>
  <c r="AP12"/>
  <c r="AQ12"/>
  <c r="AR12"/>
  <c r="AK13"/>
  <c r="AL13"/>
  <c r="AM13"/>
  <c r="AN13"/>
  <c r="AO13"/>
  <c r="AP13"/>
  <c r="AQ13"/>
  <c r="AR13"/>
  <c r="AK14"/>
  <c r="AL14"/>
  <c r="AM14"/>
  <c r="AN14"/>
  <c r="AO14"/>
  <c r="AP14"/>
  <c r="AQ14"/>
  <c r="AR14"/>
  <c r="AK15"/>
  <c r="AL15"/>
  <c r="AM15"/>
  <c r="AN15"/>
  <c r="AO15"/>
  <c r="AP15"/>
  <c r="AQ15"/>
  <c r="AR15"/>
  <c r="AK16"/>
  <c r="AL16"/>
  <c r="AM16"/>
  <c r="AN16"/>
  <c r="AO16"/>
  <c r="AP16"/>
  <c r="AQ16"/>
  <c r="AR16"/>
  <c r="AK17"/>
  <c r="AL17"/>
  <c r="AM17"/>
  <c r="AN17"/>
  <c r="AO17"/>
  <c r="AP17"/>
  <c r="AQ17"/>
  <c r="AR17"/>
  <c r="AK18"/>
  <c r="AL18"/>
  <c r="AM18"/>
  <c r="AN18"/>
  <c r="AO18"/>
  <c r="AP18"/>
  <c r="AQ18"/>
  <c r="AR18"/>
  <c r="AK19"/>
  <c r="AL19"/>
  <c r="AM19"/>
  <c r="AN19"/>
  <c r="AO19"/>
  <c r="AP19"/>
  <c r="AQ19"/>
  <c r="AR19"/>
  <c r="AK20"/>
  <c r="AL20"/>
  <c r="AM20"/>
  <c r="AN20"/>
  <c r="AO20"/>
  <c r="AP20"/>
  <c r="AQ20"/>
  <c r="AR20"/>
  <c r="AK21"/>
  <c r="AL21"/>
  <c r="AM21"/>
  <c r="AN21"/>
  <c r="AO21"/>
  <c r="AP21"/>
  <c r="AQ21"/>
  <c r="AR21"/>
  <c r="AK22"/>
  <c r="AL22"/>
  <c r="AM22"/>
  <c r="AN22"/>
  <c r="AO22"/>
  <c r="AP22"/>
  <c r="AQ22"/>
  <c r="AR22"/>
  <c r="AK23"/>
  <c r="AL23"/>
  <c r="AM23"/>
  <c r="AN23"/>
  <c r="AO23"/>
  <c r="AP23"/>
  <c r="AQ23"/>
  <c r="AR23"/>
  <c r="AK24"/>
  <c r="AL24"/>
  <c r="AM24"/>
  <c r="AN24"/>
  <c r="AO24"/>
  <c r="AP24"/>
  <c r="AQ24"/>
  <c r="AR24"/>
  <c r="AS10"/>
  <c r="AS11"/>
  <c r="AS12"/>
  <c r="AS13"/>
  <c r="AS14"/>
  <c r="AS15"/>
  <c r="AS16"/>
  <c r="AS17"/>
  <c r="AS18"/>
  <c r="AS19"/>
  <c r="AS20"/>
  <c r="AS21"/>
  <c r="AS22"/>
  <c r="AS23"/>
  <c r="AF19"/>
  <c r="AG19"/>
  <c r="AF20"/>
  <c r="AG20"/>
  <c r="AF21"/>
  <c r="AG21"/>
  <c r="AF22"/>
  <c r="AG22"/>
  <c r="AF23"/>
  <c r="AG23"/>
  <c r="AJ13"/>
  <c r="AH15"/>
  <c r="AI15"/>
  <c r="AJ15"/>
  <c r="AH16"/>
  <c r="AI16"/>
  <c r="AJ16"/>
  <c r="AH17"/>
  <c r="AI17"/>
  <c r="AJ17"/>
  <c r="AH18"/>
  <c r="AI18"/>
  <c r="AJ18"/>
  <c r="AH19"/>
  <c r="AI19"/>
  <c r="AJ19"/>
  <c r="AH20"/>
  <c r="AI20"/>
  <c r="AJ20"/>
  <c r="AH21"/>
  <c r="AI21"/>
  <c r="AJ21"/>
  <c r="AH22"/>
  <c r="AI22"/>
  <c r="AJ22"/>
  <c r="AH23"/>
  <c r="AI23"/>
  <c r="AJ23"/>
  <c r="AH24"/>
  <c r="AI24"/>
  <c r="AJ24"/>
  <c r="AI10"/>
  <c r="AJ8"/>
  <c r="AJ9"/>
  <c r="AK9"/>
  <c r="AK8"/>
  <c r="AL8"/>
  <c r="AM8"/>
  <c r="AN8"/>
  <c r="AO8"/>
  <c r="AL9"/>
  <c r="AM9"/>
  <c r="AN9"/>
  <c r="AO9"/>
  <c r="AP9"/>
  <c r="AC10"/>
  <c r="AD10"/>
  <c r="AE10"/>
  <c r="AF10"/>
  <c r="AG10"/>
  <c r="AH10"/>
  <c r="AJ10"/>
  <c r="AC11"/>
  <c r="AD11"/>
  <c r="AE11"/>
  <c r="AF11"/>
  <c r="AG11"/>
  <c r="AH11"/>
  <c r="AI11"/>
  <c r="AJ11"/>
  <c r="AC12"/>
  <c r="AD12"/>
  <c r="AE12"/>
  <c r="AF12"/>
  <c r="AG12"/>
  <c r="AH12"/>
  <c r="AI12"/>
  <c r="AJ12"/>
  <c r="AC13"/>
  <c r="AD13"/>
  <c r="AE13"/>
  <c r="AF13"/>
  <c r="AG13"/>
  <c r="AH13"/>
  <c r="AI13"/>
  <c r="AC14"/>
  <c r="AD14"/>
  <c r="AE14"/>
  <c r="AF14"/>
  <c r="AG14"/>
  <c r="AH14"/>
  <c r="AI14"/>
  <c r="AJ14"/>
  <c r="AC15"/>
  <c r="AD15"/>
  <c r="AE15"/>
  <c r="AF15"/>
  <c r="AG15"/>
  <c r="AC16"/>
  <c r="AD16"/>
  <c r="AE16"/>
  <c r="AF16"/>
  <c r="AG16"/>
  <c r="AC17"/>
  <c r="AD17"/>
  <c r="AE17"/>
  <c r="AF17"/>
  <c r="AG17"/>
  <c r="AC18"/>
  <c r="AD18"/>
  <c r="AE18"/>
  <c r="AF18"/>
  <c r="AG18"/>
  <c r="AC19"/>
  <c r="AD19"/>
  <c r="AE19"/>
  <c r="AC20"/>
  <c r="AD20"/>
  <c r="AE20"/>
  <c r="AC21"/>
  <c r="AD21"/>
  <c r="AE21"/>
  <c r="AC22"/>
  <c r="AD22"/>
  <c r="AE22"/>
  <c r="AC23"/>
  <c r="AD23"/>
  <c r="AE23"/>
  <c r="AC24"/>
  <c r="AD24"/>
  <c r="AE24"/>
  <c r="AF24"/>
  <c r="AG24"/>
  <c r="AC25"/>
  <c r="AD25"/>
  <c r="AE25"/>
  <c r="AF25"/>
  <c r="AG25"/>
  <c r="AH25"/>
  <c r="AI25"/>
  <c r="AJ25"/>
  <c r="AK25"/>
  <c r="AL25"/>
  <c r="AM25"/>
  <c r="AN25"/>
  <c r="AO25"/>
  <c r="AP25"/>
  <c r="AQ25"/>
  <c r="AR25"/>
  <c r="AS25"/>
  <c r="AS24"/>
  <c r="AT23"/>
  <c r="AT22"/>
  <c r="AT19"/>
  <c r="AT18"/>
  <c r="AT17"/>
  <c r="AT16"/>
  <c r="AT15"/>
  <c r="AT14"/>
  <c r="AT13"/>
  <c r="AT12"/>
  <c r="AT11"/>
  <c r="AT10"/>
  <c r="AT24"/>
  <c r="AT25"/>
  <c r="AR8"/>
  <c r="AS8"/>
  <c r="AT8"/>
  <c r="AR9"/>
  <c r="AS9"/>
  <c r="AT9"/>
  <c r="AQ9"/>
  <c r="AP8"/>
  <c r="AQ8"/>
  <c r="AB12"/>
  <c r="AB13"/>
  <c r="AB14"/>
  <c r="AB15"/>
  <c r="AB16"/>
  <c r="AB17"/>
  <c r="AB18"/>
  <c r="AB19"/>
  <c r="AB20"/>
  <c r="AB21"/>
  <c r="AB22"/>
  <c r="AB23"/>
  <c r="AB24"/>
  <c r="AB25"/>
  <c r="Z2" i="23"/>
  <c r="AD2"/>
  <c r="AN20"/>
  <c r="CC28"/>
  <c r="AA21"/>
  <c r="AN100"/>
  <c r="AM100"/>
  <c r="AM101"/>
  <c r="AN101"/>
  <c r="AN6"/>
  <c r="AN114"/>
  <c r="AM113"/>
  <c r="AN113"/>
  <c r="AM114"/>
  <c r="W114"/>
  <c r="W113"/>
  <c r="X113"/>
  <c r="X114"/>
  <c r="W20"/>
  <c r="W100"/>
  <c r="X100"/>
  <c r="W101"/>
  <c r="X101"/>
  <c r="W78"/>
  <c r="W7"/>
  <c r="BL15"/>
  <c r="W102"/>
  <c r="X102"/>
  <c r="W79"/>
  <c r="W8"/>
  <c r="BL16"/>
  <c r="W103"/>
  <c r="X103"/>
  <c r="W80"/>
  <c r="W9"/>
  <c r="BL17"/>
  <c r="W104"/>
  <c r="X104"/>
  <c r="W81"/>
  <c r="W10"/>
  <c r="BL18"/>
  <c r="W105"/>
  <c r="X105"/>
  <c r="W82"/>
  <c r="W11"/>
  <c r="BL19"/>
  <c r="W106"/>
  <c r="X106"/>
  <c r="W83"/>
  <c r="W12"/>
  <c r="BL20"/>
  <c r="W107"/>
  <c r="X107"/>
  <c r="W84"/>
  <c r="W13"/>
  <c r="BL21"/>
  <c r="W108"/>
  <c r="X108"/>
  <c r="W85"/>
  <c r="W14"/>
  <c r="BL22"/>
  <c r="W109"/>
  <c r="X109"/>
  <c r="W86"/>
  <c r="W15"/>
  <c r="BL23"/>
  <c r="W110"/>
  <c r="X110"/>
  <c r="W87"/>
  <c r="W16"/>
  <c r="BL24"/>
  <c r="W111"/>
  <c r="X111"/>
  <c r="W112"/>
  <c r="W18"/>
  <c r="BL26"/>
  <c r="X112"/>
  <c r="W17"/>
  <c r="W19"/>
  <c r="Y113"/>
  <c r="Y114"/>
  <c r="Z113"/>
  <c r="Z114"/>
  <c r="Y20"/>
  <c r="AA113"/>
  <c r="AA114"/>
  <c r="AB113"/>
  <c r="AB114"/>
  <c r="AA20"/>
  <c r="AC113"/>
  <c r="AC114"/>
  <c r="AD113"/>
  <c r="AD20"/>
  <c r="BS28"/>
  <c r="AD114"/>
  <c r="AC20"/>
  <c r="AE113"/>
  <c r="AE114"/>
  <c r="AF113"/>
  <c r="AF20"/>
  <c r="BU28"/>
  <c r="AF114"/>
  <c r="AE20"/>
  <c r="AG113"/>
  <c r="AG114"/>
  <c r="AH113"/>
  <c r="AH20"/>
  <c r="BW28"/>
  <c r="AH114"/>
  <c r="AG20"/>
  <c r="AI113"/>
  <c r="AI114"/>
  <c r="AJ113"/>
  <c r="AJ20"/>
  <c r="BY28"/>
  <c r="AJ114"/>
  <c r="AI20"/>
  <c r="AK113"/>
  <c r="AK114"/>
  <c r="AL113"/>
  <c r="AL20"/>
  <c r="CA28"/>
  <c r="AL114"/>
  <c r="AK20"/>
  <c r="AM20"/>
  <c r="AN102"/>
  <c r="AM102"/>
  <c r="AN8"/>
  <c r="CC16"/>
  <c r="AM103"/>
  <c r="AN103"/>
  <c r="AN10"/>
  <c r="CC18"/>
  <c r="AM104"/>
  <c r="AN104"/>
  <c r="AN9"/>
  <c r="AM105"/>
  <c r="AN105"/>
  <c r="AN12"/>
  <c r="CC20"/>
  <c r="AM106"/>
  <c r="AN106"/>
  <c r="AN11"/>
  <c r="AM107"/>
  <c r="AN107"/>
  <c r="AN14"/>
  <c r="CC22"/>
  <c r="AM108"/>
  <c r="AN108"/>
  <c r="AN13"/>
  <c r="AM109"/>
  <c r="AN109"/>
  <c r="AN16"/>
  <c r="CC24"/>
  <c r="AM110"/>
  <c r="AN110"/>
  <c r="AN15"/>
  <c r="AM111"/>
  <c r="AN111"/>
  <c r="AN18"/>
  <c r="CC26"/>
  <c r="AM112"/>
  <c r="AN112"/>
  <c r="AN17"/>
  <c r="AN19"/>
  <c r="Y100"/>
  <c r="Z6"/>
  <c r="BO14"/>
  <c r="Z100"/>
  <c r="Y101"/>
  <c r="Z101"/>
  <c r="Y6"/>
  <c r="AA100"/>
  <c r="AA101"/>
  <c r="AB100"/>
  <c r="AB6"/>
  <c r="BQ14"/>
  <c r="AB101"/>
  <c r="AA6"/>
  <c r="AC100"/>
  <c r="AC101"/>
  <c r="AD100"/>
  <c r="AD6"/>
  <c r="BS14"/>
  <c r="AD101"/>
  <c r="AC6"/>
  <c r="AE100"/>
  <c r="AE101"/>
  <c r="AF100"/>
  <c r="AF6"/>
  <c r="BU14"/>
  <c r="AF101"/>
  <c r="AE6"/>
  <c r="AG100"/>
  <c r="AG101"/>
  <c r="AH100"/>
  <c r="AH6"/>
  <c r="BW14"/>
  <c r="AH101"/>
  <c r="AG6"/>
  <c r="AI100"/>
  <c r="AI101"/>
  <c r="AJ100"/>
  <c r="AJ6"/>
  <c r="BY14"/>
  <c r="AJ101"/>
  <c r="AI6"/>
  <c r="AK100"/>
  <c r="AK101"/>
  <c r="AL100"/>
  <c r="AL6"/>
  <c r="CA14"/>
  <c r="AL101"/>
  <c r="AK6"/>
  <c r="AM6"/>
  <c r="X79"/>
  <c r="X8"/>
  <c r="BM16"/>
  <c r="Y102"/>
  <c r="Y103"/>
  <c r="Y79"/>
  <c r="Y8"/>
  <c r="BN16"/>
  <c r="Z102"/>
  <c r="Z103"/>
  <c r="Z9"/>
  <c r="BO17"/>
  <c r="Z79"/>
  <c r="Z8"/>
  <c r="BO16"/>
  <c r="AA102"/>
  <c r="AA103"/>
  <c r="AA79"/>
  <c r="AA8"/>
  <c r="BP16"/>
  <c r="AB102"/>
  <c r="AB103"/>
  <c r="AB9"/>
  <c r="BQ17"/>
  <c r="AB79"/>
  <c r="AB8"/>
  <c r="BQ16"/>
  <c r="AC102"/>
  <c r="AC103"/>
  <c r="AC79"/>
  <c r="AC8"/>
  <c r="BR16"/>
  <c r="AD102"/>
  <c r="AD103"/>
  <c r="AD9"/>
  <c r="BS17"/>
  <c r="AD79"/>
  <c r="AD8"/>
  <c r="BS16"/>
  <c r="AE102"/>
  <c r="AE103"/>
  <c r="AE9"/>
  <c r="BT17"/>
  <c r="AF102"/>
  <c r="AF8"/>
  <c r="BU16"/>
  <c r="AF103"/>
  <c r="AE8"/>
  <c r="AG102"/>
  <c r="AG103"/>
  <c r="AG9"/>
  <c r="BV17"/>
  <c r="AH102"/>
  <c r="AH8"/>
  <c r="BW16"/>
  <c r="AH103"/>
  <c r="AG8"/>
  <c r="AI102"/>
  <c r="AI103"/>
  <c r="AI9"/>
  <c r="BX17"/>
  <c r="AJ102"/>
  <c r="AJ8"/>
  <c r="BY16"/>
  <c r="AJ103"/>
  <c r="AI8"/>
  <c r="AK102"/>
  <c r="AK103"/>
  <c r="AK9"/>
  <c r="BZ17"/>
  <c r="AL102"/>
  <c r="AL8"/>
  <c r="CA16"/>
  <c r="AL103"/>
  <c r="AK8"/>
  <c r="AM8"/>
  <c r="X80"/>
  <c r="Y104"/>
  <c r="Y10"/>
  <c r="BN18"/>
  <c r="X9"/>
  <c r="Y80"/>
  <c r="Z104"/>
  <c r="Y9"/>
  <c r="Z80"/>
  <c r="AA104"/>
  <c r="AA10"/>
  <c r="BP18"/>
  <c r="AA80"/>
  <c r="AB104"/>
  <c r="AA9"/>
  <c r="AB80"/>
  <c r="AC104"/>
  <c r="AC10"/>
  <c r="BR18"/>
  <c r="AC80"/>
  <c r="AD104"/>
  <c r="AC9"/>
  <c r="AD80"/>
  <c r="AE104"/>
  <c r="AE11"/>
  <c r="BT19"/>
  <c r="AF104"/>
  <c r="AG11"/>
  <c r="BV19"/>
  <c r="AG104"/>
  <c r="AH11"/>
  <c r="BW19"/>
  <c r="AH104"/>
  <c r="AI11"/>
  <c r="BX19"/>
  <c r="AI104"/>
  <c r="AJ11"/>
  <c r="BY19"/>
  <c r="AJ104"/>
  <c r="AK11"/>
  <c r="BZ19"/>
  <c r="AK104"/>
  <c r="AL104"/>
  <c r="AL10"/>
  <c r="CA18"/>
  <c r="AL9"/>
  <c r="X81"/>
  <c r="Y105"/>
  <c r="X10"/>
  <c r="Y81"/>
  <c r="Z105"/>
  <c r="Z11"/>
  <c r="BO19"/>
  <c r="Z81"/>
  <c r="AA105"/>
  <c r="Z10"/>
  <c r="AA81"/>
  <c r="AB105"/>
  <c r="AB11"/>
  <c r="BQ19"/>
  <c r="AB81"/>
  <c r="AC105"/>
  <c r="AB10"/>
  <c r="AC81"/>
  <c r="AD105"/>
  <c r="AD11"/>
  <c r="BS19"/>
  <c r="AD81"/>
  <c r="AE105"/>
  <c r="AD10"/>
  <c r="AF105"/>
  <c r="AE10"/>
  <c r="AG105"/>
  <c r="AF10"/>
  <c r="AH105"/>
  <c r="AG10"/>
  <c r="AI105"/>
  <c r="AH10"/>
  <c r="AJ105"/>
  <c r="AI10"/>
  <c r="AK105"/>
  <c r="AJ10"/>
  <c r="AL105"/>
  <c r="AK10"/>
  <c r="AM10"/>
  <c r="X82"/>
  <c r="Y106"/>
  <c r="Y12"/>
  <c r="BN20"/>
  <c r="X11"/>
  <c r="Y82"/>
  <c r="Z106"/>
  <c r="Y11"/>
  <c r="Z82"/>
  <c r="AA106"/>
  <c r="AA12"/>
  <c r="BP20"/>
  <c r="AA82"/>
  <c r="AB106"/>
  <c r="AA11"/>
  <c r="AB82"/>
  <c r="AC106"/>
  <c r="AC12"/>
  <c r="BR20"/>
  <c r="AC82"/>
  <c r="AD106"/>
  <c r="AC11"/>
  <c r="AD82"/>
  <c r="AE106"/>
  <c r="AE13"/>
  <c r="BT21"/>
  <c r="AF106"/>
  <c r="AG13"/>
  <c r="BV21"/>
  <c r="AG106"/>
  <c r="AH13"/>
  <c r="BW21"/>
  <c r="AH106"/>
  <c r="AI13"/>
  <c r="BX21"/>
  <c r="AI106"/>
  <c r="AJ13"/>
  <c r="BY21"/>
  <c r="AJ106"/>
  <c r="AK13"/>
  <c r="BZ21"/>
  <c r="AK106"/>
  <c r="AL106"/>
  <c r="AL12"/>
  <c r="CA20"/>
  <c r="AL11"/>
  <c r="X83"/>
  <c r="Y107"/>
  <c r="X12"/>
  <c r="Y83"/>
  <c r="Z107"/>
  <c r="Z13"/>
  <c r="BO21"/>
  <c r="Z83"/>
  <c r="AA107"/>
  <c r="Z12"/>
  <c r="AA83"/>
  <c r="AB107"/>
  <c r="AB13"/>
  <c r="BQ21"/>
  <c r="AB83"/>
  <c r="AC107"/>
  <c r="AB12"/>
  <c r="AC83"/>
  <c r="AD107"/>
  <c r="AD13"/>
  <c r="BS21"/>
  <c r="AD83"/>
  <c r="AE107"/>
  <c r="AD12"/>
  <c r="AF107"/>
  <c r="AE12"/>
  <c r="AG107"/>
  <c r="AF12"/>
  <c r="AH107"/>
  <c r="AG12"/>
  <c r="AI107"/>
  <c r="AH12"/>
  <c r="AJ107"/>
  <c r="AI12"/>
  <c r="AK107"/>
  <c r="AJ12"/>
  <c r="AL107"/>
  <c r="AK12"/>
  <c r="AM12"/>
  <c r="X84"/>
  <c r="Y108"/>
  <c r="Y14"/>
  <c r="BN22"/>
  <c r="X13"/>
  <c r="Y84"/>
  <c r="Z108"/>
  <c r="Y13"/>
  <c r="Z84"/>
  <c r="AA108"/>
  <c r="AA14"/>
  <c r="BP22"/>
  <c r="AA84"/>
  <c r="AB108"/>
  <c r="AA13"/>
  <c r="AB84"/>
  <c r="AC108"/>
  <c r="AC84"/>
  <c r="AD108"/>
  <c r="AC13"/>
  <c r="AD84"/>
  <c r="AE108"/>
  <c r="AF108"/>
  <c r="AG108"/>
  <c r="AH108"/>
  <c r="AI108"/>
  <c r="AJ108"/>
  <c r="AK108"/>
  <c r="AL15"/>
  <c r="CA23"/>
  <c r="AL108"/>
  <c r="AL14"/>
  <c r="CA22"/>
  <c r="AL13"/>
  <c r="X85"/>
  <c r="Y109"/>
  <c r="X14"/>
  <c r="Y85"/>
  <c r="Z109"/>
  <c r="Z15"/>
  <c r="BO23"/>
  <c r="Z85"/>
  <c r="AA109"/>
  <c r="Z14"/>
  <c r="AA85"/>
  <c r="AB109"/>
  <c r="AB16"/>
  <c r="BQ24"/>
  <c r="AB85"/>
  <c r="AC109"/>
  <c r="AB14"/>
  <c r="AD109"/>
  <c r="AC14"/>
  <c r="AE109"/>
  <c r="AD14"/>
  <c r="AF109"/>
  <c r="AE14"/>
  <c r="AG109"/>
  <c r="AF14"/>
  <c r="AH109"/>
  <c r="AG14"/>
  <c r="AI109"/>
  <c r="AH14"/>
  <c r="AJ109"/>
  <c r="AI14"/>
  <c r="AK109"/>
  <c r="AJ14"/>
  <c r="AL109"/>
  <c r="AK14"/>
  <c r="AM14"/>
  <c r="X86"/>
  <c r="Y110"/>
  <c r="X17"/>
  <c r="BM25"/>
  <c r="X15"/>
  <c r="Y86"/>
  <c r="Z110"/>
  <c r="Y15"/>
  <c r="Z86"/>
  <c r="AA110"/>
  <c r="AA16"/>
  <c r="BP24"/>
  <c r="AA86"/>
  <c r="AB110"/>
  <c r="AA15"/>
  <c r="AC110"/>
  <c r="AB15"/>
  <c r="AD110"/>
  <c r="AC15"/>
  <c r="AE110"/>
  <c r="AD15"/>
  <c r="AF110"/>
  <c r="AE15"/>
  <c r="AG110"/>
  <c r="AF15"/>
  <c r="AH110"/>
  <c r="AG15"/>
  <c r="AI110"/>
  <c r="AH15"/>
  <c r="AJ110"/>
  <c r="AI15"/>
  <c r="AK110"/>
  <c r="AJ15"/>
  <c r="AL110"/>
  <c r="AK15"/>
  <c r="AM15"/>
  <c r="X87"/>
  <c r="Y111"/>
  <c r="Y17"/>
  <c r="BN25"/>
  <c r="X16"/>
  <c r="Y87"/>
  <c r="Z111"/>
  <c r="Y16"/>
  <c r="Z87"/>
  <c r="AA111"/>
  <c r="AA17"/>
  <c r="BP25"/>
  <c r="Z16"/>
  <c r="AB111"/>
  <c r="AB17"/>
  <c r="BQ25"/>
  <c r="AC111"/>
  <c r="AD16"/>
  <c r="BS24"/>
  <c r="AD111"/>
  <c r="AE16"/>
  <c r="BT24"/>
  <c r="AE111"/>
  <c r="AF16"/>
  <c r="BU24"/>
  <c r="AF111"/>
  <c r="AG16"/>
  <c r="BV24"/>
  <c r="AG111"/>
  <c r="AH16"/>
  <c r="BW24"/>
  <c r="AH111"/>
  <c r="AI16"/>
  <c r="BX24"/>
  <c r="AI111"/>
  <c r="AJ16"/>
  <c r="BY24"/>
  <c r="AJ111"/>
  <c r="AK16"/>
  <c r="BZ24"/>
  <c r="AK111"/>
  <c r="AK17"/>
  <c r="BZ25"/>
  <c r="AL111"/>
  <c r="AM16"/>
  <c r="CB24"/>
  <c r="AL16"/>
  <c r="Y112"/>
  <c r="Y18"/>
  <c r="BN26"/>
  <c r="Z112"/>
  <c r="AA19"/>
  <c r="BP27"/>
  <c r="AA112"/>
  <c r="AA18"/>
  <c r="BP26"/>
  <c r="AB112"/>
  <c r="AC19"/>
  <c r="BR27"/>
  <c r="AC112"/>
  <c r="AC18"/>
  <c r="BR26"/>
  <c r="AD112"/>
  <c r="AE19"/>
  <c r="BT27"/>
  <c r="AE112"/>
  <c r="AE18"/>
  <c r="BT26"/>
  <c r="AF112"/>
  <c r="AG19"/>
  <c r="BV27"/>
  <c r="AG112"/>
  <c r="AG18"/>
  <c r="BV26"/>
  <c r="AH112"/>
  <c r="AI19"/>
  <c r="BX27"/>
  <c r="AI112"/>
  <c r="AI18"/>
  <c r="BX26"/>
  <c r="AJ112"/>
  <c r="AK19"/>
  <c r="BZ27"/>
  <c r="AK112"/>
  <c r="AK18"/>
  <c r="BZ26"/>
  <c r="AL112"/>
  <c r="AM19"/>
  <c r="CB27"/>
  <c r="AL17"/>
  <c r="CA25"/>
  <c r="X18"/>
  <c r="BM26"/>
  <c r="Z18"/>
  <c r="BO26"/>
  <c r="AB18"/>
  <c r="BQ26"/>
  <c r="AD18"/>
  <c r="BS26"/>
  <c r="AF18"/>
  <c r="BU26"/>
  <c r="AH18"/>
  <c r="BW26"/>
  <c r="AJ18"/>
  <c r="BY26"/>
  <c r="AL18"/>
  <c r="CA26"/>
  <c r="X19"/>
  <c r="BM27"/>
  <c r="Z19"/>
  <c r="BO27"/>
  <c r="AB19"/>
  <c r="BQ27"/>
  <c r="AD19"/>
  <c r="BS27"/>
  <c r="AF19"/>
  <c r="BU27"/>
  <c r="AH19"/>
  <c r="BW27"/>
  <c r="AJ19"/>
  <c r="BY27"/>
  <c r="AL19"/>
  <c r="CA27"/>
  <c r="Y78"/>
  <c r="Y7"/>
  <c r="BN15"/>
  <c r="Z78"/>
  <c r="Z7"/>
  <c r="BO15"/>
  <c r="AA78"/>
  <c r="AA7"/>
  <c r="BP15"/>
  <c r="AB78"/>
  <c r="AB7"/>
  <c r="BQ15"/>
  <c r="AC78"/>
  <c r="AC7"/>
  <c r="BR15"/>
  <c r="AD78"/>
  <c r="AD7"/>
  <c r="BS15"/>
  <c r="AE7"/>
  <c r="AF7"/>
  <c r="AG7"/>
  <c r="AH7"/>
  <c r="AI7"/>
  <c r="AJ7"/>
  <c r="AK7"/>
  <c r="AL7"/>
  <c r="AM7"/>
  <c r="X78"/>
  <c r="X7"/>
  <c r="BM15"/>
  <c r="BN14"/>
  <c r="BP14"/>
  <c r="AM23"/>
  <c r="U75"/>
  <c r="W76"/>
  <c r="X76"/>
  <c r="Y76"/>
  <c r="Z76"/>
  <c r="AA76"/>
  <c r="AB76"/>
  <c r="AC76"/>
  <c r="AD76"/>
  <c r="AE76"/>
  <c r="AF76"/>
  <c r="AG76"/>
  <c r="AH76"/>
  <c r="AI76"/>
  <c r="AJ76"/>
  <c r="AK76"/>
  <c r="AL76"/>
  <c r="AM76"/>
  <c r="AN76"/>
  <c r="U76"/>
  <c r="V77"/>
  <c r="V78"/>
  <c r="V79"/>
  <c r="V80"/>
  <c r="V81"/>
  <c r="V82"/>
  <c r="V83"/>
  <c r="V84"/>
  <c r="V85"/>
  <c r="V86"/>
  <c r="V87"/>
  <c r="V88"/>
  <c r="V89"/>
  <c r="V90"/>
  <c r="V91"/>
  <c r="AM22"/>
  <c r="W99"/>
  <c r="X99"/>
  <c r="Y99"/>
  <c r="Z99"/>
  <c r="AA99"/>
  <c r="AB99"/>
  <c r="AC99"/>
  <c r="AD99"/>
  <c r="AE99"/>
  <c r="AF99"/>
  <c r="AG99"/>
  <c r="AH99"/>
  <c r="AI99"/>
  <c r="AJ99"/>
  <c r="AK99"/>
  <c r="AL99"/>
  <c r="AM99"/>
  <c r="AN99"/>
  <c r="V100"/>
  <c r="V101"/>
  <c r="V102"/>
  <c r="V103"/>
  <c r="V104"/>
  <c r="V105"/>
  <c r="V106"/>
  <c r="V107"/>
  <c r="V108"/>
  <c r="V109"/>
  <c r="V110"/>
  <c r="V111"/>
  <c r="V112"/>
  <c r="V113"/>
  <c r="V114"/>
  <c r="AW45" i="22"/>
  <c r="AX45"/>
  <c r="AY45"/>
  <c r="AZ45"/>
  <c r="BA45"/>
  <c r="BB45"/>
  <c r="BC45"/>
  <c r="BD45"/>
  <c r="BE45"/>
  <c r="BF45"/>
  <c r="BG45"/>
  <c r="BH45"/>
  <c r="BI45"/>
  <c r="BJ45"/>
  <c r="BK45"/>
  <c r="BL45"/>
  <c r="BM45"/>
  <c r="BN45"/>
  <c r="BO45"/>
  <c r="AW46"/>
  <c r="AX46"/>
  <c r="AY46"/>
  <c r="AZ46"/>
  <c r="BA46"/>
  <c r="BB46"/>
  <c r="BC46"/>
  <c r="BD46"/>
  <c r="BE46"/>
  <c r="BF46"/>
  <c r="BG46"/>
  <c r="BH46"/>
  <c r="BI46"/>
  <c r="BJ46"/>
  <c r="BK46"/>
  <c r="BL46"/>
  <c r="BM46"/>
  <c r="BN46"/>
  <c r="BO46"/>
  <c r="AW47"/>
  <c r="AX47"/>
  <c r="AY47"/>
  <c r="AZ47"/>
  <c r="BA47"/>
  <c r="BB47"/>
  <c r="BC47"/>
  <c r="BD47"/>
  <c r="BE47"/>
  <c r="BF47"/>
  <c r="BG47"/>
  <c r="BH47"/>
  <c r="BI47"/>
  <c r="BJ47"/>
  <c r="BK47"/>
  <c r="BL47"/>
  <c r="BM47"/>
  <c r="BN47"/>
  <c r="BO47"/>
  <c r="AW48"/>
  <c r="AX48"/>
  <c r="AY48"/>
  <c r="AZ48"/>
  <c r="BA48"/>
  <c r="BB48"/>
  <c r="BC48"/>
  <c r="BD48"/>
  <c r="BE48"/>
  <c r="BF48"/>
  <c r="BG48"/>
  <c r="BH48"/>
  <c r="BI48"/>
  <c r="BJ48"/>
  <c r="BK48"/>
  <c r="BL48"/>
  <c r="BM48"/>
  <c r="BN48"/>
  <c r="BO48"/>
  <c r="AW49"/>
  <c r="AX49"/>
  <c r="AY49"/>
  <c r="AZ49"/>
  <c r="BA49"/>
  <c r="BB49"/>
  <c r="BC49"/>
  <c r="BD49"/>
  <c r="BE49"/>
  <c r="BF49"/>
  <c r="BG49"/>
  <c r="BH49"/>
  <c r="BI49"/>
  <c r="BJ49"/>
  <c r="BK49"/>
  <c r="BL49"/>
  <c r="BM49"/>
  <c r="BN49"/>
  <c r="BO49"/>
  <c r="AW50"/>
  <c r="AX50"/>
  <c r="AY50"/>
  <c r="AZ50"/>
  <c r="BA50"/>
  <c r="BB50"/>
  <c r="BC50"/>
  <c r="BD50"/>
  <c r="BE50"/>
  <c r="BF50"/>
  <c r="BG50"/>
  <c r="BH50"/>
  <c r="BI50"/>
  <c r="BJ50"/>
  <c r="BK50"/>
  <c r="BL50"/>
  <c r="BM50"/>
  <c r="BN50"/>
  <c r="BO50"/>
  <c r="AW51"/>
  <c r="AX51"/>
  <c r="AY51"/>
  <c r="AZ51"/>
  <c r="BA51"/>
  <c r="BB51"/>
  <c r="BC51"/>
  <c r="BD51"/>
  <c r="BE51"/>
  <c r="BF51"/>
  <c r="BG51"/>
  <c r="BH51"/>
  <c r="BI51"/>
  <c r="BJ51"/>
  <c r="BK51"/>
  <c r="BL51"/>
  <c r="BM51"/>
  <c r="BN51"/>
  <c r="BO51"/>
  <c r="AW52"/>
  <c r="AX52"/>
  <c r="AY52"/>
  <c r="AZ52"/>
  <c r="BA52"/>
  <c r="BB52"/>
  <c r="BC52"/>
  <c r="BD52"/>
  <c r="BE52"/>
  <c r="BF52"/>
  <c r="BG52"/>
  <c r="BH52"/>
  <c r="BI52"/>
  <c r="BJ52"/>
  <c r="BK52"/>
  <c r="BL52"/>
  <c r="BM52"/>
  <c r="BN52"/>
  <c r="BO52"/>
  <c r="AW53"/>
  <c r="AX53"/>
  <c r="AY53"/>
  <c r="AZ53"/>
  <c r="BA53"/>
  <c r="BB53"/>
  <c r="BC53"/>
  <c r="BD53"/>
  <c r="BE53"/>
  <c r="BF53"/>
  <c r="BG53"/>
  <c r="BH53"/>
  <c r="BI53"/>
  <c r="BJ53"/>
  <c r="BK53"/>
  <c r="BL53"/>
  <c r="BM53"/>
  <c r="BN53"/>
  <c r="BO53"/>
  <c r="AW54"/>
  <c r="AX54"/>
  <c r="AY54"/>
  <c r="AZ54"/>
  <c r="BA54"/>
  <c r="BB54"/>
  <c r="BC54"/>
  <c r="BD54"/>
  <c r="BE54"/>
  <c r="BF54"/>
  <c r="BG54"/>
  <c r="BH54"/>
  <c r="BI54"/>
  <c r="BJ54"/>
  <c r="BK54"/>
  <c r="BL54"/>
  <c r="BM54"/>
  <c r="BN54"/>
  <c r="BO54"/>
  <c r="AW55"/>
  <c r="AX55"/>
  <c r="AY55"/>
  <c r="AZ55"/>
  <c r="BA55"/>
  <c r="BB55"/>
  <c r="BC55"/>
  <c r="BD55"/>
  <c r="BE55"/>
  <c r="BF55"/>
  <c r="BG55"/>
  <c r="BH55"/>
  <c r="BI55"/>
  <c r="BJ55"/>
  <c r="BK55"/>
  <c r="BL55"/>
  <c r="BM55"/>
  <c r="BN55"/>
  <c r="BO55"/>
  <c r="AW56"/>
  <c r="AX56"/>
  <c r="AY56"/>
  <c r="AZ56"/>
  <c r="BA56"/>
  <c r="BB56"/>
  <c r="BC56"/>
  <c r="BD56"/>
  <c r="BE56"/>
  <c r="BF56"/>
  <c r="BG56"/>
  <c r="BH56"/>
  <c r="BI56"/>
  <c r="BJ56"/>
  <c r="BK56"/>
  <c r="BL56"/>
  <c r="BM56"/>
  <c r="BN56"/>
  <c r="BO56"/>
  <c r="AW57"/>
  <c r="AX57"/>
  <c r="AY57"/>
  <c r="AZ57"/>
  <c r="BA57"/>
  <c r="BB57"/>
  <c r="BC57"/>
  <c r="BD57"/>
  <c r="BE57"/>
  <c r="BF57"/>
  <c r="BG57"/>
  <c r="BH57"/>
  <c r="BI57"/>
  <c r="BJ57"/>
  <c r="BK57"/>
  <c r="BL57"/>
  <c r="BM57"/>
  <c r="BN57"/>
  <c r="BO57"/>
  <c r="AW58"/>
  <c r="AX58"/>
  <c r="AY58"/>
  <c r="AZ58"/>
  <c r="BA58"/>
  <c r="BB58"/>
  <c r="BC58"/>
  <c r="BD58"/>
  <c r="BE58"/>
  <c r="BF58"/>
  <c r="BG58"/>
  <c r="BH58"/>
  <c r="BI58"/>
  <c r="BJ58"/>
  <c r="BK58"/>
  <c r="BL58"/>
  <c r="BM58"/>
  <c r="BN58"/>
  <c r="BO58"/>
  <c r="AW59"/>
  <c r="AX59"/>
  <c r="AY59"/>
  <c r="AZ59"/>
  <c r="BA59"/>
  <c r="BB59"/>
  <c r="BC59"/>
  <c r="BD59"/>
  <c r="BE59"/>
  <c r="BF59"/>
  <c r="BG59"/>
  <c r="BH59"/>
  <c r="BI59"/>
  <c r="BJ59"/>
  <c r="BK59"/>
  <c r="BL59"/>
  <c r="BM59"/>
  <c r="BN59"/>
  <c r="BO59"/>
  <c r="AW60"/>
  <c r="AX60"/>
  <c r="AY60"/>
  <c r="AZ60"/>
  <c r="BA60"/>
  <c r="BB60"/>
  <c r="BC60"/>
  <c r="BD60"/>
  <c r="BE60"/>
  <c r="BF60"/>
  <c r="BG60"/>
  <c r="BH60"/>
  <c r="BI60"/>
  <c r="BJ60"/>
  <c r="BK60"/>
  <c r="BL60"/>
  <c r="BM60"/>
  <c r="BN60"/>
  <c r="BO60"/>
  <c r="AW61"/>
  <c r="AX61"/>
  <c r="AY61"/>
  <c r="AZ61"/>
  <c r="BA61"/>
  <c r="BB61"/>
  <c r="BC61"/>
  <c r="BD61"/>
  <c r="BE61"/>
  <c r="BF61"/>
  <c r="BG61"/>
  <c r="BH61"/>
  <c r="BI61"/>
  <c r="BJ61"/>
  <c r="BK61"/>
  <c r="BL61"/>
  <c r="BM61"/>
  <c r="BN61"/>
  <c r="BO61"/>
  <c r="AW62"/>
  <c r="AX62"/>
  <c r="AY62"/>
  <c r="AZ62"/>
  <c r="BA62"/>
  <c r="BB62"/>
  <c r="BC62"/>
  <c r="BD62"/>
  <c r="BE62"/>
  <c r="BF62"/>
  <c r="BG62"/>
  <c r="BH62"/>
  <c r="BI62"/>
  <c r="BJ62"/>
  <c r="BK62"/>
  <c r="BL62"/>
  <c r="BM62"/>
  <c r="BN62"/>
  <c r="BO62"/>
  <c r="AW63"/>
  <c r="AX63"/>
  <c r="AY63"/>
  <c r="AZ63"/>
  <c r="BA63"/>
  <c r="BB63"/>
  <c r="BC63"/>
  <c r="BD63"/>
  <c r="BE63"/>
  <c r="BF63"/>
  <c r="BG63"/>
  <c r="BH63"/>
  <c r="BI63"/>
  <c r="BJ63"/>
  <c r="BK63"/>
  <c r="BL63"/>
  <c r="BM63"/>
  <c r="BN63"/>
  <c r="BO63"/>
  <c r="AX44"/>
  <c r="AY44"/>
  <c r="AZ44"/>
  <c r="BA44"/>
  <c r="BB44"/>
  <c r="BC44"/>
  <c r="BD44"/>
  <c r="BE44"/>
  <c r="BF44"/>
  <c r="BG44"/>
  <c r="BH44"/>
  <c r="BI44"/>
  <c r="BJ44"/>
  <c r="BK44"/>
  <c r="BL44"/>
  <c r="BM44"/>
  <c r="BN44"/>
  <c r="BO44"/>
  <c r="AW44"/>
  <c r="BT15" i="23"/>
  <c r="BU15"/>
  <c r="BV15"/>
  <c r="BW15"/>
  <c r="BX15"/>
  <c r="BY15"/>
  <c r="BZ15"/>
  <c r="CA15"/>
  <c r="CB15"/>
  <c r="BT16"/>
  <c r="BV16"/>
  <c r="BX16"/>
  <c r="BZ16"/>
  <c r="CB16"/>
  <c r="BM17"/>
  <c r="BN17"/>
  <c r="BP17"/>
  <c r="BR17"/>
  <c r="CA17"/>
  <c r="CC17"/>
  <c r="BM18"/>
  <c r="BO18"/>
  <c r="BQ18"/>
  <c r="BS18"/>
  <c r="BT18"/>
  <c r="BU18"/>
  <c r="BV18"/>
  <c r="BW18"/>
  <c r="BX18"/>
  <c r="BY18"/>
  <c r="BZ18"/>
  <c r="CB18"/>
  <c r="BM19"/>
  <c r="BN19"/>
  <c r="BP19"/>
  <c r="BR19"/>
  <c r="CA19"/>
  <c r="CC19"/>
  <c r="BM20"/>
  <c r="BO20"/>
  <c r="BQ20"/>
  <c r="BS20"/>
  <c r="BT20"/>
  <c r="BU20"/>
  <c r="BV20"/>
  <c r="BW20"/>
  <c r="BX20"/>
  <c r="BY20"/>
  <c r="BZ20"/>
  <c r="CB20"/>
  <c r="BM21"/>
  <c r="BN21"/>
  <c r="BP21"/>
  <c r="BR21"/>
  <c r="CA21"/>
  <c r="CC21"/>
  <c r="BM22"/>
  <c r="BO22"/>
  <c r="BQ22"/>
  <c r="BR22"/>
  <c r="BS22"/>
  <c r="BT22"/>
  <c r="BU22"/>
  <c r="BV22"/>
  <c r="BW22"/>
  <c r="BX22"/>
  <c r="BY22"/>
  <c r="BZ22"/>
  <c r="CB22"/>
  <c r="BM23"/>
  <c r="BN23"/>
  <c r="BP23"/>
  <c r="BQ23"/>
  <c r="BR23"/>
  <c r="BS23"/>
  <c r="BT23"/>
  <c r="BU23"/>
  <c r="BV23"/>
  <c r="BW23"/>
  <c r="BX23"/>
  <c r="BY23"/>
  <c r="BZ23"/>
  <c r="CB23"/>
  <c r="CC23"/>
  <c r="BM24"/>
  <c r="BN24"/>
  <c r="BO24"/>
  <c r="CA24"/>
  <c r="BL25"/>
  <c r="CC25"/>
  <c r="BL27"/>
  <c r="CC27"/>
  <c r="BL28"/>
  <c r="BN28"/>
  <c r="BP28"/>
  <c r="BR28"/>
  <c r="BT28"/>
  <c r="BV28"/>
  <c r="BX28"/>
  <c r="BZ28"/>
  <c r="CB28"/>
  <c r="BR14"/>
  <c r="BT14"/>
  <c r="BV14"/>
  <c r="BX14"/>
  <c r="BZ14"/>
  <c r="CB14"/>
  <c r="CC14"/>
  <c r="BL42"/>
  <c r="BM42"/>
  <c r="BN42"/>
  <c r="BO42"/>
  <c r="BP42"/>
  <c r="BQ42"/>
  <c r="BR42"/>
  <c r="BS42"/>
  <c r="BT42"/>
  <c r="BU42"/>
  <c r="BV42"/>
  <c r="BW42"/>
  <c r="BX42"/>
  <c r="BY42"/>
  <c r="BZ42"/>
  <c r="CA42"/>
  <c r="CB42"/>
  <c r="CC42"/>
  <c r="BL43"/>
  <c r="BM43"/>
  <c r="BN43"/>
  <c r="BO43"/>
  <c r="BP43"/>
  <c r="BQ43"/>
  <c r="BR43"/>
  <c r="BS43"/>
  <c r="BT43"/>
  <c r="BU43"/>
  <c r="BV43"/>
  <c r="BW43"/>
  <c r="BX43"/>
  <c r="BY43"/>
  <c r="BZ43"/>
  <c r="CA43"/>
  <c r="CB43"/>
  <c r="CC43"/>
  <c r="BL44"/>
  <c r="BM44"/>
  <c r="BN44"/>
  <c r="BO44"/>
  <c r="BP44"/>
  <c r="BQ44"/>
  <c r="BR44"/>
  <c r="BS44"/>
  <c r="BT44"/>
  <c r="BU44"/>
  <c r="BV44"/>
  <c r="BW44"/>
  <c r="BX44"/>
  <c r="BY44"/>
  <c r="BZ44"/>
  <c r="CA44"/>
  <c r="CB44"/>
  <c r="CC44"/>
  <c r="BL45"/>
  <c r="BM45"/>
  <c r="BN45"/>
  <c r="BO45"/>
  <c r="BP45"/>
  <c r="BQ45"/>
  <c r="BR45"/>
  <c r="BS45"/>
  <c r="BT45"/>
  <c r="BU45"/>
  <c r="BV45"/>
  <c r="BW45"/>
  <c r="BX45"/>
  <c r="BY45"/>
  <c r="BZ45"/>
  <c r="CA45"/>
  <c r="CB45"/>
  <c r="CC45"/>
  <c r="BL46"/>
  <c r="BM46"/>
  <c r="BN46"/>
  <c r="BO46"/>
  <c r="BP46"/>
  <c r="BQ46"/>
  <c r="BR46"/>
  <c r="BS46"/>
  <c r="BT46"/>
  <c r="BU46"/>
  <c r="BV46"/>
  <c r="BW46"/>
  <c r="BX46"/>
  <c r="BY46"/>
  <c r="BZ46"/>
  <c r="CA46"/>
  <c r="CB46"/>
  <c r="CC46"/>
  <c r="BL47"/>
  <c r="BM47"/>
  <c r="BN47"/>
  <c r="BO47"/>
  <c r="BP47"/>
  <c r="BQ47"/>
  <c r="BR47"/>
  <c r="BS47"/>
  <c r="BT47"/>
  <c r="BU47"/>
  <c r="BV47"/>
  <c r="BW47"/>
  <c r="BX47"/>
  <c r="BY47"/>
  <c r="BZ47"/>
  <c r="CA47"/>
  <c r="CB47"/>
  <c r="CC47"/>
  <c r="BL48"/>
  <c r="BM48"/>
  <c r="BN48"/>
  <c r="BO48"/>
  <c r="BP48"/>
  <c r="BQ48"/>
  <c r="BR48"/>
  <c r="BS48"/>
  <c r="BT48"/>
  <c r="BU48"/>
  <c r="BV48"/>
  <c r="BW48"/>
  <c r="BX48"/>
  <c r="BY48"/>
  <c r="BZ48"/>
  <c r="CA48"/>
  <c r="CB48"/>
  <c r="CC48"/>
  <c r="BL49"/>
  <c r="BM49"/>
  <c r="BN49"/>
  <c r="BO49"/>
  <c r="BP49"/>
  <c r="BQ49"/>
  <c r="BR49"/>
  <c r="BS49"/>
  <c r="BT49"/>
  <c r="BU49"/>
  <c r="BV49"/>
  <c r="BW49"/>
  <c r="BX49"/>
  <c r="BY49"/>
  <c r="BZ49"/>
  <c r="CA49"/>
  <c r="CB49"/>
  <c r="CC49"/>
  <c r="BL50"/>
  <c r="BM50"/>
  <c r="BN50"/>
  <c r="BO50"/>
  <c r="BP50"/>
  <c r="BQ50"/>
  <c r="BR50"/>
  <c r="BS50"/>
  <c r="BT50"/>
  <c r="BU50"/>
  <c r="BV50"/>
  <c r="BW50"/>
  <c r="BX50"/>
  <c r="BY50"/>
  <c r="BZ50"/>
  <c r="CA50"/>
  <c r="CB50"/>
  <c r="CC50"/>
  <c r="BL51"/>
  <c r="BM51"/>
  <c r="BN51"/>
  <c r="BO51"/>
  <c r="BP51"/>
  <c r="BQ51"/>
  <c r="BR51"/>
  <c r="BS51"/>
  <c r="BT51"/>
  <c r="BU51"/>
  <c r="BV51"/>
  <c r="BW51"/>
  <c r="BX51"/>
  <c r="BY51"/>
  <c r="BZ51"/>
  <c r="CA51"/>
  <c r="CB51"/>
  <c r="CC51"/>
  <c r="BL52"/>
  <c r="BM52"/>
  <c r="BN52"/>
  <c r="BO52"/>
  <c r="BP52"/>
  <c r="BQ52"/>
  <c r="BR52"/>
  <c r="BS52"/>
  <c r="BT52"/>
  <c r="BU52"/>
  <c r="BV52"/>
  <c r="BW52"/>
  <c r="BX52"/>
  <c r="BY52"/>
  <c r="BZ52"/>
  <c r="CA52"/>
  <c r="CB52"/>
  <c r="CC52"/>
  <c r="BL53"/>
  <c r="BM53"/>
  <c r="BN53"/>
  <c r="BO53"/>
  <c r="BP53"/>
  <c r="BQ53"/>
  <c r="BR53"/>
  <c r="BS53"/>
  <c r="BT53"/>
  <c r="BU53"/>
  <c r="BV53"/>
  <c r="BW53"/>
  <c r="BX53"/>
  <c r="BY53"/>
  <c r="BZ53"/>
  <c r="CA53"/>
  <c r="CB53"/>
  <c r="CC53"/>
  <c r="BL54"/>
  <c r="BM54"/>
  <c r="BN54"/>
  <c r="BO54"/>
  <c r="BP54"/>
  <c r="BQ54"/>
  <c r="BR54"/>
  <c r="BS54"/>
  <c r="BT54"/>
  <c r="BU54"/>
  <c r="BV54"/>
  <c r="BW54"/>
  <c r="BX54"/>
  <c r="BY54"/>
  <c r="BZ54"/>
  <c r="CA54"/>
  <c r="CB54"/>
  <c r="CC54"/>
  <c r="BL55"/>
  <c r="BM55"/>
  <c r="BN55"/>
  <c r="BO55"/>
  <c r="BP55"/>
  <c r="BQ55"/>
  <c r="BR55"/>
  <c r="BS55"/>
  <c r="BT55"/>
  <c r="BU55"/>
  <c r="BV55"/>
  <c r="BW55"/>
  <c r="BX55"/>
  <c r="BY55"/>
  <c r="BZ55"/>
  <c r="CA55"/>
  <c r="CB55"/>
  <c r="CC55"/>
  <c r="BM41"/>
  <c r="BN41"/>
  <c r="BO41"/>
  <c r="BP41"/>
  <c r="BQ41"/>
  <c r="BR41"/>
  <c r="BS41"/>
  <c r="BT41"/>
  <c r="BU41"/>
  <c r="BV41"/>
  <c r="BW41"/>
  <c r="BX41"/>
  <c r="BY41"/>
  <c r="BZ41"/>
  <c r="CA41"/>
  <c r="CB41"/>
  <c r="CC41"/>
  <c r="BL41"/>
  <c r="AI8" i="22"/>
  <c r="AH7"/>
  <c r="AH8"/>
  <c r="AH9"/>
  <c r="AB7"/>
  <c r="AC7"/>
  <c r="AX20"/>
  <c r="AD7"/>
  <c r="AE7"/>
  <c r="AZ20"/>
  <c r="AF7"/>
  <c r="AG7"/>
  <c r="BB20"/>
  <c r="AB8"/>
  <c r="AC8"/>
  <c r="AD8"/>
  <c r="AE8"/>
  <c r="AF8"/>
  <c r="AG8"/>
  <c r="AB9"/>
  <c r="AC9"/>
  <c r="AX22"/>
  <c r="AD9"/>
  <c r="AE9"/>
  <c r="AZ22"/>
  <c r="AF9"/>
  <c r="AG9"/>
  <c r="BB22"/>
  <c r="AB10"/>
  <c r="AB11"/>
  <c r="AI7"/>
  <c r="AJ7"/>
  <c r="AK7"/>
  <c r="AL7"/>
  <c r="AM7"/>
  <c r="AN7"/>
  <c r="AO7"/>
  <c r="AP7"/>
  <c r="AQ7"/>
  <c r="AR7"/>
  <c r="AS7"/>
  <c r="AT7"/>
  <c r="AC6"/>
  <c r="AD6"/>
  <c r="AE6"/>
  <c r="AF6"/>
  <c r="AG6"/>
  <c r="AH6"/>
  <c r="AI6"/>
  <c r="AJ6"/>
  <c r="AK6"/>
  <c r="AL6"/>
  <c r="AM6"/>
  <c r="AN6"/>
  <c r="AO6"/>
  <c r="AP6"/>
  <c r="AQ6"/>
  <c r="AR6"/>
  <c r="AS6"/>
  <c r="AT6"/>
  <c r="AB6"/>
  <c r="BO38"/>
  <c r="BN38"/>
  <c r="BM38"/>
  <c r="BL38"/>
  <c r="BK38"/>
  <c r="BJ38"/>
  <c r="BI38"/>
  <c r="BH38"/>
  <c r="BG38"/>
  <c r="BF38"/>
  <c r="BE38"/>
  <c r="BD38"/>
  <c r="BC38"/>
  <c r="BB38"/>
  <c r="BA38"/>
  <c r="AZ38"/>
  <c r="AY38"/>
  <c r="AX38"/>
  <c r="AW38"/>
  <c r="BO37"/>
  <c r="BN37"/>
  <c r="BM37"/>
  <c r="BL37"/>
  <c r="BK37"/>
  <c r="BJ37"/>
  <c r="BI37"/>
  <c r="BH37"/>
  <c r="BG37"/>
  <c r="BF37"/>
  <c r="BE37"/>
  <c r="BD37"/>
  <c r="BC37"/>
  <c r="BB37"/>
  <c r="BA37"/>
  <c r="AZ37"/>
  <c r="AY37"/>
  <c r="AX37"/>
  <c r="AW37"/>
  <c r="BO36"/>
  <c r="BN36"/>
  <c r="BM36"/>
  <c r="BL36"/>
  <c r="BK36"/>
  <c r="BJ36"/>
  <c r="BI36"/>
  <c r="BH36"/>
  <c r="BG36"/>
  <c r="BF36"/>
  <c r="BE36"/>
  <c r="BD36"/>
  <c r="BC36"/>
  <c r="BB36"/>
  <c r="BA36"/>
  <c r="AZ36"/>
  <c r="AY36"/>
  <c r="AX36"/>
  <c r="AW36"/>
  <c r="BO35"/>
  <c r="BN35"/>
  <c r="BM35"/>
  <c r="BL35"/>
  <c r="BK35"/>
  <c r="BJ35"/>
  <c r="BI35"/>
  <c r="BH35"/>
  <c r="BG35"/>
  <c r="BF35"/>
  <c r="BE35"/>
  <c r="BD35"/>
  <c r="BC35"/>
  <c r="BB35"/>
  <c r="BA35"/>
  <c r="AZ35"/>
  <c r="AY35"/>
  <c r="AX35"/>
  <c r="AW35"/>
  <c r="BO34"/>
  <c r="BN34"/>
  <c r="BM34"/>
  <c r="BL34"/>
  <c r="BK34"/>
  <c r="BJ34"/>
  <c r="BI34"/>
  <c r="BH34"/>
  <c r="BG34"/>
  <c r="BF34"/>
  <c r="BE34"/>
  <c r="BD34"/>
  <c r="BC34"/>
  <c r="BB34"/>
  <c r="BA34"/>
  <c r="AZ34"/>
  <c r="AY34"/>
  <c r="AX34"/>
  <c r="AW34"/>
  <c r="BO33"/>
  <c r="BN33"/>
  <c r="BM33"/>
  <c r="BL33"/>
  <c r="BK33"/>
  <c r="BJ33"/>
  <c r="BI33"/>
  <c r="BH33"/>
  <c r="BG33"/>
  <c r="BF33"/>
  <c r="BE33"/>
  <c r="BD33"/>
  <c r="BC33"/>
  <c r="BB33"/>
  <c r="BA33"/>
  <c r="AZ33"/>
  <c r="AY33"/>
  <c r="AX33"/>
  <c r="AW33"/>
  <c r="BO32"/>
  <c r="BN32"/>
  <c r="BM32"/>
  <c r="BL32"/>
  <c r="BK32"/>
  <c r="BJ32"/>
  <c r="BI32"/>
  <c r="BH32"/>
  <c r="BG32"/>
  <c r="BF32"/>
  <c r="BE32"/>
  <c r="BD32"/>
  <c r="BC32"/>
  <c r="BB32"/>
  <c r="BA32"/>
  <c r="AZ32"/>
  <c r="AY32"/>
  <c r="AX32"/>
  <c r="AW32"/>
  <c r="BO31"/>
  <c r="BN31"/>
  <c r="BM31"/>
  <c r="BL31"/>
  <c r="BK31"/>
  <c r="BJ31"/>
  <c r="BI31"/>
  <c r="BH31"/>
  <c r="BG31"/>
  <c r="BF31"/>
  <c r="BE31"/>
  <c r="BD31"/>
  <c r="BC31"/>
  <c r="BB31"/>
  <c r="BA31"/>
  <c r="AZ31"/>
  <c r="AY31"/>
  <c r="AX31"/>
  <c r="AW31"/>
  <c r="BO30"/>
  <c r="BN30"/>
  <c r="BM30"/>
  <c r="BL30"/>
  <c r="BK30"/>
  <c r="BJ30"/>
  <c r="BI30"/>
  <c r="BH30"/>
  <c r="BG30"/>
  <c r="BF30"/>
  <c r="BE30"/>
  <c r="BD30"/>
  <c r="BC30"/>
  <c r="BB30"/>
  <c r="BA30"/>
  <c r="AZ30"/>
  <c r="AY30"/>
  <c r="AX30"/>
  <c r="AW30"/>
  <c r="BO29"/>
  <c r="BN29"/>
  <c r="BM29"/>
  <c r="BL29"/>
  <c r="BK29"/>
  <c r="BJ29"/>
  <c r="BI29"/>
  <c r="BH29"/>
  <c r="BG29"/>
  <c r="BF29"/>
  <c r="BE29"/>
  <c r="BD29"/>
  <c r="BC29"/>
  <c r="BB29"/>
  <c r="BA29"/>
  <c r="AZ29"/>
  <c r="AY29"/>
  <c r="AX29"/>
  <c r="AW29"/>
  <c r="BO28"/>
  <c r="BN28"/>
  <c r="BM28"/>
  <c r="BL28"/>
  <c r="BK28"/>
  <c r="BJ28"/>
  <c r="BI28"/>
  <c r="BH28"/>
  <c r="BG28"/>
  <c r="BF28"/>
  <c r="BE28"/>
  <c r="BD28"/>
  <c r="BC28"/>
  <c r="BB28"/>
  <c r="BA28"/>
  <c r="AZ28"/>
  <c r="AY28"/>
  <c r="AX28"/>
  <c r="AW28"/>
  <c r="BO27"/>
  <c r="BN27"/>
  <c r="BM27"/>
  <c r="BL27"/>
  <c r="BK27"/>
  <c r="BJ27"/>
  <c r="BI27"/>
  <c r="BH27"/>
  <c r="BG27"/>
  <c r="BF27"/>
  <c r="BE27"/>
  <c r="BD27"/>
  <c r="BC27"/>
  <c r="BB27"/>
  <c r="BA27"/>
  <c r="AZ27"/>
  <c r="AY27"/>
  <c r="AX27"/>
  <c r="AW27"/>
  <c r="BO26"/>
  <c r="BN26"/>
  <c r="BM26"/>
  <c r="BL26"/>
  <c r="BK26"/>
  <c r="BJ26"/>
  <c r="BI26"/>
  <c r="BH26"/>
  <c r="BG26"/>
  <c r="BF26"/>
  <c r="BE26"/>
  <c r="BD26"/>
  <c r="BC26"/>
  <c r="BB26"/>
  <c r="BA26"/>
  <c r="AZ26"/>
  <c r="AY26"/>
  <c r="AX26"/>
  <c r="AW26"/>
  <c r="BO25"/>
  <c r="BN25"/>
  <c r="BM25"/>
  <c r="BL25"/>
  <c r="BK25"/>
  <c r="BJ25"/>
  <c r="BI25"/>
  <c r="BH25"/>
  <c r="BG25"/>
  <c r="BF25"/>
  <c r="BE25"/>
  <c r="BD25"/>
  <c r="BC25"/>
  <c r="BB25"/>
  <c r="BA25"/>
  <c r="AZ25"/>
  <c r="AY25"/>
  <c r="AX25"/>
  <c r="AW25"/>
  <c r="BO24"/>
  <c r="BN24"/>
  <c r="BM24"/>
  <c r="BL24"/>
  <c r="BK24"/>
  <c r="BJ24"/>
  <c r="BI24"/>
  <c r="BH24"/>
  <c r="BG24"/>
  <c r="BF24"/>
  <c r="BE24"/>
  <c r="BD24"/>
  <c r="BC24"/>
  <c r="BB24"/>
  <c r="BA24"/>
  <c r="AZ24"/>
  <c r="AY24"/>
  <c r="AX24"/>
  <c r="AW24"/>
  <c r="BO23"/>
  <c r="BN23"/>
  <c r="BM23"/>
  <c r="BL23"/>
  <c r="BK23"/>
  <c r="BJ23"/>
  <c r="BI23"/>
  <c r="BH23"/>
  <c r="BG23"/>
  <c r="BF23"/>
  <c r="BE23"/>
  <c r="BD23"/>
  <c r="BC23"/>
  <c r="BB23"/>
  <c r="BA23"/>
  <c r="AZ23"/>
  <c r="AY23"/>
  <c r="AX23"/>
  <c r="AW23"/>
  <c r="BO22"/>
  <c r="BN22"/>
  <c r="BM22"/>
  <c r="BL22"/>
  <c r="BK22"/>
  <c r="BJ22"/>
  <c r="BI22"/>
  <c r="BH22"/>
  <c r="BG22"/>
  <c r="BF22"/>
  <c r="BE22"/>
  <c r="BD22"/>
  <c r="BC22"/>
  <c r="BA22"/>
  <c r="AY22"/>
  <c r="AW22"/>
  <c r="BO21"/>
  <c r="BN21"/>
  <c r="BM21"/>
  <c r="BL21"/>
  <c r="BK21"/>
  <c r="BJ21"/>
  <c r="BI21"/>
  <c r="BH21"/>
  <c r="BG21"/>
  <c r="BF21"/>
  <c r="BE21"/>
  <c r="BD21"/>
  <c r="BC21"/>
  <c r="BB21"/>
  <c r="BA21"/>
  <c r="AZ21"/>
  <c r="AY21"/>
  <c r="AX21"/>
  <c r="AW21"/>
  <c r="BO20"/>
  <c r="BN20"/>
  <c r="BM20"/>
  <c r="BL20"/>
  <c r="BK20"/>
  <c r="BJ20"/>
  <c r="BI20"/>
  <c r="BH20"/>
  <c r="BG20"/>
  <c r="BF20"/>
  <c r="BE20"/>
  <c r="BD20"/>
  <c r="BC20"/>
  <c r="BA20"/>
  <c r="AY20"/>
  <c r="AW20"/>
  <c r="AX19"/>
  <c r="AY19"/>
  <c r="AZ19"/>
  <c r="BA19"/>
  <c r="BB19"/>
  <c r="BC19"/>
  <c r="BD19"/>
  <c r="BE19"/>
  <c r="BF19"/>
  <c r="BG19"/>
  <c r="BH19"/>
  <c r="BI19"/>
  <c r="BJ19"/>
  <c r="BK19"/>
  <c r="BL19"/>
  <c r="BM19"/>
  <c r="BN19"/>
  <c r="BO19"/>
  <c r="AW19"/>
  <c r="AL19" i="9"/>
  <c r="AM19"/>
  <c r="AN19"/>
  <c r="AO19"/>
  <c r="AP19"/>
  <c r="AQ19"/>
  <c r="AR19"/>
  <c r="AS19"/>
  <c r="AT19"/>
  <c r="AU19"/>
  <c r="AV19"/>
  <c r="BS32"/>
  <c r="AL20"/>
  <c r="AM20"/>
  <c r="AN20"/>
  <c r="AO20"/>
  <c r="AP20"/>
  <c r="AQ20"/>
  <c r="AR20"/>
  <c r="AS20"/>
  <c r="AT20"/>
  <c r="AU20"/>
  <c r="AV20"/>
  <c r="AL21"/>
  <c r="AM21"/>
  <c r="AN21"/>
  <c r="AO21"/>
  <c r="AP21"/>
  <c r="AQ21"/>
  <c r="AR21"/>
  <c r="AS21"/>
  <c r="AT21"/>
  <c r="AU21"/>
  <c r="AV21"/>
  <c r="BS34"/>
  <c r="AL22"/>
  <c r="AM22"/>
  <c r="AN22"/>
  <c r="AO22"/>
  <c r="AP22"/>
  <c r="AQ22"/>
  <c r="AR22"/>
  <c r="AS22"/>
  <c r="AT22"/>
  <c r="AU22"/>
  <c r="AV22"/>
  <c r="AL23"/>
  <c r="AM23"/>
  <c r="AN23"/>
  <c r="AO23"/>
  <c r="AP23"/>
  <c r="AQ23"/>
  <c r="AR23"/>
  <c r="AS23"/>
  <c r="AT23"/>
  <c r="AU23"/>
  <c r="AV23"/>
  <c r="BS36"/>
  <c r="AL24"/>
  <c r="AM24"/>
  <c r="AN24"/>
  <c r="AO24"/>
  <c r="AP24"/>
  <c r="AQ24"/>
  <c r="AR24"/>
  <c r="AS24"/>
  <c r="AT24"/>
  <c r="AU24"/>
  <c r="AV24"/>
  <c r="AL25"/>
  <c r="AM25"/>
  <c r="AN25"/>
  <c r="AO25"/>
  <c r="AP25"/>
  <c r="AQ25"/>
  <c r="AR25"/>
  <c r="AS25"/>
  <c r="AT25"/>
  <c r="AU25"/>
  <c r="AV25"/>
  <c r="BS38"/>
  <c r="AP16"/>
  <c r="AQ16"/>
  <c r="AR16"/>
  <c r="AS16"/>
  <c r="AT16"/>
  <c r="AU16"/>
  <c r="AV16"/>
  <c r="AP17"/>
  <c r="AQ17"/>
  <c r="AR17"/>
  <c r="AS17"/>
  <c r="AT17"/>
  <c r="AU17"/>
  <c r="AV17"/>
  <c r="BS30"/>
  <c r="AP18"/>
  <c r="AQ18"/>
  <c r="AR18"/>
  <c r="AS18"/>
  <c r="AT18"/>
  <c r="AU18"/>
  <c r="AV18"/>
  <c r="AQ10"/>
  <c r="AR10"/>
  <c r="AS10"/>
  <c r="AT10"/>
  <c r="AU10"/>
  <c r="AV10"/>
  <c r="AQ11"/>
  <c r="AR11"/>
  <c r="AS11"/>
  <c r="AT11"/>
  <c r="AU11"/>
  <c r="AV11"/>
  <c r="AQ12"/>
  <c r="AR12"/>
  <c r="AS12"/>
  <c r="AT12"/>
  <c r="AU12"/>
  <c r="AV12"/>
  <c r="AQ13"/>
  <c r="AR13"/>
  <c r="AS13"/>
  <c r="AT13"/>
  <c r="AU13"/>
  <c r="AV13"/>
  <c r="AQ14"/>
  <c r="AR14"/>
  <c r="AS14"/>
  <c r="AT14"/>
  <c r="AU14"/>
  <c r="AV14"/>
  <c r="AQ15"/>
  <c r="AR15"/>
  <c r="AS15"/>
  <c r="AT15"/>
  <c r="AU15"/>
  <c r="AV15"/>
  <c r="CF41" i="8"/>
  <c r="CG41"/>
  <c r="CF42"/>
  <c r="CG42"/>
  <c r="CF43"/>
  <c r="CG43"/>
  <c r="CF44"/>
  <c r="CG44"/>
  <c r="CF45"/>
  <c r="CG45"/>
  <c r="CF46"/>
  <c r="CG46"/>
  <c r="CF47"/>
  <c r="CG47"/>
  <c r="CF48"/>
  <c r="CG48"/>
  <c r="CF49"/>
  <c r="CG49"/>
  <c r="CF50"/>
  <c r="CG50"/>
  <c r="CF51"/>
  <c r="CG51"/>
  <c r="CF52"/>
  <c r="CG52"/>
  <c r="CF53"/>
  <c r="CG53"/>
  <c r="CF54"/>
  <c r="CG54"/>
  <c r="CF55"/>
  <c r="CG55"/>
  <c r="AD2"/>
  <c r="Z2"/>
  <c r="AO100"/>
  <c r="AO101"/>
  <c r="AP100"/>
  <c r="AP101"/>
  <c r="AO102"/>
  <c r="AP102"/>
  <c r="AO103"/>
  <c r="AP103"/>
  <c r="AO104"/>
  <c r="AP104"/>
  <c r="AO105"/>
  <c r="AP105"/>
  <c r="AO106"/>
  <c r="AP106"/>
  <c r="AO107"/>
  <c r="AP107"/>
  <c r="AO108"/>
  <c r="AP108"/>
  <c r="AO109"/>
  <c r="AP109"/>
  <c r="AO110"/>
  <c r="AP110"/>
  <c r="AO111"/>
  <c r="AP111"/>
  <c r="AO112"/>
  <c r="AP112"/>
  <c r="AO113"/>
  <c r="AP113"/>
  <c r="AO114"/>
  <c r="AP114"/>
  <c r="BR44" i="9"/>
  <c r="BS44"/>
  <c r="BR45"/>
  <c r="BS45"/>
  <c r="BR46"/>
  <c r="BS46"/>
  <c r="BR47"/>
  <c r="BS47"/>
  <c r="BR48"/>
  <c r="BS48"/>
  <c r="BR49"/>
  <c r="BS49"/>
  <c r="BR50"/>
  <c r="BS50"/>
  <c r="BR51"/>
  <c r="BS51"/>
  <c r="BR52"/>
  <c r="BS52"/>
  <c r="BR53"/>
  <c r="BS53"/>
  <c r="BR54"/>
  <c r="BS54"/>
  <c r="BR55"/>
  <c r="BS55"/>
  <c r="BR56"/>
  <c r="BS56"/>
  <c r="BR57"/>
  <c r="BS57"/>
  <c r="BR58"/>
  <c r="BS58"/>
  <c r="BR59"/>
  <c r="BS59"/>
  <c r="BR60"/>
  <c r="BS60"/>
  <c r="BR61"/>
  <c r="BS61"/>
  <c r="BR62"/>
  <c r="BS62"/>
  <c r="BR63"/>
  <c r="BS63"/>
  <c r="BR19"/>
  <c r="BR20"/>
  <c r="BR21"/>
  <c r="BR22"/>
  <c r="BR23"/>
  <c r="BS23"/>
  <c r="BR24"/>
  <c r="BS24"/>
  <c r="BR25"/>
  <c r="BS25"/>
  <c r="BR26"/>
  <c r="BS26"/>
  <c r="BR27"/>
  <c r="BS27"/>
  <c r="BR28"/>
  <c r="BS28"/>
  <c r="BR29"/>
  <c r="BS29"/>
  <c r="BR30"/>
  <c r="BR31"/>
  <c r="BS31"/>
  <c r="BR32"/>
  <c r="BR33"/>
  <c r="BS33"/>
  <c r="BR34"/>
  <c r="BR35"/>
  <c r="BS35"/>
  <c r="BR36"/>
  <c r="BR37"/>
  <c r="BS37"/>
  <c r="BR38"/>
  <c r="AT6"/>
  <c r="AU6"/>
  <c r="AT7"/>
  <c r="AU7"/>
  <c r="AT8"/>
  <c r="AU8"/>
  <c r="AT9"/>
  <c r="AU9"/>
  <c r="AV6"/>
  <c r="BS19"/>
  <c r="AV7"/>
  <c r="BS20"/>
  <c r="AV8"/>
  <c r="BS21"/>
  <c r="AV9"/>
  <c r="BS22"/>
  <c r="AO76" i="8"/>
  <c r="AP76"/>
  <c r="AO99"/>
  <c r="AP99"/>
  <c r="AA23"/>
  <c r="AK10" i="9"/>
  <c r="AL10"/>
  <c r="AM10"/>
  <c r="AN10"/>
  <c r="AO10"/>
  <c r="AP10"/>
  <c r="AK11"/>
  <c r="AL11"/>
  <c r="AM11"/>
  <c r="AN11"/>
  <c r="AO11"/>
  <c r="AP11"/>
  <c r="AK12"/>
  <c r="AL12"/>
  <c r="AM12"/>
  <c r="AN12"/>
  <c r="AO12"/>
  <c r="AP12"/>
  <c r="AK13"/>
  <c r="AL13"/>
  <c r="AM13"/>
  <c r="AN13"/>
  <c r="AO13"/>
  <c r="AP13"/>
  <c r="AK14"/>
  <c r="AL14"/>
  <c r="AM14"/>
  <c r="AN14"/>
  <c r="AO14"/>
  <c r="AP14"/>
  <c r="AK15"/>
  <c r="AL15"/>
  <c r="AM15"/>
  <c r="AN15"/>
  <c r="AO15"/>
  <c r="AP15"/>
  <c r="AK16"/>
  <c r="AL16"/>
  <c r="AM16"/>
  <c r="AN16"/>
  <c r="AO16"/>
  <c r="AK17"/>
  <c r="AL17"/>
  <c r="AM17"/>
  <c r="AN17"/>
  <c r="AO17"/>
  <c r="AK18"/>
  <c r="AL18"/>
  <c r="AM18"/>
  <c r="AN18"/>
  <c r="AO18"/>
  <c r="AK19"/>
  <c r="AK20"/>
  <c r="AK21"/>
  <c r="AK22"/>
  <c r="AK23"/>
  <c r="AK24"/>
  <c r="AF19"/>
  <c r="AG19"/>
  <c r="AF20"/>
  <c r="AG20"/>
  <c r="AF21"/>
  <c r="AG21"/>
  <c r="AF22"/>
  <c r="AG22"/>
  <c r="AF23"/>
  <c r="AG23"/>
  <c r="AJ13"/>
  <c r="AH15"/>
  <c r="AI15"/>
  <c r="AJ15"/>
  <c r="AH16"/>
  <c r="AI16"/>
  <c r="AJ16"/>
  <c r="AH17"/>
  <c r="AI17"/>
  <c r="AJ17"/>
  <c r="AH18"/>
  <c r="AI18"/>
  <c r="AJ18"/>
  <c r="AH19"/>
  <c r="AI19"/>
  <c r="AJ19"/>
  <c r="AH20"/>
  <c r="AI20"/>
  <c r="AJ20"/>
  <c r="AH21"/>
  <c r="AI21"/>
  <c r="AJ21"/>
  <c r="AH22"/>
  <c r="AI22"/>
  <c r="AJ22"/>
  <c r="AH23"/>
  <c r="AI23"/>
  <c r="AJ23"/>
  <c r="AH24"/>
  <c r="AI24"/>
  <c r="AJ24"/>
  <c r="AI10"/>
  <c r="AJ8"/>
  <c r="AJ9"/>
  <c r="AK9"/>
  <c r="AK8"/>
  <c r="AL8"/>
  <c r="AM8"/>
  <c r="AN8"/>
  <c r="AO8"/>
  <c r="AL9"/>
  <c r="AM9"/>
  <c r="AN9"/>
  <c r="AO9"/>
  <c r="AP9"/>
  <c r="AC10"/>
  <c r="AD10"/>
  <c r="AE10"/>
  <c r="AF10"/>
  <c r="AG10"/>
  <c r="AH10"/>
  <c r="AJ10"/>
  <c r="AC11"/>
  <c r="AD11"/>
  <c r="AE11"/>
  <c r="AF11"/>
  <c r="AG11"/>
  <c r="AH11"/>
  <c r="AI11"/>
  <c r="AJ11"/>
  <c r="AC12"/>
  <c r="AD12"/>
  <c r="AE12"/>
  <c r="AF12"/>
  <c r="AG12"/>
  <c r="AH12"/>
  <c r="AI12"/>
  <c r="AJ12"/>
  <c r="AC13"/>
  <c r="AD13"/>
  <c r="AE13"/>
  <c r="AF13"/>
  <c r="AG13"/>
  <c r="AH13"/>
  <c r="AI13"/>
  <c r="AC14"/>
  <c r="AD14"/>
  <c r="AE14"/>
  <c r="AF14"/>
  <c r="AG14"/>
  <c r="AH14"/>
  <c r="AI14"/>
  <c r="AJ14"/>
  <c r="AC15"/>
  <c r="AD15"/>
  <c r="AE15"/>
  <c r="AF15"/>
  <c r="AG15"/>
  <c r="AC16"/>
  <c r="AD16"/>
  <c r="AE16"/>
  <c r="AF16"/>
  <c r="AG16"/>
  <c r="AC17"/>
  <c r="AD17"/>
  <c r="AE17"/>
  <c r="AF17"/>
  <c r="AG17"/>
  <c r="AC18"/>
  <c r="AD18"/>
  <c r="AE18"/>
  <c r="AF18"/>
  <c r="AG18"/>
  <c r="AC19"/>
  <c r="AD19"/>
  <c r="AE19"/>
  <c r="AC20"/>
  <c r="AD20"/>
  <c r="AE20"/>
  <c r="AC21"/>
  <c r="AD21"/>
  <c r="AE21"/>
  <c r="AC22"/>
  <c r="AD22"/>
  <c r="AE22"/>
  <c r="AC23"/>
  <c r="AD23"/>
  <c r="AE23"/>
  <c r="AC24"/>
  <c r="AD24"/>
  <c r="AE24"/>
  <c r="AF24"/>
  <c r="AG24"/>
  <c r="AC25"/>
  <c r="AD25"/>
  <c r="AE25"/>
  <c r="AF25"/>
  <c r="AG25"/>
  <c r="AH25"/>
  <c r="AI25"/>
  <c r="AJ25"/>
  <c r="AK25"/>
  <c r="AR8"/>
  <c r="AS8"/>
  <c r="AR9"/>
  <c r="AS9"/>
  <c r="AQ9"/>
  <c r="AP8"/>
  <c r="AQ8"/>
  <c r="AB12"/>
  <c r="AB13"/>
  <c r="AB14"/>
  <c r="AB15"/>
  <c r="AB16"/>
  <c r="AB17"/>
  <c r="AB18"/>
  <c r="AB19"/>
  <c r="AB20"/>
  <c r="AB21"/>
  <c r="AB22"/>
  <c r="AB23"/>
  <c r="AB24"/>
  <c r="AB25"/>
  <c r="AA21" i="8"/>
  <c r="AN7"/>
  <c r="CE15" s="1"/>
  <c r="AN100"/>
  <c r="AM100"/>
  <c r="AM101"/>
  <c r="AN101"/>
  <c r="AN114"/>
  <c r="AM113"/>
  <c r="AN113"/>
  <c r="AM114"/>
  <c r="W114"/>
  <c r="W113"/>
  <c r="X113"/>
  <c r="X114"/>
  <c r="W100"/>
  <c r="X100"/>
  <c r="W101"/>
  <c r="X101"/>
  <c r="W6"/>
  <c r="W78"/>
  <c r="W102"/>
  <c r="X102"/>
  <c r="W7"/>
  <c r="W79"/>
  <c r="W103"/>
  <c r="X103"/>
  <c r="W8"/>
  <c r="W80"/>
  <c r="W104"/>
  <c r="X104"/>
  <c r="W9"/>
  <c r="W81"/>
  <c r="W105"/>
  <c r="X105"/>
  <c r="W10"/>
  <c r="W82"/>
  <c r="W106"/>
  <c r="X106"/>
  <c r="W11"/>
  <c r="W83"/>
  <c r="W107"/>
  <c r="X107"/>
  <c r="W12"/>
  <c r="W84"/>
  <c r="W108"/>
  <c r="X108"/>
  <c r="W13"/>
  <c r="W85"/>
  <c r="W109"/>
  <c r="X109"/>
  <c r="W14"/>
  <c r="W86"/>
  <c r="W110"/>
  <c r="X110"/>
  <c r="W15"/>
  <c r="W87"/>
  <c r="W111"/>
  <c r="X111"/>
  <c r="W16"/>
  <c r="W112"/>
  <c r="X112"/>
  <c r="W18"/>
  <c r="Y113"/>
  <c r="Y114"/>
  <c r="X20"/>
  <c r="Z113"/>
  <c r="Z114"/>
  <c r="AA113"/>
  <c r="AA114"/>
  <c r="Z20"/>
  <c r="AB113"/>
  <c r="AB114"/>
  <c r="AC113"/>
  <c r="AC114"/>
  <c r="AB20"/>
  <c r="AD113"/>
  <c r="AD114"/>
  <c r="AE113"/>
  <c r="AE114"/>
  <c r="AD20"/>
  <c r="AF113"/>
  <c r="AF114"/>
  <c r="AG113"/>
  <c r="AG114"/>
  <c r="AF20"/>
  <c r="AH113"/>
  <c r="AH114"/>
  <c r="AI113"/>
  <c r="AI114"/>
  <c r="AH20"/>
  <c r="AJ113"/>
  <c r="AJ114"/>
  <c r="AK113"/>
  <c r="AK114"/>
  <c r="AJ20"/>
  <c r="AL113"/>
  <c r="AL114"/>
  <c r="AL20"/>
  <c r="AN102"/>
  <c r="AM102"/>
  <c r="AM103"/>
  <c r="AN103"/>
  <c r="AM104"/>
  <c r="AN104"/>
  <c r="AM105"/>
  <c r="AN105"/>
  <c r="AM106"/>
  <c r="AN106"/>
  <c r="AM107"/>
  <c r="AN107"/>
  <c r="AM108"/>
  <c r="AN108"/>
  <c r="AM109"/>
  <c r="AN109"/>
  <c r="AM110"/>
  <c r="AN110"/>
  <c r="AM111"/>
  <c r="AN111"/>
  <c r="AM112"/>
  <c r="AN112"/>
  <c r="Y100"/>
  <c r="Z100"/>
  <c r="Y101"/>
  <c r="Z101"/>
  <c r="Y6"/>
  <c r="AA100"/>
  <c r="AA101"/>
  <c r="AB100"/>
  <c r="AB101"/>
  <c r="AA6"/>
  <c r="AC100"/>
  <c r="AC101"/>
  <c r="AD100"/>
  <c r="AD101"/>
  <c r="AC6"/>
  <c r="AE100"/>
  <c r="AE101"/>
  <c r="AF100"/>
  <c r="AF101"/>
  <c r="AE6"/>
  <c r="AG100"/>
  <c r="AG101"/>
  <c r="AH100"/>
  <c r="AH101"/>
  <c r="AG6"/>
  <c r="AI100"/>
  <c r="AI101"/>
  <c r="AJ100"/>
  <c r="AJ101"/>
  <c r="AI6"/>
  <c r="AK100"/>
  <c r="AK101"/>
  <c r="AL100"/>
  <c r="AL101"/>
  <c r="AK6"/>
  <c r="AM6"/>
  <c r="X79"/>
  <c r="X8"/>
  <c r="BO16"/>
  <c r="Y102"/>
  <c r="Y103"/>
  <c r="Y79"/>
  <c r="Y8"/>
  <c r="Z102"/>
  <c r="Z103"/>
  <c r="Z79"/>
  <c r="Z8"/>
  <c r="BQ16"/>
  <c r="AA102"/>
  <c r="AA103"/>
  <c r="AA79"/>
  <c r="AA8"/>
  <c r="AB102"/>
  <c r="AB103"/>
  <c r="AB79"/>
  <c r="AB8"/>
  <c r="BS16"/>
  <c r="AC102"/>
  <c r="AC103"/>
  <c r="AC8"/>
  <c r="AD102"/>
  <c r="AD103"/>
  <c r="AD8"/>
  <c r="BU16"/>
  <c r="AE102"/>
  <c r="AE103"/>
  <c r="AF102"/>
  <c r="AF7"/>
  <c r="BW15" s="1"/>
  <c r="AF103"/>
  <c r="AE8"/>
  <c r="AG102"/>
  <c r="AG103"/>
  <c r="AH102"/>
  <c r="AH7"/>
  <c r="BY15" s="1"/>
  <c r="AH103"/>
  <c r="AG8"/>
  <c r="AI102"/>
  <c r="AI103"/>
  <c r="AJ102"/>
  <c r="AJ7"/>
  <c r="CA15" s="1"/>
  <c r="AJ103"/>
  <c r="AI8"/>
  <c r="AK102"/>
  <c r="AK103"/>
  <c r="AL102"/>
  <c r="AL7"/>
  <c r="CC15" s="1"/>
  <c r="AL103"/>
  <c r="AK8"/>
  <c r="AM8"/>
  <c r="X80"/>
  <c r="Y104"/>
  <c r="Y80"/>
  <c r="Z104"/>
  <c r="Y9"/>
  <c r="Z80"/>
  <c r="AA104"/>
  <c r="AA80"/>
  <c r="AB104"/>
  <c r="AA9"/>
  <c r="AB80"/>
  <c r="AC104"/>
  <c r="AD104"/>
  <c r="AC9"/>
  <c r="AE104"/>
  <c r="AF104"/>
  <c r="AG104"/>
  <c r="AH104"/>
  <c r="AI104"/>
  <c r="AJ104"/>
  <c r="AK104"/>
  <c r="AL104"/>
  <c r="AL9"/>
  <c r="X81"/>
  <c r="Y105"/>
  <c r="X10"/>
  <c r="Y81"/>
  <c r="Z105"/>
  <c r="Z81"/>
  <c r="AA105"/>
  <c r="Z10"/>
  <c r="AA81"/>
  <c r="AB105"/>
  <c r="AB81"/>
  <c r="AC105"/>
  <c r="AB10"/>
  <c r="AD105"/>
  <c r="AE105"/>
  <c r="AD10"/>
  <c r="AF105"/>
  <c r="AE10"/>
  <c r="AG105"/>
  <c r="AF10"/>
  <c r="AH105"/>
  <c r="AG10"/>
  <c r="AI105"/>
  <c r="AH10"/>
  <c r="AJ105"/>
  <c r="AI10"/>
  <c r="AK105"/>
  <c r="AJ10"/>
  <c r="AL105"/>
  <c r="AK10"/>
  <c r="AM10"/>
  <c r="X82"/>
  <c r="Y106"/>
  <c r="Y82"/>
  <c r="Z106"/>
  <c r="Y11"/>
  <c r="Z82"/>
  <c r="AA106"/>
  <c r="AA82"/>
  <c r="AB106"/>
  <c r="AA11"/>
  <c r="AB82"/>
  <c r="AC106"/>
  <c r="AD106"/>
  <c r="AC11"/>
  <c r="AE106"/>
  <c r="AF106"/>
  <c r="AG106"/>
  <c r="AH106"/>
  <c r="AI106"/>
  <c r="AJ106"/>
  <c r="AK106"/>
  <c r="AL106"/>
  <c r="AL12"/>
  <c r="CC20" s="1"/>
  <c r="AL11"/>
  <c r="X83"/>
  <c r="Y107"/>
  <c r="X12"/>
  <c r="Y83"/>
  <c r="Z107"/>
  <c r="Z13"/>
  <c r="BQ21"/>
  <c r="Z83"/>
  <c r="AA107"/>
  <c r="Z12"/>
  <c r="BQ20"/>
  <c r="AA83"/>
  <c r="AB107"/>
  <c r="AB13"/>
  <c r="BS21"/>
  <c r="AB83"/>
  <c r="AC107"/>
  <c r="AB12"/>
  <c r="BS20"/>
  <c r="AD107"/>
  <c r="AD13"/>
  <c r="BU21" s="1"/>
  <c r="AE107"/>
  <c r="AD12"/>
  <c r="BU20" s="1"/>
  <c r="AF107"/>
  <c r="AE12"/>
  <c r="AG107"/>
  <c r="AF12"/>
  <c r="BW20"/>
  <c r="AH107"/>
  <c r="AG12"/>
  <c r="AI107"/>
  <c r="AH12"/>
  <c r="BY20" s="1"/>
  <c r="AJ107"/>
  <c r="AI12"/>
  <c r="AK107"/>
  <c r="AJ12"/>
  <c r="CA20" s="1"/>
  <c r="AL107"/>
  <c r="AK12"/>
  <c r="AM12"/>
  <c r="X84"/>
  <c r="Y108"/>
  <c r="Y14"/>
  <c r="X13"/>
  <c r="Y84"/>
  <c r="Z108"/>
  <c r="Y13"/>
  <c r="Z84"/>
  <c r="AA108"/>
  <c r="AA14"/>
  <c r="AA84"/>
  <c r="AB108"/>
  <c r="AA13"/>
  <c r="AB84"/>
  <c r="AC108"/>
  <c r="AD108"/>
  <c r="AC13"/>
  <c r="AE108"/>
  <c r="AF108"/>
  <c r="AG108"/>
  <c r="AH108"/>
  <c r="AI108"/>
  <c r="AJ108"/>
  <c r="AK108"/>
  <c r="AL108"/>
  <c r="AL14"/>
  <c r="CC22" s="1"/>
  <c r="X85"/>
  <c r="Y109"/>
  <c r="X14"/>
  <c r="BO22"/>
  <c r="Y85"/>
  <c r="Z109"/>
  <c r="Z15"/>
  <c r="BQ23"/>
  <c r="Z85"/>
  <c r="AA109"/>
  <c r="Z14"/>
  <c r="BQ22"/>
  <c r="AA85"/>
  <c r="AB109"/>
  <c r="AB85"/>
  <c r="AC109"/>
  <c r="AB14"/>
  <c r="BS22"/>
  <c r="AD109"/>
  <c r="AC14"/>
  <c r="AE109"/>
  <c r="AD14"/>
  <c r="BU22" s="1"/>
  <c r="AF109"/>
  <c r="AE14"/>
  <c r="AG109"/>
  <c r="AF14"/>
  <c r="BW22" s="1"/>
  <c r="AH109"/>
  <c r="AG14"/>
  <c r="AI109"/>
  <c r="AH14"/>
  <c r="BY22" s="1"/>
  <c r="AJ109"/>
  <c r="AI14"/>
  <c r="AK109"/>
  <c r="AJ14"/>
  <c r="CA22" s="1"/>
  <c r="AL109"/>
  <c r="AK14"/>
  <c r="X86"/>
  <c r="Y110"/>
  <c r="X15"/>
  <c r="Y86"/>
  <c r="Z110"/>
  <c r="Y15"/>
  <c r="Z86"/>
  <c r="AA110"/>
  <c r="AA86"/>
  <c r="AB110"/>
  <c r="AA15"/>
  <c r="AC110"/>
  <c r="AB15"/>
  <c r="AD110"/>
  <c r="AC15"/>
  <c r="AE110"/>
  <c r="AD15"/>
  <c r="AF110"/>
  <c r="AE15"/>
  <c r="AG110"/>
  <c r="AF15"/>
  <c r="AH110"/>
  <c r="AG15"/>
  <c r="AI110"/>
  <c r="AH15"/>
  <c r="AJ110"/>
  <c r="AI15"/>
  <c r="BZ23" s="1"/>
  <c r="AK110"/>
  <c r="AJ15"/>
  <c r="AL110"/>
  <c r="AK15"/>
  <c r="CB23" s="1"/>
  <c r="X87"/>
  <c r="Y111"/>
  <c r="X16"/>
  <c r="Y87"/>
  <c r="Z111"/>
  <c r="Y16"/>
  <c r="Z87"/>
  <c r="AA111"/>
  <c r="Z16"/>
  <c r="AB111"/>
  <c r="AC111"/>
  <c r="AD111"/>
  <c r="AE111"/>
  <c r="AF111"/>
  <c r="AG111"/>
  <c r="AH111"/>
  <c r="AI111"/>
  <c r="AJ111"/>
  <c r="AK111"/>
  <c r="AL17"/>
  <c r="CC25" s="1"/>
  <c r="AL111"/>
  <c r="AL16"/>
  <c r="CC24" s="1"/>
  <c r="Y112"/>
  <c r="Z112"/>
  <c r="Z18"/>
  <c r="BQ26"/>
  <c r="AA112"/>
  <c r="AB112"/>
  <c r="AC112"/>
  <c r="AD112"/>
  <c r="AD18"/>
  <c r="BU26" s="1"/>
  <c r="AE112"/>
  <c r="AF112"/>
  <c r="AG112"/>
  <c r="AH112"/>
  <c r="AH18"/>
  <c r="BY26" s="1"/>
  <c r="AI112"/>
  <c r="AJ112"/>
  <c r="AK112"/>
  <c r="AL112"/>
  <c r="AM19"/>
  <c r="X18"/>
  <c r="BO26"/>
  <c r="AB18"/>
  <c r="BS26"/>
  <c r="AF18"/>
  <c r="BW26"/>
  <c r="AJ18"/>
  <c r="CA26"/>
  <c r="X19"/>
  <c r="BO27"/>
  <c r="AB19"/>
  <c r="BS27"/>
  <c r="AF19"/>
  <c r="BW27"/>
  <c r="AJ19"/>
  <c r="CA27"/>
  <c r="Y78"/>
  <c r="Y7"/>
  <c r="BP15"/>
  <c r="Z78"/>
  <c r="Z7"/>
  <c r="BQ15"/>
  <c r="AA78"/>
  <c r="AA7"/>
  <c r="AB78"/>
  <c r="AB7"/>
  <c r="BS15"/>
  <c r="AC7"/>
  <c r="BT15" s="1"/>
  <c r="AD7"/>
  <c r="BU15" s="1"/>
  <c r="AE7"/>
  <c r="BV15" s="1"/>
  <c r="AG7"/>
  <c r="AI7"/>
  <c r="BZ15" s="1"/>
  <c r="AK7"/>
  <c r="AM7"/>
  <c r="CD15" s="1"/>
  <c r="X78"/>
  <c r="X7"/>
  <c r="BO15"/>
  <c r="BN14"/>
  <c r="BP14"/>
  <c r="BR14"/>
  <c r="AM23"/>
  <c r="W75"/>
  <c r="W76"/>
  <c r="X76"/>
  <c r="Y76"/>
  <c r="Z76"/>
  <c r="AA76"/>
  <c r="AB76"/>
  <c r="AC76"/>
  <c r="AD76"/>
  <c r="AE76"/>
  <c r="AF76"/>
  <c r="AG76"/>
  <c r="AH76"/>
  <c r="AI76"/>
  <c r="AJ76"/>
  <c r="AK76"/>
  <c r="AL76"/>
  <c r="AM76"/>
  <c r="AN76"/>
  <c r="U77"/>
  <c r="V77"/>
  <c r="V78"/>
  <c r="V79"/>
  <c r="V80"/>
  <c r="V81"/>
  <c r="V82"/>
  <c r="V83"/>
  <c r="V84"/>
  <c r="V85"/>
  <c r="V86"/>
  <c r="V87"/>
  <c r="V88"/>
  <c r="V89"/>
  <c r="V90"/>
  <c r="V91"/>
  <c r="AM22"/>
  <c r="W99"/>
  <c r="X99"/>
  <c r="Y99"/>
  <c r="Z99"/>
  <c r="AA99"/>
  <c r="AB99"/>
  <c r="AC99"/>
  <c r="AD99"/>
  <c r="AE99"/>
  <c r="AF99"/>
  <c r="AG99"/>
  <c r="AH99"/>
  <c r="AI99"/>
  <c r="AJ99"/>
  <c r="AK99"/>
  <c r="AL99"/>
  <c r="AM99"/>
  <c r="AN99"/>
  <c r="V100"/>
  <c r="V101"/>
  <c r="V102"/>
  <c r="V103"/>
  <c r="V104"/>
  <c r="V105"/>
  <c r="V106"/>
  <c r="V107"/>
  <c r="V108"/>
  <c r="V109"/>
  <c r="V110"/>
  <c r="V111"/>
  <c r="V112"/>
  <c r="V113"/>
  <c r="V114"/>
  <c r="AY45" i="9"/>
  <c r="AZ45"/>
  <c r="BA45"/>
  <c r="BB45"/>
  <c r="BC45"/>
  <c r="BD45"/>
  <c r="BE45"/>
  <c r="BF45"/>
  <c r="BG45"/>
  <c r="BH45"/>
  <c r="BI45"/>
  <c r="BJ45"/>
  <c r="BK45"/>
  <c r="BL45"/>
  <c r="BM45"/>
  <c r="BN45"/>
  <c r="BO45"/>
  <c r="BP45"/>
  <c r="BQ45"/>
  <c r="AY46"/>
  <c r="AZ46"/>
  <c r="BA46"/>
  <c r="BB46"/>
  <c r="BC46"/>
  <c r="BD46"/>
  <c r="BE46"/>
  <c r="BF46"/>
  <c r="BG46"/>
  <c r="BH46"/>
  <c r="BI46"/>
  <c r="BJ46"/>
  <c r="BK46"/>
  <c r="BL46"/>
  <c r="BM46"/>
  <c r="BN46"/>
  <c r="BO46"/>
  <c r="BP46"/>
  <c r="BQ46"/>
  <c r="AY47"/>
  <c r="AZ47"/>
  <c r="BA47"/>
  <c r="BB47"/>
  <c r="BC47"/>
  <c r="BD47"/>
  <c r="BE47"/>
  <c r="BF47"/>
  <c r="BG47"/>
  <c r="BH47"/>
  <c r="BI47"/>
  <c r="BJ47"/>
  <c r="BK47"/>
  <c r="BL47"/>
  <c r="BM47"/>
  <c r="BN47"/>
  <c r="BO47"/>
  <c r="BP47"/>
  <c r="BQ47"/>
  <c r="AY48"/>
  <c r="AZ48"/>
  <c r="BA48"/>
  <c r="BB48"/>
  <c r="BC48"/>
  <c r="BD48"/>
  <c r="BE48"/>
  <c r="BF48"/>
  <c r="BG48"/>
  <c r="BH48"/>
  <c r="BI48"/>
  <c r="BJ48"/>
  <c r="BK48"/>
  <c r="BL48"/>
  <c r="BM48"/>
  <c r="BN48"/>
  <c r="BO48"/>
  <c r="BP48"/>
  <c r="BQ48"/>
  <c r="AY49"/>
  <c r="AZ49"/>
  <c r="BA49"/>
  <c r="BB49"/>
  <c r="BC49"/>
  <c r="BD49"/>
  <c r="BE49"/>
  <c r="BF49"/>
  <c r="BG49"/>
  <c r="BH49"/>
  <c r="BI49"/>
  <c r="BJ49"/>
  <c r="BK49"/>
  <c r="BL49"/>
  <c r="BM49"/>
  <c r="BN49"/>
  <c r="BO49"/>
  <c r="BP49"/>
  <c r="BQ49"/>
  <c r="AY50"/>
  <c r="AZ50"/>
  <c r="BA50"/>
  <c r="BB50"/>
  <c r="BC50"/>
  <c r="BD50"/>
  <c r="BE50"/>
  <c r="BF50"/>
  <c r="BG50"/>
  <c r="BH50"/>
  <c r="BI50"/>
  <c r="BJ50"/>
  <c r="BK50"/>
  <c r="BL50"/>
  <c r="BM50"/>
  <c r="BN50"/>
  <c r="BO50"/>
  <c r="BP50"/>
  <c r="BQ50"/>
  <c r="AY51"/>
  <c r="AZ51"/>
  <c r="BA51"/>
  <c r="BB51"/>
  <c r="BC51"/>
  <c r="BD51"/>
  <c r="BE51"/>
  <c r="BF51"/>
  <c r="BG51"/>
  <c r="BH51"/>
  <c r="BI51"/>
  <c r="BJ51"/>
  <c r="BK51"/>
  <c r="BL51"/>
  <c r="BM51"/>
  <c r="BN51"/>
  <c r="BO51"/>
  <c r="BP51"/>
  <c r="BQ51"/>
  <c r="AY52"/>
  <c r="AZ52"/>
  <c r="BA52"/>
  <c r="BB52"/>
  <c r="BC52"/>
  <c r="BD52"/>
  <c r="BE52"/>
  <c r="BF52"/>
  <c r="BG52"/>
  <c r="BH52"/>
  <c r="BI52"/>
  <c r="BJ52"/>
  <c r="BK52"/>
  <c r="BL52"/>
  <c r="BM52"/>
  <c r="BN52"/>
  <c r="BO52"/>
  <c r="BP52"/>
  <c r="BQ52"/>
  <c r="AY53"/>
  <c r="AZ53"/>
  <c r="BA53"/>
  <c r="BB53"/>
  <c r="BC53"/>
  <c r="BD53"/>
  <c r="BE53"/>
  <c r="BF53"/>
  <c r="BG53"/>
  <c r="BH53"/>
  <c r="BI53"/>
  <c r="BJ53"/>
  <c r="BK53"/>
  <c r="BL53"/>
  <c r="BM53"/>
  <c r="BN53"/>
  <c r="BO53"/>
  <c r="BP53"/>
  <c r="BQ53"/>
  <c r="AY54"/>
  <c r="AZ54"/>
  <c r="BA54"/>
  <c r="BB54"/>
  <c r="BC54"/>
  <c r="BD54"/>
  <c r="BE54"/>
  <c r="BF54"/>
  <c r="BG54"/>
  <c r="BH54"/>
  <c r="BI54"/>
  <c r="BJ54"/>
  <c r="BK54"/>
  <c r="BL54"/>
  <c r="BM54"/>
  <c r="BN54"/>
  <c r="BO54"/>
  <c r="BP54"/>
  <c r="BQ54"/>
  <c r="AY55"/>
  <c r="AZ55"/>
  <c r="BA55"/>
  <c r="BB55"/>
  <c r="BC55"/>
  <c r="BD55"/>
  <c r="BE55"/>
  <c r="BF55"/>
  <c r="BG55"/>
  <c r="BH55"/>
  <c r="BI55"/>
  <c r="BJ55"/>
  <c r="BK55"/>
  <c r="BL55"/>
  <c r="BM55"/>
  <c r="BN55"/>
  <c r="BO55"/>
  <c r="BP55"/>
  <c r="BQ55"/>
  <c r="AY56"/>
  <c r="AZ56"/>
  <c r="BA56"/>
  <c r="BB56"/>
  <c r="BC56"/>
  <c r="BD56"/>
  <c r="BE56"/>
  <c r="BF56"/>
  <c r="BG56"/>
  <c r="BH56"/>
  <c r="BI56"/>
  <c r="BJ56"/>
  <c r="BK56"/>
  <c r="BL56"/>
  <c r="BM56"/>
  <c r="BN56"/>
  <c r="BO56"/>
  <c r="BP56"/>
  <c r="BQ56"/>
  <c r="AY57"/>
  <c r="AZ57"/>
  <c r="BA57"/>
  <c r="BB57"/>
  <c r="BC57"/>
  <c r="BD57"/>
  <c r="BE57"/>
  <c r="BF57"/>
  <c r="BG57"/>
  <c r="BH57"/>
  <c r="BI57"/>
  <c r="BJ57"/>
  <c r="BK57"/>
  <c r="BL57"/>
  <c r="BM57"/>
  <c r="BN57"/>
  <c r="BO57"/>
  <c r="BP57"/>
  <c r="BQ57"/>
  <c r="AY58"/>
  <c r="AZ58"/>
  <c r="BA58"/>
  <c r="BB58"/>
  <c r="BC58"/>
  <c r="BD58"/>
  <c r="BE58"/>
  <c r="BF58"/>
  <c r="BG58"/>
  <c r="BH58"/>
  <c r="BI58"/>
  <c r="BJ58"/>
  <c r="BK58"/>
  <c r="BL58"/>
  <c r="BM58"/>
  <c r="BN58"/>
  <c r="BO58"/>
  <c r="BP58"/>
  <c r="BQ58"/>
  <c r="AY59"/>
  <c r="AZ59"/>
  <c r="BA59"/>
  <c r="BB59"/>
  <c r="BC59"/>
  <c r="BD59"/>
  <c r="BE59"/>
  <c r="BF59"/>
  <c r="BG59"/>
  <c r="BH59"/>
  <c r="BI59"/>
  <c r="BJ59"/>
  <c r="BK59"/>
  <c r="BL59"/>
  <c r="BM59"/>
  <c r="BN59"/>
  <c r="BO59"/>
  <c r="BP59"/>
  <c r="BQ59"/>
  <c r="AY60"/>
  <c r="AZ60"/>
  <c r="BA60"/>
  <c r="BB60"/>
  <c r="BC60"/>
  <c r="BD60"/>
  <c r="BE60"/>
  <c r="BF60"/>
  <c r="BG60"/>
  <c r="BH60"/>
  <c r="BI60"/>
  <c r="BJ60"/>
  <c r="BK60"/>
  <c r="BL60"/>
  <c r="BM60"/>
  <c r="BN60"/>
  <c r="BO60"/>
  <c r="BP60"/>
  <c r="BQ60"/>
  <c r="AY61"/>
  <c r="AZ61"/>
  <c r="BA61"/>
  <c r="BB61"/>
  <c r="BC61"/>
  <c r="BD61"/>
  <c r="BE61"/>
  <c r="BF61"/>
  <c r="BG61"/>
  <c r="BH61"/>
  <c r="BI61"/>
  <c r="BJ61"/>
  <c r="BK61"/>
  <c r="BL61"/>
  <c r="BM61"/>
  <c r="BN61"/>
  <c r="BO61"/>
  <c r="BP61"/>
  <c r="BQ61"/>
  <c r="AY62"/>
  <c r="AZ62"/>
  <c r="BA62"/>
  <c r="BB62"/>
  <c r="BC62"/>
  <c r="BD62"/>
  <c r="BE62"/>
  <c r="BF62"/>
  <c r="BG62"/>
  <c r="BH62"/>
  <c r="BI62"/>
  <c r="BJ62"/>
  <c r="BK62"/>
  <c r="BL62"/>
  <c r="BM62"/>
  <c r="BN62"/>
  <c r="BO62"/>
  <c r="BP62"/>
  <c r="BQ62"/>
  <c r="AY63"/>
  <c r="AZ63"/>
  <c r="BA63"/>
  <c r="BB63"/>
  <c r="BC63"/>
  <c r="BD63"/>
  <c r="BE63"/>
  <c r="BF63"/>
  <c r="BG63"/>
  <c r="BH63"/>
  <c r="BI63"/>
  <c r="BJ63"/>
  <c r="BK63"/>
  <c r="BL63"/>
  <c r="BM63"/>
  <c r="BN63"/>
  <c r="BO63"/>
  <c r="BP63"/>
  <c r="BQ63"/>
  <c r="AZ44"/>
  <c r="BA44"/>
  <c r="BB44"/>
  <c r="BC44"/>
  <c r="BD44"/>
  <c r="BE44"/>
  <c r="BF44"/>
  <c r="BG44"/>
  <c r="BH44"/>
  <c r="BI44"/>
  <c r="BJ44"/>
  <c r="BK44"/>
  <c r="BL44"/>
  <c r="BM44"/>
  <c r="BN44"/>
  <c r="BO44"/>
  <c r="BP44"/>
  <c r="BQ44"/>
  <c r="AY44"/>
  <c r="BN15" i="8"/>
  <c r="BR15"/>
  <c r="BX15"/>
  <c r="CB15"/>
  <c r="BN16"/>
  <c r="BP16"/>
  <c r="BR16"/>
  <c r="BT16"/>
  <c r="BV16"/>
  <c r="BX16"/>
  <c r="BZ16"/>
  <c r="CB16"/>
  <c r="CD16"/>
  <c r="BN17"/>
  <c r="BP17"/>
  <c r="BR17"/>
  <c r="BT17"/>
  <c r="CC17"/>
  <c r="BN18"/>
  <c r="BO18"/>
  <c r="BQ18"/>
  <c r="BS18"/>
  <c r="BU18"/>
  <c r="BV18"/>
  <c r="BW18"/>
  <c r="BX18"/>
  <c r="BY18"/>
  <c r="BZ18"/>
  <c r="CA18"/>
  <c r="CB18"/>
  <c r="CD18"/>
  <c r="BN19"/>
  <c r="BP19"/>
  <c r="BR19"/>
  <c r="BT19"/>
  <c r="CC19"/>
  <c r="BN20"/>
  <c r="BO20"/>
  <c r="BV20"/>
  <c r="BX20"/>
  <c r="BZ20"/>
  <c r="CB20"/>
  <c r="CD20"/>
  <c r="BN21"/>
  <c r="BO21"/>
  <c r="BP21"/>
  <c r="BR21"/>
  <c r="BT21"/>
  <c r="BN22"/>
  <c r="BP22"/>
  <c r="BR22"/>
  <c r="BT22"/>
  <c r="BV22"/>
  <c r="BX22"/>
  <c r="BZ22"/>
  <c r="CB22"/>
  <c r="BN23"/>
  <c r="BO23"/>
  <c r="BP23"/>
  <c r="BR23"/>
  <c r="BS23"/>
  <c r="BT23"/>
  <c r="BU23"/>
  <c r="BV23"/>
  <c r="BW23"/>
  <c r="BX23"/>
  <c r="BY23"/>
  <c r="CA23"/>
  <c r="BN24"/>
  <c r="BO24"/>
  <c r="BP24"/>
  <c r="BQ24"/>
  <c r="BN26"/>
  <c r="CD27"/>
  <c r="BO28"/>
  <c r="BQ28"/>
  <c r="BS28"/>
  <c r="BU28"/>
  <c r="BW28"/>
  <c r="BY28"/>
  <c r="CA28"/>
  <c r="CC28"/>
  <c r="BT14"/>
  <c r="BV14"/>
  <c r="BX14"/>
  <c r="BZ14"/>
  <c r="CB14"/>
  <c r="CD14"/>
  <c r="BN42"/>
  <c r="BO42"/>
  <c r="BP42"/>
  <c r="BQ42"/>
  <c r="BR42"/>
  <c r="BS42"/>
  <c r="BT42"/>
  <c r="BU42"/>
  <c r="BV42"/>
  <c r="BW42"/>
  <c r="BX42"/>
  <c r="BY42"/>
  <c r="BZ42"/>
  <c r="CA42"/>
  <c r="CB42"/>
  <c r="CC42"/>
  <c r="CD42"/>
  <c r="CE42"/>
  <c r="BN43"/>
  <c r="BO43"/>
  <c r="BP43"/>
  <c r="BQ43"/>
  <c r="BR43"/>
  <c r="BS43"/>
  <c r="BT43"/>
  <c r="BU43"/>
  <c r="BV43"/>
  <c r="BW43"/>
  <c r="BX43"/>
  <c r="BY43"/>
  <c r="BZ43"/>
  <c r="CA43"/>
  <c r="CB43"/>
  <c r="CC43"/>
  <c r="CD43"/>
  <c r="CE43"/>
  <c r="BN44"/>
  <c r="BO44"/>
  <c r="BP44"/>
  <c r="BQ44"/>
  <c r="BR44"/>
  <c r="BS44"/>
  <c r="BT44"/>
  <c r="BU44"/>
  <c r="BV44"/>
  <c r="BW44"/>
  <c r="BX44"/>
  <c r="BY44"/>
  <c r="BZ44"/>
  <c r="CA44"/>
  <c r="CB44"/>
  <c r="CC44"/>
  <c r="CD44"/>
  <c r="CE44"/>
  <c r="BN45"/>
  <c r="BO45"/>
  <c r="BP45"/>
  <c r="BQ45"/>
  <c r="BR45"/>
  <c r="BS45"/>
  <c r="BT45"/>
  <c r="BU45"/>
  <c r="BV45"/>
  <c r="BW45"/>
  <c r="BX45"/>
  <c r="BY45"/>
  <c r="BZ45"/>
  <c r="CA45"/>
  <c r="CB45"/>
  <c r="CC45"/>
  <c r="CD45"/>
  <c r="CE45"/>
  <c r="BN46"/>
  <c r="BO46"/>
  <c r="BP46"/>
  <c r="BQ46"/>
  <c r="BR46"/>
  <c r="BS46"/>
  <c r="BT46"/>
  <c r="BU46"/>
  <c r="BV46"/>
  <c r="BW46"/>
  <c r="BX46"/>
  <c r="BY46"/>
  <c r="BZ46"/>
  <c r="CA46"/>
  <c r="CB46"/>
  <c r="CC46"/>
  <c r="CD46"/>
  <c r="CE46"/>
  <c r="BN47"/>
  <c r="BO47"/>
  <c r="BP47"/>
  <c r="BQ47"/>
  <c r="BR47"/>
  <c r="BS47"/>
  <c r="BT47"/>
  <c r="BU47"/>
  <c r="BV47"/>
  <c r="BW47"/>
  <c r="BX47"/>
  <c r="BY47"/>
  <c r="BZ47"/>
  <c r="CA47"/>
  <c r="CB47"/>
  <c r="CC47"/>
  <c r="CD47"/>
  <c r="CE47"/>
  <c r="BN48"/>
  <c r="BO48"/>
  <c r="BP48"/>
  <c r="BQ48"/>
  <c r="BR48"/>
  <c r="BS48"/>
  <c r="BT48"/>
  <c r="BU48"/>
  <c r="BV48"/>
  <c r="BW48"/>
  <c r="BX48"/>
  <c r="BY48"/>
  <c r="BZ48"/>
  <c r="CA48"/>
  <c r="CB48"/>
  <c r="CC48"/>
  <c r="CD48"/>
  <c r="CE48"/>
  <c r="BN49"/>
  <c r="BO49"/>
  <c r="BP49"/>
  <c r="BQ49"/>
  <c r="BR49"/>
  <c r="BS49"/>
  <c r="BT49"/>
  <c r="BU49"/>
  <c r="BV49"/>
  <c r="BW49"/>
  <c r="BX49"/>
  <c r="BY49"/>
  <c r="BZ49"/>
  <c r="CA49"/>
  <c r="CB49"/>
  <c r="CC49"/>
  <c r="CD49"/>
  <c r="CE49"/>
  <c r="BN50"/>
  <c r="BO50"/>
  <c r="BP50"/>
  <c r="BQ50"/>
  <c r="BR50"/>
  <c r="BS50"/>
  <c r="BT50"/>
  <c r="BU50"/>
  <c r="BV50"/>
  <c r="BW50"/>
  <c r="BX50"/>
  <c r="BY50"/>
  <c r="BZ50"/>
  <c r="CA50"/>
  <c r="CB50"/>
  <c r="CC50"/>
  <c r="CD50"/>
  <c r="CE50"/>
  <c r="BN51"/>
  <c r="BO51"/>
  <c r="BP51"/>
  <c r="BQ51"/>
  <c r="BR51"/>
  <c r="BS51"/>
  <c r="BT51"/>
  <c r="BU51"/>
  <c r="BV51"/>
  <c r="BW51"/>
  <c r="BX51"/>
  <c r="BY51"/>
  <c r="BZ51"/>
  <c r="CA51"/>
  <c r="CB51"/>
  <c r="CC51"/>
  <c r="CD51"/>
  <c r="CE51"/>
  <c r="BN52"/>
  <c r="BO52"/>
  <c r="BP52"/>
  <c r="BQ52"/>
  <c r="BR52"/>
  <c r="BS52"/>
  <c r="BT52"/>
  <c r="BU52"/>
  <c r="BV52"/>
  <c r="BW52"/>
  <c r="BX52"/>
  <c r="BY52"/>
  <c r="BZ52"/>
  <c r="CA52"/>
  <c r="CB52"/>
  <c r="CC52"/>
  <c r="CD52"/>
  <c r="CE52"/>
  <c r="BN53"/>
  <c r="BO53"/>
  <c r="BP53"/>
  <c r="BQ53"/>
  <c r="BR53"/>
  <c r="BS53"/>
  <c r="BT53"/>
  <c r="BU53"/>
  <c r="BV53"/>
  <c r="BW53"/>
  <c r="BX53"/>
  <c r="BY53"/>
  <c r="BZ53"/>
  <c r="CA53"/>
  <c r="CB53"/>
  <c r="CC53"/>
  <c r="CD53"/>
  <c r="CE53"/>
  <c r="BN54"/>
  <c r="BO54"/>
  <c r="BP54"/>
  <c r="BQ54"/>
  <c r="BR54"/>
  <c r="BS54"/>
  <c r="BT54"/>
  <c r="BU54"/>
  <c r="BV54"/>
  <c r="BW54"/>
  <c r="BX54"/>
  <c r="BY54"/>
  <c r="BZ54"/>
  <c r="CA54"/>
  <c r="CB54"/>
  <c r="CC54"/>
  <c r="CD54"/>
  <c r="CE54"/>
  <c r="BN55"/>
  <c r="BO55"/>
  <c r="BP55"/>
  <c r="BQ55"/>
  <c r="BR55"/>
  <c r="BS55"/>
  <c r="BT55"/>
  <c r="BU55"/>
  <c r="BV55"/>
  <c r="BW55"/>
  <c r="BX55"/>
  <c r="BY55"/>
  <c r="BZ55"/>
  <c r="CA55"/>
  <c r="CB55"/>
  <c r="CC55"/>
  <c r="CD55"/>
  <c r="CE55"/>
  <c r="BO41"/>
  <c r="BP41"/>
  <c r="BQ41"/>
  <c r="BR41"/>
  <c r="BS41"/>
  <c r="BT41"/>
  <c r="BU41"/>
  <c r="BV41"/>
  <c r="BW41"/>
  <c r="BX41"/>
  <c r="BY41"/>
  <c r="BZ41"/>
  <c r="CA41"/>
  <c r="CB41"/>
  <c r="CC41"/>
  <c r="CD41"/>
  <c r="CE41"/>
  <c r="BN41"/>
  <c r="AI8" i="9"/>
  <c r="AH7"/>
  <c r="AH8"/>
  <c r="AH9"/>
  <c r="AB7"/>
  <c r="AC7"/>
  <c r="AZ20"/>
  <c r="AD7"/>
  <c r="AE7"/>
  <c r="BB20"/>
  <c r="AF7"/>
  <c r="AG7"/>
  <c r="BD20"/>
  <c r="AB8"/>
  <c r="AC8"/>
  <c r="AD8"/>
  <c r="AE8"/>
  <c r="AF8"/>
  <c r="AG8"/>
  <c r="AB9"/>
  <c r="AC9"/>
  <c r="AZ22"/>
  <c r="AD9"/>
  <c r="AE9"/>
  <c r="BB22"/>
  <c r="AF9"/>
  <c r="AG9"/>
  <c r="BD22"/>
  <c r="AB10"/>
  <c r="AB11"/>
  <c r="AI7"/>
  <c r="AJ7"/>
  <c r="AK7"/>
  <c r="AL7"/>
  <c r="AM7"/>
  <c r="AN7"/>
  <c r="AO7"/>
  <c r="AP7"/>
  <c r="AQ7"/>
  <c r="AR7"/>
  <c r="AS7"/>
  <c r="AC6"/>
  <c r="AZ19"/>
  <c r="AD6"/>
  <c r="AE6"/>
  <c r="BB19"/>
  <c r="AF6"/>
  <c r="AG6"/>
  <c r="BD19"/>
  <c r="AH6"/>
  <c r="AI6"/>
  <c r="BF19"/>
  <c r="AJ6"/>
  <c r="AK6"/>
  <c r="BH19"/>
  <c r="AL6"/>
  <c r="AM6"/>
  <c r="BJ19"/>
  <c r="AN6"/>
  <c r="AO6"/>
  <c r="BL19"/>
  <c r="AP6"/>
  <c r="AQ6"/>
  <c r="BN19"/>
  <c r="AR6"/>
  <c r="AS6"/>
  <c r="BP19"/>
  <c r="AB6"/>
  <c r="BQ38"/>
  <c r="BP38"/>
  <c r="BO38"/>
  <c r="BN38"/>
  <c r="BM38"/>
  <c r="BL38"/>
  <c r="BK38"/>
  <c r="BJ38"/>
  <c r="BI38"/>
  <c r="BH38"/>
  <c r="BG38"/>
  <c r="BF38"/>
  <c r="BE38"/>
  <c r="BD38"/>
  <c r="BC38"/>
  <c r="BB38"/>
  <c r="BA38"/>
  <c r="AZ38"/>
  <c r="AY38"/>
  <c r="BQ37"/>
  <c r="BP37"/>
  <c r="BO37"/>
  <c r="BN37"/>
  <c r="BM37"/>
  <c r="BL37"/>
  <c r="BK37"/>
  <c r="BJ37"/>
  <c r="BI37"/>
  <c r="BH37"/>
  <c r="BG37"/>
  <c r="BF37"/>
  <c r="BE37"/>
  <c r="BD37"/>
  <c r="BC37"/>
  <c r="BB37"/>
  <c r="BA37"/>
  <c r="AZ37"/>
  <c r="AY37"/>
  <c r="BQ36"/>
  <c r="BP36"/>
  <c r="BO36"/>
  <c r="BN36"/>
  <c r="BM36"/>
  <c r="BL36"/>
  <c r="BK36"/>
  <c r="BJ36"/>
  <c r="BI36"/>
  <c r="BH36"/>
  <c r="BG36"/>
  <c r="BF36"/>
  <c r="BE36"/>
  <c r="BD36"/>
  <c r="BC36"/>
  <c r="BB36"/>
  <c r="BA36"/>
  <c r="AZ36"/>
  <c r="AY36"/>
  <c r="BQ35"/>
  <c r="BP35"/>
  <c r="BO35"/>
  <c r="BN35"/>
  <c r="BM35"/>
  <c r="BL35"/>
  <c r="BK35"/>
  <c r="BJ35"/>
  <c r="BI35"/>
  <c r="BH35"/>
  <c r="BG35"/>
  <c r="BF35"/>
  <c r="BE35"/>
  <c r="BD35"/>
  <c r="BC35"/>
  <c r="BB35"/>
  <c r="BA35"/>
  <c r="AZ35"/>
  <c r="AY35"/>
  <c r="BQ34"/>
  <c r="BP34"/>
  <c r="BO34"/>
  <c r="BN34"/>
  <c r="BM34"/>
  <c r="BL34"/>
  <c r="BK34"/>
  <c r="BJ34"/>
  <c r="BI34"/>
  <c r="BH34"/>
  <c r="BG34"/>
  <c r="BF34"/>
  <c r="BE34"/>
  <c r="BD34"/>
  <c r="BC34"/>
  <c r="BB34"/>
  <c r="BA34"/>
  <c r="AZ34"/>
  <c r="AY34"/>
  <c r="BQ33"/>
  <c r="BP33"/>
  <c r="BO33"/>
  <c r="BN33"/>
  <c r="BM33"/>
  <c r="BL33"/>
  <c r="BK33"/>
  <c r="BJ33"/>
  <c r="BI33"/>
  <c r="BH33"/>
  <c r="BG33"/>
  <c r="BF33"/>
  <c r="BE33"/>
  <c r="BD33"/>
  <c r="BC33"/>
  <c r="BB33"/>
  <c r="BA33"/>
  <c r="AZ33"/>
  <c r="AY33"/>
  <c r="BQ32"/>
  <c r="BP32"/>
  <c r="BO32"/>
  <c r="BN32"/>
  <c r="BM32"/>
  <c r="BL32"/>
  <c r="BK32"/>
  <c r="BJ32"/>
  <c r="BI32"/>
  <c r="BH32"/>
  <c r="BG32"/>
  <c r="BF32"/>
  <c r="BE32"/>
  <c r="BD32"/>
  <c r="BC32"/>
  <c r="BB32"/>
  <c r="BA32"/>
  <c r="AZ32"/>
  <c r="AY32"/>
  <c r="BQ31"/>
  <c r="BP31"/>
  <c r="BO31"/>
  <c r="BN31"/>
  <c r="BM31"/>
  <c r="BL31"/>
  <c r="BK31"/>
  <c r="BJ31"/>
  <c r="BI31"/>
  <c r="BH31"/>
  <c r="BG31"/>
  <c r="BF31"/>
  <c r="BE31"/>
  <c r="BD31"/>
  <c r="BC31"/>
  <c r="BB31"/>
  <c r="BA31"/>
  <c r="AZ31"/>
  <c r="AY31"/>
  <c r="BQ30"/>
  <c r="BP30"/>
  <c r="BO30"/>
  <c r="BN30"/>
  <c r="BM30"/>
  <c r="BL30"/>
  <c r="BK30"/>
  <c r="BJ30"/>
  <c r="BI30"/>
  <c r="BH30"/>
  <c r="BG30"/>
  <c r="BF30"/>
  <c r="BE30"/>
  <c r="BD30"/>
  <c r="BC30"/>
  <c r="BB30"/>
  <c r="BA30"/>
  <c r="AZ30"/>
  <c r="AY30"/>
  <c r="BQ29"/>
  <c r="BP29"/>
  <c r="BO29"/>
  <c r="BN29"/>
  <c r="BM29"/>
  <c r="BL29"/>
  <c r="BK29"/>
  <c r="BJ29"/>
  <c r="BI29"/>
  <c r="BH29"/>
  <c r="BG29"/>
  <c r="BF29"/>
  <c r="BE29"/>
  <c r="BD29"/>
  <c r="BC29"/>
  <c r="BB29"/>
  <c r="BA29"/>
  <c r="AZ29"/>
  <c r="AY29"/>
  <c r="BQ28"/>
  <c r="BP28"/>
  <c r="BO28"/>
  <c r="BN28"/>
  <c r="BM28"/>
  <c r="BL28"/>
  <c r="BK28"/>
  <c r="BJ28"/>
  <c r="BI28"/>
  <c r="BH28"/>
  <c r="BG28"/>
  <c r="BF28"/>
  <c r="BE28"/>
  <c r="BD28"/>
  <c r="BC28"/>
  <c r="BB28"/>
  <c r="BA28"/>
  <c r="AZ28"/>
  <c r="AY28"/>
  <c r="BQ27"/>
  <c r="BP27"/>
  <c r="BO27"/>
  <c r="BN27"/>
  <c r="BM27"/>
  <c r="BL27"/>
  <c r="BK27"/>
  <c r="BJ27"/>
  <c r="BI27"/>
  <c r="BH27"/>
  <c r="BG27"/>
  <c r="BF27"/>
  <c r="BE27"/>
  <c r="BD27"/>
  <c r="BC27"/>
  <c r="BB27"/>
  <c r="BA27"/>
  <c r="AZ27"/>
  <c r="AY27"/>
  <c r="BQ26"/>
  <c r="BP26"/>
  <c r="BO26"/>
  <c r="BN26"/>
  <c r="BM26"/>
  <c r="BL26"/>
  <c r="BK26"/>
  <c r="BJ26"/>
  <c r="BI26"/>
  <c r="BH26"/>
  <c r="BG26"/>
  <c r="BF26"/>
  <c r="BE26"/>
  <c r="BD26"/>
  <c r="BC26"/>
  <c r="BB26"/>
  <c r="BA26"/>
  <c r="AZ26"/>
  <c r="AY26"/>
  <c r="BQ25"/>
  <c r="BP25"/>
  <c r="BO25"/>
  <c r="BN25"/>
  <c r="BM25"/>
  <c r="BL25"/>
  <c r="BK25"/>
  <c r="BJ25"/>
  <c r="BI25"/>
  <c r="BH25"/>
  <c r="BG25"/>
  <c r="BF25"/>
  <c r="BE25"/>
  <c r="BD25"/>
  <c r="BC25"/>
  <c r="BB25"/>
  <c r="BA25"/>
  <c r="AZ25"/>
  <c r="AY25"/>
  <c r="BQ24"/>
  <c r="BP24"/>
  <c r="BO24"/>
  <c r="BN24"/>
  <c r="BM24"/>
  <c r="BL24"/>
  <c r="BK24"/>
  <c r="BJ24"/>
  <c r="BI24"/>
  <c r="BH24"/>
  <c r="BG24"/>
  <c r="BF24"/>
  <c r="BE24"/>
  <c r="BD24"/>
  <c r="BC24"/>
  <c r="BB24"/>
  <c r="BA24"/>
  <c r="AZ24"/>
  <c r="AY24"/>
  <c r="BQ23"/>
  <c r="BP23"/>
  <c r="BO23"/>
  <c r="BN23"/>
  <c r="BM23"/>
  <c r="BL23"/>
  <c r="BK23"/>
  <c r="BJ23"/>
  <c r="BI23"/>
  <c r="BH23"/>
  <c r="BG23"/>
  <c r="BF23"/>
  <c r="BE23"/>
  <c r="BD23"/>
  <c r="BC23"/>
  <c r="BB23"/>
  <c r="BA23"/>
  <c r="AZ23"/>
  <c r="AY23"/>
  <c r="BQ22"/>
  <c r="BP22"/>
  <c r="BO22"/>
  <c r="BN22"/>
  <c r="BM22"/>
  <c r="BL22"/>
  <c r="BK22"/>
  <c r="BJ22"/>
  <c r="BI22"/>
  <c r="BH22"/>
  <c r="BG22"/>
  <c r="BF22"/>
  <c r="BE22"/>
  <c r="BC22"/>
  <c r="BA22"/>
  <c r="AY22"/>
  <c r="BQ21"/>
  <c r="BP21"/>
  <c r="BO21"/>
  <c r="BN21"/>
  <c r="BM21"/>
  <c r="BL21"/>
  <c r="BK21"/>
  <c r="BJ21"/>
  <c r="BI21"/>
  <c r="BH21"/>
  <c r="BG21"/>
  <c r="BF21"/>
  <c r="BE21"/>
  <c r="BD21"/>
  <c r="BC21"/>
  <c r="BB21"/>
  <c r="BA21"/>
  <c r="AZ21"/>
  <c r="AY21"/>
  <c r="BQ20"/>
  <c r="BP20"/>
  <c r="BO20"/>
  <c r="BN20"/>
  <c r="BM20"/>
  <c r="BL20"/>
  <c r="BK20"/>
  <c r="BJ20"/>
  <c r="BI20"/>
  <c r="BH20"/>
  <c r="BG20"/>
  <c r="BF20"/>
  <c r="BE20"/>
  <c r="BC20"/>
  <c r="BA20"/>
  <c r="AY20"/>
  <c r="BA19"/>
  <c r="BC19"/>
  <c r="BE19"/>
  <c r="BG19"/>
  <c r="BI19"/>
  <c r="BK19"/>
  <c r="BM19"/>
  <c r="BO19"/>
  <c r="BQ19"/>
  <c r="AY19"/>
  <c r="AP118" i="24"/>
  <c r="AO117"/>
  <c r="AP117"/>
  <c r="AO118"/>
  <c r="AO119"/>
  <c r="AP119"/>
  <c r="AN117"/>
  <c r="AN118"/>
  <c r="AN119"/>
  <c r="AM117"/>
  <c r="AM118"/>
  <c r="AM119"/>
  <c r="AL117"/>
  <c r="AL118"/>
  <c r="AL119"/>
  <c r="AK117"/>
  <c r="AK118"/>
  <c r="AK119"/>
  <c r="AJ117"/>
  <c r="AJ118"/>
  <c r="AJ119"/>
  <c r="AI117"/>
  <c r="AI118"/>
  <c r="AI119"/>
  <c r="AH117"/>
  <c r="AH118"/>
  <c r="AH119"/>
  <c r="AG117"/>
  <c r="AG118"/>
  <c r="AG119"/>
  <c r="AF117"/>
  <c r="AF118"/>
  <c r="AF119"/>
  <c r="AE117"/>
  <c r="AE118"/>
  <c r="AE119"/>
  <c r="AD117"/>
  <c r="AD118"/>
  <c r="AD119"/>
  <c r="AC117"/>
  <c r="AC118"/>
  <c r="AC119"/>
  <c r="AB117"/>
  <c r="AB118"/>
  <c r="AB119"/>
  <c r="AA117"/>
  <c r="AA118"/>
  <c r="AA119"/>
  <c r="Z117"/>
  <c r="Z118"/>
  <c r="Z119"/>
  <c r="Y117"/>
  <c r="Y118"/>
  <c r="Y119"/>
  <c r="X117"/>
  <c r="X118"/>
  <c r="X119"/>
  <c r="W117"/>
  <c r="W118"/>
  <c r="W119"/>
  <c r="BI44"/>
  <c r="BJ44"/>
  <c r="BK44"/>
  <c r="BL44"/>
  <c r="BM44"/>
  <c r="BN44"/>
  <c r="BO44"/>
  <c r="BP44"/>
  <c r="BQ44"/>
  <c r="BR44"/>
  <c r="BS44"/>
  <c r="BT44"/>
  <c r="BU44"/>
  <c r="BV44"/>
  <c r="BW44"/>
  <c r="BX44"/>
  <c r="BY44"/>
  <c r="BZ44"/>
  <c r="CA44"/>
  <c r="CB44"/>
  <c r="BI45"/>
  <c r="BJ45"/>
  <c r="BK45"/>
  <c r="BL45"/>
  <c r="BM45"/>
  <c r="BN45"/>
  <c r="BO45"/>
  <c r="BP45"/>
  <c r="BQ45"/>
  <c r="BR45"/>
  <c r="BS45"/>
  <c r="BT45"/>
  <c r="BU45"/>
  <c r="BV45"/>
  <c r="BW45"/>
  <c r="BX45"/>
  <c r="BY45"/>
  <c r="BZ45"/>
  <c r="CA45"/>
  <c r="CB45"/>
  <c r="BI46"/>
  <c r="BJ46"/>
  <c r="BK46"/>
  <c r="BL46"/>
  <c r="BM46"/>
  <c r="BN46"/>
  <c r="BO46"/>
  <c r="BP46"/>
  <c r="BQ46"/>
  <c r="BR46"/>
  <c r="BS46"/>
  <c r="BT46"/>
  <c r="BU46"/>
  <c r="BV46"/>
  <c r="BW46"/>
  <c r="BX46"/>
  <c r="BY46"/>
  <c r="BZ46"/>
  <c r="CA46"/>
  <c r="CB46"/>
  <c r="BI47"/>
  <c r="BJ47"/>
  <c r="BK47"/>
  <c r="BL47"/>
  <c r="BM47"/>
  <c r="BN47"/>
  <c r="BO47"/>
  <c r="BP47"/>
  <c r="BQ47"/>
  <c r="BR47"/>
  <c r="BS47"/>
  <c r="BT47"/>
  <c r="BU47"/>
  <c r="BV47"/>
  <c r="BW47"/>
  <c r="BX47"/>
  <c r="BY47"/>
  <c r="BZ47"/>
  <c r="CA47"/>
  <c r="CB47"/>
  <c r="W110"/>
  <c r="W109"/>
  <c r="X109"/>
  <c r="X110"/>
  <c r="W111"/>
  <c r="X111"/>
  <c r="Y109"/>
  <c r="Y110"/>
  <c r="Y111"/>
  <c r="Z109"/>
  <c r="Z110"/>
  <c r="Z111"/>
  <c r="AA109"/>
  <c r="AA110"/>
  <c r="AA111"/>
  <c r="AB109"/>
  <c r="AB110"/>
  <c r="AB111"/>
  <c r="AC109"/>
  <c r="AC110"/>
  <c r="AC111"/>
  <c r="AD109"/>
  <c r="AD110"/>
  <c r="AD111"/>
  <c r="AE109"/>
  <c r="AE110"/>
  <c r="AE111"/>
  <c r="AF109"/>
  <c r="AF110"/>
  <c r="AF111"/>
  <c r="AG109"/>
  <c r="AG110"/>
  <c r="AG111"/>
  <c r="AH109"/>
  <c r="AH110"/>
  <c r="AH111"/>
  <c r="AI109"/>
  <c r="AI110"/>
  <c r="AI111"/>
  <c r="AJ109"/>
  <c r="AJ110"/>
  <c r="AJ111"/>
  <c r="AK109"/>
  <c r="AK110"/>
  <c r="AK111"/>
  <c r="AL109"/>
  <c r="AL110"/>
  <c r="AL111"/>
  <c r="AM109"/>
  <c r="AM110"/>
  <c r="AM111"/>
  <c r="AN109"/>
  <c r="AN110"/>
  <c r="AN111"/>
  <c r="AO109"/>
  <c r="AO110"/>
  <c r="AO111"/>
  <c r="AP109"/>
  <c r="AP110"/>
  <c r="AP111"/>
  <c r="W104"/>
  <c r="X104"/>
  <c r="W105"/>
  <c r="X105"/>
  <c r="Y104"/>
  <c r="Y105"/>
  <c r="Z104"/>
  <c r="Z105"/>
  <c r="AA104"/>
  <c r="AA105"/>
  <c r="AB104"/>
  <c r="AB105"/>
  <c r="AC104"/>
  <c r="AC105"/>
  <c r="AD104"/>
  <c r="AD105"/>
  <c r="AE104"/>
  <c r="AE105"/>
  <c r="AF104"/>
  <c r="AF105"/>
  <c r="AG104"/>
  <c r="AG105"/>
  <c r="AH104"/>
  <c r="AH105"/>
  <c r="AI104"/>
  <c r="AI105"/>
  <c r="AJ104"/>
  <c r="AJ105"/>
  <c r="AK104"/>
  <c r="AK105"/>
  <c r="AL104"/>
  <c r="AL105"/>
  <c r="AM104"/>
  <c r="AM105"/>
  <c r="AN104"/>
  <c r="AN105"/>
  <c r="AO104"/>
  <c r="AO105"/>
  <c r="AP104"/>
  <c r="AP105"/>
  <c r="W106"/>
  <c r="X106"/>
  <c r="Y106"/>
  <c r="Z106"/>
  <c r="AA106"/>
  <c r="AB106"/>
  <c r="AC106"/>
  <c r="AD106"/>
  <c r="AE106"/>
  <c r="AF106"/>
  <c r="AG106"/>
  <c r="AH106"/>
  <c r="AI106"/>
  <c r="AJ106"/>
  <c r="AK106"/>
  <c r="AL106"/>
  <c r="AM106"/>
  <c r="AN106"/>
  <c r="AO106"/>
  <c r="AP106"/>
  <c r="W107"/>
  <c r="X107"/>
  <c r="Y107"/>
  <c r="Z107"/>
  <c r="AA107"/>
  <c r="AB107"/>
  <c r="AC107"/>
  <c r="AD107"/>
  <c r="AE107"/>
  <c r="AF107"/>
  <c r="AG107"/>
  <c r="AH107"/>
  <c r="AI107"/>
  <c r="AJ107"/>
  <c r="AK107"/>
  <c r="AL107"/>
  <c r="AM107"/>
  <c r="AN107"/>
  <c r="AO107"/>
  <c r="AP107"/>
  <c r="W108"/>
  <c r="X108"/>
  <c r="Y108"/>
  <c r="Z108"/>
  <c r="AA108"/>
  <c r="AB108"/>
  <c r="AC108"/>
  <c r="AD108"/>
  <c r="AE108"/>
  <c r="AF108"/>
  <c r="AG108"/>
  <c r="AH108"/>
  <c r="AI108"/>
  <c r="AJ108"/>
  <c r="AK108"/>
  <c r="AL108"/>
  <c r="AM108"/>
  <c r="AN108"/>
  <c r="AO108"/>
  <c r="AP108"/>
  <c r="W112"/>
  <c r="X112"/>
  <c r="Y112"/>
  <c r="Z112"/>
  <c r="AA112"/>
  <c r="AB112"/>
  <c r="AC112"/>
  <c r="AD112"/>
  <c r="AE112"/>
  <c r="AF112"/>
  <c r="AG112"/>
  <c r="AH112"/>
  <c r="AI112"/>
  <c r="AJ112"/>
  <c r="AK112"/>
  <c r="AL112"/>
  <c r="AM112"/>
  <c r="AN112"/>
  <c r="AO112"/>
  <c r="AP112"/>
  <c r="W113"/>
  <c r="X113"/>
  <c r="Y113"/>
  <c r="Z113"/>
  <c r="AA113"/>
  <c r="AB113"/>
  <c r="AC113"/>
  <c r="AD113"/>
  <c r="AE113"/>
  <c r="AF113"/>
  <c r="AG113"/>
  <c r="AH113"/>
  <c r="AI113"/>
  <c r="AJ113"/>
  <c r="AK113"/>
  <c r="AL113"/>
  <c r="AM113"/>
  <c r="AN113"/>
  <c r="AO113"/>
  <c r="AP113"/>
  <c r="W114"/>
  <c r="X114"/>
  <c r="Y114"/>
  <c r="Z114"/>
  <c r="AA114"/>
  <c r="AB114"/>
  <c r="AC114"/>
  <c r="AD114"/>
  <c r="AE114"/>
  <c r="AF114"/>
  <c r="AG114"/>
  <c r="AH114"/>
  <c r="AI114"/>
  <c r="AJ114"/>
  <c r="AK114"/>
  <c r="AL114"/>
  <c r="AM114"/>
  <c r="AN114"/>
  <c r="AO114"/>
  <c r="AP114"/>
  <c r="W115"/>
  <c r="X115"/>
  <c r="Y115"/>
  <c r="Z115"/>
  <c r="AA115"/>
  <c r="AB115"/>
  <c r="AC115"/>
  <c r="AD115"/>
  <c r="AE115"/>
  <c r="AF115"/>
  <c r="AG115"/>
  <c r="AH115"/>
  <c r="AI115"/>
  <c r="AJ115"/>
  <c r="AK115"/>
  <c r="AL115"/>
  <c r="AM115"/>
  <c r="AN115"/>
  <c r="AO115"/>
  <c r="AP115"/>
  <c r="W116"/>
  <c r="X116"/>
  <c r="Y116"/>
  <c r="Z116"/>
  <c r="AA116"/>
  <c r="AB116"/>
  <c r="AC116"/>
  <c r="AD116"/>
  <c r="AE116"/>
  <c r="AF116"/>
  <c r="AG116"/>
  <c r="AH116"/>
  <c r="AI116"/>
  <c r="AJ116"/>
  <c r="AK116"/>
  <c r="AL116"/>
  <c r="AM116"/>
  <c r="AN116"/>
  <c r="AO116"/>
  <c r="AP116"/>
  <c r="BI42"/>
  <c r="BJ42"/>
  <c r="BK42"/>
  <c r="BL42"/>
  <c r="BM42"/>
  <c r="BN42"/>
  <c r="BO42"/>
  <c r="BP42"/>
  <c r="BQ42"/>
  <c r="BR42"/>
  <c r="BS42"/>
  <c r="BT42"/>
  <c r="BU42"/>
  <c r="BV42"/>
  <c r="BW42"/>
  <c r="BX42"/>
  <c r="BY42"/>
  <c r="BZ42"/>
  <c r="CA42"/>
  <c r="CB42"/>
  <c r="BI43"/>
  <c r="BJ43"/>
  <c r="BK43"/>
  <c r="BL43"/>
  <c r="BM43"/>
  <c r="BN43"/>
  <c r="BO43"/>
  <c r="BP43"/>
  <c r="BQ43"/>
  <c r="BR43"/>
  <c r="BS43"/>
  <c r="BT43"/>
  <c r="BU43"/>
  <c r="BV43"/>
  <c r="BW43"/>
  <c r="BX43"/>
  <c r="BY43"/>
  <c r="BZ43"/>
  <c r="CA43"/>
  <c r="CB43"/>
  <c r="BI48"/>
  <c r="BJ48"/>
  <c r="BK48"/>
  <c r="BL48"/>
  <c r="BM48"/>
  <c r="BN48"/>
  <c r="BO48"/>
  <c r="BP48"/>
  <c r="BQ48"/>
  <c r="BR48"/>
  <c r="BS48"/>
  <c r="BT48"/>
  <c r="BU48"/>
  <c r="BV48"/>
  <c r="BW48"/>
  <c r="BX48"/>
  <c r="BY48"/>
  <c r="BZ48"/>
  <c r="CA48"/>
  <c r="CB48"/>
  <c r="BI49"/>
  <c r="BJ49"/>
  <c r="BK49"/>
  <c r="BL49"/>
  <c r="BM49"/>
  <c r="BN49"/>
  <c r="BO49"/>
  <c r="BP49"/>
  <c r="BQ49"/>
  <c r="BR49"/>
  <c r="BS49"/>
  <c r="BT49"/>
  <c r="BU49"/>
  <c r="BV49"/>
  <c r="BW49"/>
  <c r="BX49"/>
  <c r="BY49"/>
  <c r="BZ49"/>
  <c r="CA49"/>
  <c r="CB49"/>
  <c r="BI50"/>
  <c r="BJ50"/>
  <c r="BK50"/>
  <c r="BL50"/>
  <c r="BM50"/>
  <c r="BN50"/>
  <c r="BO50"/>
  <c r="BP50"/>
  <c r="BQ50"/>
  <c r="BR50"/>
  <c r="BS50"/>
  <c r="BT50"/>
  <c r="BU50"/>
  <c r="BV50"/>
  <c r="BW50"/>
  <c r="BX50"/>
  <c r="BY50"/>
  <c r="BZ50"/>
  <c r="CA50"/>
  <c r="CB50"/>
  <c r="BI51"/>
  <c r="BJ51"/>
  <c r="BK51"/>
  <c r="BL51"/>
  <c r="BM51"/>
  <c r="BN51"/>
  <c r="BO51"/>
  <c r="BP51"/>
  <c r="BQ51"/>
  <c r="BR51"/>
  <c r="BS51"/>
  <c r="BT51"/>
  <c r="BU51"/>
  <c r="BV51"/>
  <c r="BW51"/>
  <c r="BX51"/>
  <c r="BY51"/>
  <c r="BZ51"/>
  <c r="CA51"/>
  <c r="CB51"/>
  <c r="BI52"/>
  <c r="BJ52"/>
  <c r="BK52"/>
  <c r="BL52"/>
  <c r="BM52"/>
  <c r="BN52"/>
  <c r="BO52"/>
  <c r="BP52"/>
  <c r="BQ52"/>
  <c r="BR52"/>
  <c r="BS52"/>
  <c r="BT52"/>
  <c r="BU52"/>
  <c r="BV52"/>
  <c r="BW52"/>
  <c r="BX52"/>
  <c r="BY52"/>
  <c r="BZ52"/>
  <c r="CA52"/>
  <c r="CB52"/>
  <c r="BI53"/>
  <c r="BJ53"/>
  <c r="BK53"/>
  <c r="BL53"/>
  <c r="BM53"/>
  <c r="BN53"/>
  <c r="BO53"/>
  <c r="BP53"/>
  <c r="BQ53"/>
  <c r="BR53"/>
  <c r="BS53"/>
  <c r="BT53"/>
  <c r="BU53"/>
  <c r="BV53"/>
  <c r="BW53"/>
  <c r="BX53"/>
  <c r="BY53"/>
  <c r="BZ53"/>
  <c r="CA53"/>
  <c r="CB53"/>
  <c r="BI54"/>
  <c r="BJ54"/>
  <c r="BK54"/>
  <c r="BL54"/>
  <c r="BM54"/>
  <c r="BN54"/>
  <c r="BO54"/>
  <c r="BP54"/>
  <c r="BQ54"/>
  <c r="BR54"/>
  <c r="BS54"/>
  <c r="BT54"/>
  <c r="BU54"/>
  <c r="BV54"/>
  <c r="BW54"/>
  <c r="BX54"/>
  <c r="BY54"/>
  <c r="BZ54"/>
  <c r="CA54"/>
  <c r="CB54"/>
  <c r="BI55"/>
  <c r="BJ55"/>
  <c r="BK55"/>
  <c r="BL55"/>
  <c r="BM55"/>
  <c r="BN55"/>
  <c r="BO55"/>
  <c r="BP55"/>
  <c r="BQ55"/>
  <c r="BR55"/>
  <c r="BS55"/>
  <c r="BT55"/>
  <c r="BU55"/>
  <c r="BV55"/>
  <c r="BW55"/>
  <c r="BX55"/>
  <c r="BY55"/>
  <c r="BZ55"/>
  <c r="CA55"/>
  <c r="CB55"/>
  <c r="BI56"/>
  <c r="BJ56"/>
  <c r="BK56"/>
  <c r="BL56"/>
  <c r="BM56"/>
  <c r="BN56"/>
  <c r="BO56"/>
  <c r="BP56"/>
  <c r="BQ56"/>
  <c r="BR56"/>
  <c r="BS56"/>
  <c r="BT56"/>
  <c r="BU56"/>
  <c r="BV56"/>
  <c r="BW56"/>
  <c r="BX56"/>
  <c r="BY56"/>
  <c r="BZ56"/>
  <c r="CA56"/>
  <c r="CB56"/>
  <c r="BI57"/>
  <c r="BJ57"/>
  <c r="BK57"/>
  <c r="BL57"/>
  <c r="BM57"/>
  <c r="BN57"/>
  <c r="BO57"/>
  <c r="BP57"/>
  <c r="BQ57"/>
  <c r="BR57"/>
  <c r="BS57"/>
  <c r="BT57"/>
  <c r="BU57"/>
  <c r="BV57"/>
  <c r="BW57"/>
  <c r="BX57"/>
  <c r="BY57"/>
  <c r="BZ57"/>
  <c r="CA57"/>
  <c r="CB57"/>
  <c r="Y18" i="8"/>
  <c r="BP26"/>
  <c r="Y19"/>
  <c r="BP27"/>
  <c r="AM17"/>
  <c r="CD25"/>
  <c r="AM18"/>
  <c r="CD26"/>
  <c r="AK16"/>
  <c r="CB24"/>
  <c r="AJ17"/>
  <c r="CA25" s="1"/>
  <c r="AI16"/>
  <c r="BZ24" s="1"/>
  <c r="AH17"/>
  <c r="BY25" s="1"/>
  <c r="AG16"/>
  <c r="BX24" s="1"/>
  <c r="AF17"/>
  <c r="BW25" s="1"/>
  <c r="AE16"/>
  <c r="BV24" s="1"/>
  <c r="AD17"/>
  <c r="BU25" s="1"/>
  <c r="X17"/>
  <c r="BO25"/>
  <c r="Z17"/>
  <c r="BQ25"/>
  <c r="AB16"/>
  <c r="BS24"/>
  <c r="AC16"/>
  <c r="BT24" s="1"/>
  <c r="AL19"/>
  <c r="CC27" s="1"/>
  <c r="AH19"/>
  <c r="BY27" s="1"/>
  <c r="AD19"/>
  <c r="BU27" s="1"/>
  <c r="Z19"/>
  <c r="BQ27"/>
  <c r="AL18"/>
  <c r="CC26" s="1"/>
  <c r="AK18"/>
  <c r="CB26" s="1"/>
  <c r="AI18"/>
  <c r="BZ26" s="1"/>
  <c r="AG18"/>
  <c r="BX26" s="1"/>
  <c r="AE18"/>
  <c r="BV26" s="1"/>
  <c r="AC18"/>
  <c r="BT26" s="1"/>
  <c r="AA18"/>
  <c r="BR26"/>
  <c r="AB17"/>
  <c r="BS25"/>
  <c r="AA17"/>
  <c r="BR25"/>
  <c r="Y17"/>
  <c r="BP25"/>
  <c r="AM15"/>
  <c r="CD23" s="1"/>
  <c r="AA16"/>
  <c r="BR24"/>
  <c r="AM14"/>
  <c r="CD22" s="1"/>
  <c r="AL13"/>
  <c r="CC21" s="1"/>
  <c r="AL15"/>
  <c r="CC23" s="1"/>
  <c r="AK13"/>
  <c r="CB21" s="1"/>
  <c r="AI13"/>
  <c r="BZ21" s="1"/>
  <c r="AG13"/>
  <c r="BX21" s="1"/>
  <c r="AJ16"/>
  <c r="CA24" s="1"/>
  <c r="AI17"/>
  <c r="BZ25" s="1"/>
  <c r="AH16"/>
  <c r="BY24" s="1"/>
  <c r="AG17"/>
  <c r="BX25" s="1"/>
  <c r="AF16"/>
  <c r="BW24" s="1"/>
  <c r="AE17"/>
  <c r="BV25" s="1"/>
  <c r="AD16"/>
  <c r="BU24" s="1"/>
  <c r="AC17"/>
  <c r="BT25" s="1"/>
  <c r="AK19"/>
  <c r="CB27" s="1"/>
  <c r="AI19"/>
  <c r="BZ27" s="1"/>
  <c r="AG19"/>
  <c r="BX27" s="1"/>
  <c r="AE19"/>
  <c r="BV27" s="1"/>
  <c r="AC19"/>
  <c r="BT27"/>
  <c r="AA19"/>
  <c r="BR27"/>
  <c r="AK17"/>
  <c r="CB25" s="1"/>
  <c r="AJ13"/>
  <c r="CA21" s="1"/>
  <c r="AH13"/>
  <c r="BY21" s="1"/>
  <c r="AE13"/>
  <c r="BV21" s="1"/>
  <c r="AM16"/>
  <c r="CD24"/>
  <c r="AM13"/>
  <c r="CD21" s="1"/>
  <c r="AN20"/>
  <c r="CE28" s="1"/>
  <c r="AN18"/>
  <c r="CE26"/>
  <c r="AN16"/>
  <c r="CE24"/>
  <c r="AN14"/>
  <c r="CE22" s="1"/>
  <c r="AN12"/>
  <c r="CE20" s="1"/>
  <c r="AN10"/>
  <c r="CE18" s="1"/>
  <c r="AN8"/>
  <c r="CE16" s="1"/>
  <c r="AN6"/>
  <c r="CE14" s="1"/>
  <c r="AP20"/>
  <c r="CG28" s="1"/>
  <c r="AO20"/>
  <c r="CF28" s="1"/>
  <c r="AP19"/>
  <c r="CG27" s="1"/>
  <c r="AO19"/>
  <c r="CF27" s="1"/>
  <c r="AP18"/>
  <c r="CG26"/>
  <c r="AO18"/>
  <c r="CF26"/>
  <c r="AP17"/>
  <c r="CG25"/>
  <c r="AO17"/>
  <c r="CF25"/>
  <c r="AP16"/>
  <c r="CG24" s="1"/>
  <c r="AO16"/>
  <c r="CF24" s="1"/>
  <c r="AP15"/>
  <c r="CG23" s="1"/>
  <c r="AO15"/>
  <c r="CF23" s="1"/>
  <c r="AP14"/>
  <c r="CG22" s="1"/>
  <c r="AO14"/>
  <c r="CF22" s="1"/>
  <c r="AP13"/>
  <c r="CG21" s="1"/>
  <c r="AO13"/>
  <c r="CF21" s="1"/>
  <c r="AP12"/>
  <c r="CG20" s="1"/>
  <c r="AO12"/>
  <c r="CF20" s="1"/>
  <c r="AP11"/>
  <c r="CG19" s="1"/>
  <c r="AO11"/>
  <c r="CF19" s="1"/>
  <c r="AP10"/>
  <c r="CG18" s="1"/>
  <c r="AO10"/>
  <c r="CF18" s="1"/>
  <c r="AP9"/>
  <c r="CG17" s="1"/>
  <c r="AO9"/>
  <c r="CF17" s="1"/>
  <c r="AP8"/>
  <c r="CG16" s="1"/>
  <c r="AO8"/>
  <c r="CF16" s="1"/>
  <c r="AP7"/>
  <c r="CG15" s="1"/>
  <c r="AO7"/>
  <c r="CF15" s="1"/>
  <c r="AP6"/>
  <c r="CG14" s="1"/>
  <c r="AO6"/>
  <c r="CF14" s="1"/>
  <c r="AO21" i="24"/>
  <c r="CA29"/>
  <c r="AM21"/>
  <c r="BY29"/>
  <c r="AK21"/>
  <c r="BW29"/>
  <c r="AI21"/>
  <c r="BU29"/>
  <c r="AG21"/>
  <c r="BS29"/>
  <c r="AE21"/>
  <c r="BQ29"/>
  <c r="AC21"/>
  <c r="BO29"/>
  <c r="AA21"/>
  <c r="BM29"/>
  <c r="Y21"/>
  <c r="BK29"/>
  <c r="W21"/>
  <c r="BI29"/>
  <c r="AO20"/>
  <c r="AM20"/>
  <c r="AK20"/>
  <c r="AI20"/>
  <c r="AG20"/>
  <c r="AE20"/>
  <c r="AC20"/>
  <c r="AA20"/>
  <c r="Y20"/>
  <c r="W20"/>
  <c r="AO19"/>
  <c r="CA28"/>
  <c r="AM19"/>
  <c r="BY28"/>
  <c r="AK19"/>
  <c r="BW28"/>
  <c r="AI19"/>
  <c r="BU28"/>
  <c r="AG19"/>
  <c r="BS28"/>
  <c r="AE19"/>
  <c r="BQ28"/>
  <c r="AC19"/>
  <c r="BO28"/>
  <c r="AA19"/>
  <c r="BM28"/>
  <c r="Y19"/>
  <c r="BK28"/>
  <c r="W19"/>
  <c r="BI28"/>
  <c r="AO18"/>
  <c r="CA27"/>
  <c r="AM18"/>
  <c r="BY27"/>
  <c r="AK18"/>
  <c r="BW27"/>
  <c r="AI18"/>
  <c r="BU27"/>
  <c r="AG18"/>
  <c r="BS27"/>
  <c r="AE18"/>
  <c r="BQ27"/>
  <c r="AC18"/>
  <c r="BO27"/>
  <c r="AA18"/>
  <c r="BM27"/>
  <c r="Y18"/>
  <c r="BK27"/>
  <c r="W18"/>
  <c r="BI27"/>
  <c r="AO17"/>
  <c r="CA26"/>
  <c r="AM17"/>
  <c r="BY26"/>
  <c r="AK17"/>
  <c r="BW26"/>
  <c r="AI17"/>
  <c r="BU26"/>
  <c r="AG17"/>
  <c r="BS26"/>
  <c r="AE17"/>
  <c r="BQ26"/>
  <c r="AC17"/>
  <c r="BO26"/>
  <c r="AA17"/>
  <c r="BM26"/>
  <c r="Y17"/>
  <c r="BK26"/>
  <c r="W17"/>
  <c r="BI26"/>
  <c r="AO16"/>
  <c r="CA25"/>
  <c r="AM16"/>
  <c r="BY25"/>
  <c r="AK16"/>
  <c r="BW25"/>
  <c r="AI16"/>
  <c r="BU25"/>
  <c r="AG16"/>
  <c r="BS25"/>
  <c r="AE16"/>
  <c r="BQ25"/>
  <c r="AC16"/>
  <c r="BO25"/>
  <c r="AA16"/>
  <c r="BM25"/>
  <c r="Y16"/>
  <c r="BK25"/>
  <c r="W16"/>
  <c r="BI25"/>
  <c r="AO15"/>
  <c r="CA24"/>
  <c r="AM15"/>
  <c r="BY24"/>
  <c r="AK15"/>
  <c r="BW24"/>
  <c r="AI15"/>
  <c r="BU24"/>
  <c r="AG15"/>
  <c r="BS24"/>
  <c r="AE15"/>
  <c r="BQ24"/>
  <c r="AC15"/>
  <c r="BO24"/>
  <c r="AA15"/>
  <c r="BM24"/>
  <c r="Y15"/>
  <c r="BK24"/>
  <c r="W15"/>
  <c r="BI24"/>
  <c r="AO14"/>
  <c r="CA23"/>
  <c r="AM14"/>
  <c r="BY23"/>
  <c r="AK14"/>
  <c r="BW23"/>
  <c r="AI14"/>
  <c r="BU23"/>
  <c r="AG14"/>
  <c r="BS23"/>
  <c r="AE14"/>
  <c r="BQ23"/>
  <c r="AC14"/>
  <c r="BO23"/>
  <c r="AA14"/>
  <c r="BM23"/>
  <c r="Y14"/>
  <c r="BK23"/>
  <c r="W14"/>
  <c r="BI23"/>
  <c r="AO13"/>
  <c r="CA22"/>
  <c r="AM13"/>
  <c r="BY22"/>
  <c r="AK13"/>
  <c r="BW22"/>
  <c r="AI13"/>
  <c r="BU22"/>
  <c r="AG13"/>
  <c r="BS22"/>
  <c r="AE13"/>
  <c r="BQ22"/>
  <c r="AC13"/>
  <c r="BO22"/>
  <c r="AA13"/>
  <c r="BM22"/>
  <c r="Y13"/>
  <c r="BK22"/>
  <c r="W13"/>
  <c r="BI22"/>
  <c r="AO12"/>
  <c r="AM12"/>
  <c r="AK12"/>
  <c r="AI12"/>
  <c r="AG12"/>
  <c r="AE12"/>
  <c r="AC12"/>
  <c r="AA12"/>
  <c r="Y12"/>
  <c r="W12"/>
  <c r="AO11"/>
  <c r="CA19"/>
  <c r="AM11"/>
  <c r="BY19"/>
  <c r="AK11"/>
  <c r="BW19"/>
  <c r="AI11"/>
  <c r="BU19"/>
  <c r="AG11"/>
  <c r="BS19"/>
  <c r="AE11"/>
  <c r="BQ19"/>
  <c r="AC11"/>
  <c r="BO19"/>
  <c r="AA11"/>
  <c r="BM19"/>
  <c r="Y11"/>
  <c r="BK19"/>
  <c r="W11"/>
  <c r="BI19"/>
  <c r="AO10"/>
  <c r="CA18"/>
  <c r="AM10"/>
  <c r="BY18"/>
  <c r="AK10"/>
  <c r="BW18"/>
  <c r="AI10"/>
  <c r="BU18"/>
  <c r="AG10"/>
  <c r="BS18"/>
  <c r="AE10"/>
  <c r="BQ18"/>
  <c r="AC10"/>
  <c r="BO18"/>
  <c r="AA10"/>
  <c r="BM18"/>
  <c r="Y10"/>
  <c r="BK18"/>
  <c r="W10"/>
  <c r="BI18"/>
  <c r="AO9"/>
  <c r="CA17"/>
  <c r="AM9"/>
  <c r="BY17"/>
  <c r="AK9"/>
  <c r="BW17"/>
  <c r="AI9"/>
  <c r="BU17"/>
  <c r="AG9"/>
  <c r="BS17"/>
  <c r="AE9"/>
  <c r="BQ17"/>
  <c r="AC9"/>
  <c r="BO17"/>
  <c r="AA9"/>
  <c r="BM17"/>
  <c r="Y9"/>
  <c r="BK17"/>
  <c r="W9"/>
  <c r="BI17"/>
  <c r="AO8"/>
  <c r="CA16"/>
  <c r="AM8"/>
  <c r="BY16"/>
  <c r="AK8"/>
  <c r="BW16"/>
  <c r="AI8"/>
  <c r="BU16"/>
  <c r="AG8"/>
  <c r="BS16"/>
  <c r="AE8"/>
  <c r="BQ16"/>
  <c r="AC8"/>
  <c r="BO16"/>
  <c r="AA8"/>
  <c r="BM16"/>
  <c r="Y8"/>
  <c r="BK16"/>
  <c r="W8"/>
  <c r="BI16"/>
  <c r="AO7"/>
  <c r="CA15"/>
  <c r="AM7"/>
  <c r="BY15"/>
  <c r="AK7"/>
  <c r="BW15"/>
  <c r="AI7"/>
  <c r="BU15"/>
  <c r="AG7"/>
  <c r="BS15"/>
  <c r="AE7"/>
  <c r="BQ15"/>
  <c r="AC7"/>
  <c r="BO15"/>
  <c r="AA7"/>
  <c r="BM15"/>
  <c r="Y7"/>
  <c r="BK15"/>
  <c r="W7"/>
  <c r="BI15"/>
  <c r="AO6"/>
  <c r="CA14"/>
  <c r="AM6"/>
  <c r="BY14"/>
  <c r="AK6"/>
  <c r="BW14"/>
  <c r="AI6"/>
  <c r="BU14"/>
  <c r="AG6"/>
  <c r="BS14"/>
  <c r="AE6"/>
  <c r="BQ14"/>
  <c r="AC6"/>
  <c r="BO14"/>
  <c r="AA6"/>
  <c r="BM14"/>
  <c r="Y6"/>
  <c r="BK14"/>
  <c r="W6"/>
  <c r="BI14"/>
  <c r="AP21"/>
  <c r="CB29"/>
  <c r="AN21"/>
  <c r="BZ29"/>
  <c r="AL21"/>
  <c r="BX29"/>
  <c r="AJ21"/>
  <c r="BV29"/>
  <c r="AH21"/>
  <c r="BT29"/>
  <c r="AF21"/>
  <c r="BR29"/>
  <c r="AD21"/>
  <c r="BP29"/>
  <c r="AB21"/>
  <c r="BN29"/>
  <c r="Z21"/>
  <c r="BL29"/>
  <c r="X21"/>
  <c r="BJ29"/>
  <c r="AP20"/>
  <c r="AN20"/>
  <c r="AL20"/>
  <c r="AJ20"/>
  <c r="AH20"/>
  <c r="AF20"/>
  <c r="AD20"/>
  <c r="AB20"/>
  <c r="Z20"/>
  <c r="X20"/>
  <c r="AP19"/>
  <c r="CB28"/>
  <c r="AN19"/>
  <c r="BZ28"/>
  <c r="AL19"/>
  <c r="BX28"/>
  <c r="AJ19"/>
  <c r="BV28"/>
  <c r="AH19"/>
  <c r="BT28"/>
  <c r="AF19"/>
  <c r="BR28"/>
  <c r="AD19"/>
  <c r="BP28"/>
  <c r="AB19"/>
  <c r="BN28"/>
  <c r="Z19"/>
  <c r="BL28"/>
  <c r="X19"/>
  <c r="BJ28"/>
  <c r="AP18"/>
  <c r="CB27"/>
  <c r="AN18"/>
  <c r="BZ27"/>
  <c r="AL18"/>
  <c r="BX27"/>
  <c r="AJ18"/>
  <c r="BV27"/>
  <c r="AH18"/>
  <c r="BT27"/>
  <c r="AF18"/>
  <c r="BR27"/>
  <c r="AD18"/>
  <c r="BP27"/>
  <c r="AB18"/>
  <c r="BN27"/>
  <c r="Z18"/>
  <c r="BL27"/>
  <c r="X18"/>
  <c r="BJ27"/>
  <c r="AP17"/>
  <c r="CB26"/>
  <c r="AN17"/>
  <c r="BZ26"/>
  <c r="AL17"/>
  <c r="BX26"/>
  <c r="AJ17"/>
  <c r="BV26"/>
  <c r="AH17"/>
  <c r="BT26"/>
  <c r="AF17"/>
  <c r="BR26"/>
  <c r="AD17"/>
  <c r="BP26"/>
  <c r="AB17"/>
  <c r="BN26"/>
  <c r="Z17"/>
  <c r="BL26"/>
  <c r="X17"/>
  <c r="BJ26"/>
  <c r="AP16"/>
  <c r="CB25"/>
  <c r="AN16"/>
  <c r="BZ25"/>
  <c r="AL16"/>
  <c r="BX25"/>
  <c r="AJ16"/>
  <c r="BV25"/>
  <c r="AH16"/>
  <c r="BT25"/>
  <c r="AF16"/>
  <c r="BR25"/>
  <c r="AD16"/>
  <c r="BP25"/>
  <c r="AB16"/>
  <c r="BN25"/>
  <c r="Z16"/>
  <c r="BL25"/>
  <c r="X16"/>
  <c r="BJ25"/>
  <c r="AP15"/>
  <c r="CB24"/>
  <c r="AN15"/>
  <c r="BZ24"/>
  <c r="AL15"/>
  <c r="BX24"/>
  <c r="AJ15"/>
  <c r="BV24"/>
  <c r="AH15"/>
  <c r="BT24"/>
  <c r="AF15"/>
  <c r="BR24"/>
  <c r="AD15"/>
  <c r="BP24"/>
  <c r="AB15"/>
  <c r="BN24"/>
  <c r="Z15"/>
  <c r="BL24"/>
  <c r="X15"/>
  <c r="BJ24"/>
  <c r="AP14"/>
  <c r="CB23"/>
  <c r="AN14"/>
  <c r="BZ23"/>
  <c r="AL14"/>
  <c r="BX23"/>
  <c r="AJ14"/>
  <c r="BV23"/>
  <c r="AH14"/>
  <c r="BT23"/>
  <c r="AF14"/>
  <c r="BR23"/>
  <c r="AD14"/>
  <c r="BP23"/>
  <c r="AB14"/>
  <c r="BN23"/>
  <c r="Z14"/>
  <c r="BL23"/>
  <c r="X14"/>
  <c r="BJ23"/>
  <c r="AP13"/>
  <c r="CB22"/>
  <c r="AN13"/>
  <c r="BZ22"/>
  <c r="AL13"/>
  <c r="BX22"/>
  <c r="AJ13"/>
  <c r="BV22"/>
  <c r="AH13"/>
  <c r="BT22"/>
  <c r="AF13"/>
  <c r="BR22"/>
  <c r="AD13"/>
  <c r="BP22"/>
  <c r="AB13"/>
  <c r="BN22"/>
  <c r="Z13"/>
  <c r="BL22"/>
  <c r="X13"/>
  <c r="BJ22"/>
  <c r="AP12"/>
  <c r="AN12"/>
  <c r="AL12"/>
  <c r="AJ12"/>
  <c r="AH12"/>
  <c r="AF12"/>
  <c r="AD12"/>
  <c r="AB12"/>
  <c r="Z12"/>
  <c r="X12"/>
  <c r="AP11"/>
  <c r="CB19"/>
  <c r="AN11"/>
  <c r="BZ19"/>
  <c r="AL11"/>
  <c r="BX19"/>
  <c r="AJ11"/>
  <c r="BV19"/>
  <c r="AH11"/>
  <c r="BT19"/>
  <c r="AF11"/>
  <c r="BR19"/>
  <c r="AD11"/>
  <c r="BP19"/>
  <c r="AB11"/>
  <c r="BN19"/>
  <c r="Z11"/>
  <c r="BL19"/>
  <c r="X11"/>
  <c r="BJ19"/>
  <c r="AP10"/>
  <c r="CB18"/>
  <c r="AN10"/>
  <c r="BZ18"/>
  <c r="AL10"/>
  <c r="BX18"/>
  <c r="AJ10"/>
  <c r="BV18"/>
  <c r="AH10"/>
  <c r="BT18"/>
  <c r="AF10"/>
  <c r="BR18"/>
  <c r="AD10"/>
  <c r="BP18"/>
  <c r="AB10"/>
  <c r="BN18"/>
  <c r="Z10"/>
  <c r="BL18"/>
  <c r="X10"/>
  <c r="BJ18"/>
  <c r="AP9"/>
  <c r="CB17"/>
  <c r="AN9"/>
  <c r="BZ17"/>
  <c r="AL9"/>
  <c r="BX17"/>
  <c r="AJ9"/>
  <c r="BV17"/>
  <c r="AH9"/>
  <c r="BT17"/>
  <c r="AF9"/>
  <c r="BR17"/>
  <c r="AD9"/>
  <c r="BP17"/>
  <c r="AB9"/>
  <c r="BN17"/>
  <c r="Z9"/>
  <c r="BL17"/>
  <c r="X9"/>
  <c r="BJ17"/>
  <c r="AP8"/>
  <c r="CB16"/>
  <c r="AN8"/>
  <c r="BZ16"/>
  <c r="AL8"/>
  <c r="BX16"/>
  <c r="AJ8"/>
  <c r="BV16"/>
  <c r="AH8"/>
  <c r="BT16"/>
  <c r="AF8"/>
  <c r="BR16"/>
  <c r="AD8"/>
  <c r="BP16"/>
  <c r="AB8"/>
  <c r="BN16"/>
  <c r="Z8"/>
  <c r="BL16"/>
  <c r="X8"/>
  <c r="BJ16"/>
  <c r="AP7"/>
  <c r="CB15"/>
  <c r="AN7"/>
  <c r="BZ15"/>
  <c r="AL7"/>
  <c r="BX15"/>
  <c r="AJ7"/>
  <c r="BV15"/>
  <c r="AH7"/>
  <c r="BT15"/>
  <c r="AF7"/>
  <c r="BR15"/>
  <c r="AD7"/>
  <c r="BP15"/>
  <c r="AB7"/>
  <c r="BN15"/>
  <c r="Z7"/>
  <c r="BL15"/>
  <c r="X7"/>
  <c r="BJ15"/>
  <c r="AP6"/>
  <c r="CB14"/>
  <c r="AN6"/>
  <c r="BZ14"/>
  <c r="AL6"/>
  <c r="BX14"/>
  <c r="AJ6"/>
  <c r="BV14"/>
  <c r="AH6"/>
  <c r="BT14"/>
  <c r="AF6"/>
  <c r="BR14"/>
  <c r="AD6"/>
  <c r="BP14"/>
  <c r="AB6"/>
  <c r="BN14"/>
  <c r="Z6"/>
  <c r="BL14"/>
  <c r="X6"/>
  <c r="BJ14"/>
  <c r="AF13" i="8"/>
  <c r="BW21" s="1"/>
  <c r="AC12"/>
  <c r="BT20" s="1"/>
  <c r="AA12"/>
  <c r="BR20"/>
  <c r="Y12"/>
  <c r="BP20"/>
  <c r="AM11"/>
  <c r="CD19" s="1"/>
  <c r="AK11"/>
  <c r="CB19" s="1"/>
  <c r="AJ11"/>
  <c r="CA19" s="1"/>
  <c r="AI11"/>
  <c r="BZ19" s="1"/>
  <c r="AH11"/>
  <c r="BY19" s="1"/>
  <c r="AG11"/>
  <c r="BX19" s="1"/>
  <c r="AF11"/>
  <c r="BW19" s="1"/>
  <c r="AE11"/>
  <c r="BV19" s="1"/>
  <c r="AD11"/>
  <c r="BU19" s="1"/>
  <c r="AB11"/>
  <c r="BS19"/>
  <c r="Z11"/>
  <c r="BQ19"/>
  <c r="X11"/>
  <c r="BO19"/>
  <c r="AL10"/>
  <c r="CC18" s="1"/>
  <c r="AC10"/>
  <c r="BT18"/>
  <c r="AA10"/>
  <c r="BR18"/>
  <c r="Y10"/>
  <c r="BP18"/>
  <c r="AM9"/>
  <c r="CD17" s="1"/>
  <c r="AK9"/>
  <c r="CB17" s="1"/>
  <c r="AJ9"/>
  <c r="CA17" s="1"/>
  <c r="AI9"/>
  <c r="BZ17" s="1"/>
  <c r="AH9"/>
  <c r="BY17" s="1"/>
  <c r="AG9"/>
  <c r="BX17" s="1"/>
  <c r="AF9"/>
  <c r="BW17" s="1"/>
  <c r="AE9"/>
  <c r="BV17" s="1"/>
  <c r="AD9"/>
  <c r="BU17"/>
  <c r="AB9"/>
  <c r="BS17"/>
  <c r="Z9"/>
  <c r="BQ17"/>
  <c r="X9"/>
  <c r="BO17"/>
  <c r="AL8"/>
  <c r="CC16" s="1"/>
  <c r="AJ8"/>
  <c r="CA16" s="1"/>
  <c r="AH8"/>
  <c r="BY16" s="1"/>
  <c r="AF8"/>
  <c r="BW16" s="1"/>
  <c r="X6"/>
  <c r="BO14"/>
  <c r="AL6"/>
  <c r="CC14" s="1"/>
  <c r="AJ6"/>
  <c r="CA14" s="1"/>
  <c r="AH6"/>
  <c r="BY14" s="1"/>
  <c r="AF6"/>
  <c r="BW14" s="1"/>
  <c r="AD6"/>
  <c r="BU14"/>
  <c r="AB6"/>
  <c r="BS14"/>
  <c r="Z6"/>
  <c r="BQ14"/>
  <c r="AM20"/>
  <c r="CD28" s="1"/>
  <c r="AK20"/>
  <c r="CB28" s="1"/>
  <c r="AI20"/>
  <c r="BZ28" s="1"/>
  <c r="AG20"/>
  <c r="BX28" s="1"/>
  <c r="AE20"/>
  <c r="BV28" s="1"/>
  <c r="AC20"/>
  <c r="BT28"/>
  <c r="AA20"/>
  <c r="BR28"/>
  <c r="Y20"/>
  <c r="BP28"/>
  <c r="W19"/>
  <c r="BN27"/>
  <c r="W17"/>
  <c r="BN25"/>
  <c r="W20"/>
  <c r="BN28"/>
  <c r="AN19"/>
  <c r="CE27" s="1"/>
  <c r="AN17"/>
  <c r="CE25" s="1"/>
  <c r="AN15"/>
  <c r="CE23" s="1"/>
  <c r="AN13"/>
  <c r="CE21" s="1"/>
  <c r="AN11"/>
  <c r="CE19" s="1"/>
  <c r="AN9"/>
  <c r="CE17" s="1"/>
  <c r="Y19" i="23"/>
  <c r="BN27"/>
  <c r="AM18"/>
  <c r="CB26"/>
  <c r="AM17"/>
  <c r="CB25"/>
  <c r="AJ17"/>
  <c r="BY25"/>
  <c r="AI17"/>
  <c r="BX25"/>
  <c r="AH17"/>
  <c r="BW25"/>
  <c r="AG17"/>
  <c r="BV25"/>
  <c r="AF17"/>
  <c r="BU25"/>
  <c r="AE17"/>
  <c r="BT25"/>
  <c r="AD17"/>
  <c r="BS25"/>
  <c r="AC17"/>
  <c r="BR25"/>
  <c r="Z17"/>
  <c r="BO25"/>
  <c r="AC16"/>
  <c r="BR24"/>
  <c r="AM13"/>
  <c r="CB21"/>
  <c r="AF13"/>
  <c r="BU21"/>
  <c r="AM11"/>
  <c r="CB19"/>
  <c r="AF11"/>
  <c r="BU19"/>
  <c r="AM9"/>
  <c r="CB17"/>
  <c r="AJ9"/>
  <c r="BY17"/>
  <c r="AH9"/>
  <c r="BW17"/>
  <c r="AF9"/>
  <c r="BU17"/>
  <c r="X6"/>
  <c r="BM14"/>
  <c r="AN7"/>
  <c r="CC15"/>
  <c r="AB20"/>
  <c r="BQ28"/>
  <c r="Z20"/>
  <c r="BO28"/>
  <c r="X20"/>
  <c r="BM28"/>
  <c r="W6"/>
  <c r="BL14"/>
  <c r="AM20" i="26"/>
  <c r="AK20"/>
  <c r="AI20"/>
  <c r="AG20"/>
  <c r="AE20"/>
  <c r="AC20"/>
  <c r="AA20"/>
  <c r="Y20"/>
  <c r="W20"/>
  <c r="AN19"/>
  <c r="BY28"/>
  <c r="AL19"/>
  <c r="BW28"/>
  <c r="AJ19"/>
  <c r="BU28"/>
  <c r="AH19"/>
  <c r="BS28"/>
  <c r="AF19"/>
  <c r="BQ28"/>
  <c r="AD19"/>
  <c r="BO28"/>
  <c r="AB19"/>
  <c r="BM28"/>
  <c r="Z19"/>
  <c r="BK28"/>
  <c r="X19"/>
  <c r="BI28"/>
  <c r="AM18"/>
  <c r="BX27"/>
  <c r="AK18"/>
  <c r="BV27"/>
  <c r="AI18"/>
  <c r="BT27"/>
  <c r="AG18"/>
  <c r="BR27"/>
  <c r="AE18"/>
  <c r="BP27"/>
  <c r="AC18"/>
  <c r="BN27"/>
  <c r="AA18"/>
  <c r="BL27"/>
  <c r="Y18"/>
  <c r="BJ27"/>
  <c r="W18"/>
  <c r="BH27"/>
  <c r="AN17"/>
  <c r="BY26"/>
  <c r="AL17"/>
  <c r="BW26"/>
  <c r="AJ17"/>
  <c r="BU26"/>
  <c r="AH17"/>
  <c r="BS26"/>
  <c r="AF17"/>
  <c r="BQ26"/>
  <c r="AD17"/>
  <c r="BO26"/>
  <c r="AB17"/>
  <c r="BM26"/>
  <c r="Z17"/>
  <c r="BK26"/>
  <c r="X17"/>
  <c r="BI26"/>
  <c r="AM16"/>
  <c r="BX25"/>
  <c r="AK16"/>
  <c r="BV25"/>
  <c r="AI16"/>
  <c r="BT25"/>
  <c r="AG16"/>
  <c r="BR25"/>
  <c r="AE16"/>
  <c r="BP25"/>
  <c r="AC16"/>
  <c r="BN25"/>
  <c r="AA16"/>
  <c r="BL25"/>
  <c r="Y16"/>
  <c r="BJ25"/>
  <c r="W16"/>
  <c r="BH25"/>
  <c r="AN15"/>
  <c r="BY24"/>
  <c r="AL15"/>
  <c r="BW24"/>
  <c r="AJ15"/>
  <c r="BU24"/>
  <c r="AH15"/>
  <c r="BS24"/>
  <c r="AF15"/>
  <c r="BQ24"/>
  <c r="AD15"/>
  <c r="BO24"/>
  <c r="AB15"/>
  <c r="BM24"/>
  <c r="Z15"/>
  <c r="BK24"/>
  <c r="X15"/>
  <c r="BI24"/>
  <c r="AN13"/>
  <c r="BY22"/>
  <c r="AL13"/>
  <c r="BW22"/>
  <c r="AJ13"/>
  <c r="BU22"/>
  <c r="AH13"/>
  <c r="BS22"/>
  <c r="AF13"/>
  <c r="BQ22"/>
  <c r="AD13"/>
  <c r="BO22"/>
  <c r="AB13"/>
  <c r="BM22"/>
  <c r="Z13"/>
  <c r="BK22"/>
  <c r="X13"/>
  <c r="BI22"/>
  <c r="AN11"/>
  <c r="BY19"/>
  <c r="AO19"/>
  <c r="BZ28"/>
  <c r="AO21"/>
  <c r="BZ29"/>
  <c r="AI21"/>
  <c r="BT29"/>
  <c r="AG21"/>
  <c r="BR29"/>
  <c r="AE21"/>
  <c r="BP29"/>
  <c r="AC21"/>
  <c r="BN29"/>
  <c r="AA21"/>
  <c r="BL29"/>
  <c r="Y21"/>
  <c r="BJ29"/>
  <c r="W21"/>
  <c r="BH29"/>
  <c r="AN20"/>
  <c r="AL20"/>
  <c r="AJ20"/>
  <c r="AH20"/>
  <c r="AF20"/>
  <c r="AD20"/>
  <c r="AB20"/>
  <c r="Z20"/>
  <c r="X20"/>
  <c r="AM19"/>
  <c r="BX28"/>
  <c r="AK19"/>
  <c r="BV28"/>
  <c r="AI19"/>
  <c r="BT28"/>
  <c r="AG19"/>
  <c r="BR28"/>
  <c r="AE19"/>
  <c r="BP28"/>
  <c r="AC19"/>
  <c r="BN28"/>
  <c r="AA19"/>
  <c r="BL28"/>
  <c r="Y19"/>
  <c r="BJ28"/>
  <c r="AM14"/>
  <c r="BX23"/>
  <c r="AK14"/>
  <c r="BV23"/>
  <c r="AI14"/>
  <c r="BT23"/>
  <c r="AG14"/>
  <c r="BR23"/>
  <c r="AE14"/>
  <c r="BP23"/>
  <c r="AC14"/>
  <c r="BN23"/>
  <c r="AA14"/>
  <c r="BL23"/>
  <c r="Y14"/>
  <c r="BJ23"/>
  <c r="W14"/>
  <c r="BH23"/>
  <c r="AM12"/>
  <c r="AK12"/>
  <c r="AI12"/>
  <c r="AG12"/>
  <c r="AE12"/>
  <c r="AC12"/>
  <c r="AA12"/>
  <c r="Y12"/>
  <c r="W12"/>
  <c r="AO20"/>
  <c r="AO18"/>
  <c r="BZ27"/>
  <c r="AO16"/>
  <c r="BZ25"/>
  <c r="AO14"/>
  <c r="BZ23"/>
  <c r="AO12"/>
  <c r="AK21"/>
  <c r="BV29"/>
  <c r="AM21"/>
  <c r="BX29"/>
  <c r="BZ20"/>
  <c r="BZ21"/>
  <c r="BJ20"/>
  <c r="BJ21"/>
  <c r="BN20"/>
  <c r="BN21"/>
  <c r="BR20"/>
  <c r="BR21"/>
  <c r="BV20"/>
  <c r="BV21"/>
  <c r="BL20" i="24"/>
  <c r="BL21"/>
  <c r="BP20"/>
  <c r="BP21"/>
  <c r="BT20"/>
  <c r="BT21"/>
  <c r="BX20"/>
  <c r="BX21"/>
  <c r="CB20"/>
  <c r="CB21"/>
  <c r="BK20"/>
  <c r="BK21"/>
  <c r="BO20"/>
  <c r="BO21"/>
  <c r="BS20"/>
  <c r="BS21"/>
  <c r="BW20"/>
  <c r="BW21"/>
  <c r="CA20"/>
  <c r="CA21"/>
  <c r="BH20" i="26"/>
  <c r="BH21"/>
  <c r="BL20"/>
  <c r="BL21"/>
  <c r="BP20"/>
  <c r="BP21"/>
  <c r="BT20"/>
  <c r="BT21"/>
  <c r="BX20"/>
  <c r="BX21"/>
  <c r="BJ20" i="24"/>
  <c r="BJ21"/>
  <c r="BN20"/>
  <c r="BN21"/>
  <c r="BR20"/>
  <c r="BR21"/>
  <c r="BV20"/>
  <c r="BV21"/>
  <c r="BZ20"/>
  <c r="BZ21"/>
  <c r="BI20"/>
  <c r="BI21"/>
  <c r="BM20"/>
  <c r="BM21"/>
  <c r="BQ20"/>
  <c r="BQ21"/>
  <c r="BU20"/>
  <c r="BU21"/>
  <c r="BY20"/>
  <c r="BY21"/>
  <c r="AZ6" i="28" l="1"/>
  <c r="DD14" s="1"/>
  <c r="AX6"/>
  <c r="DB14" s="1"/>
  <c r="AV6"/>
  <c r="CZ14" s="1"/>
  <c r="AT6"/>
  <c r="CX14" s="1"/>
  <c r="AR6"/>
  <c r="CV14" s="1"/>
  <c r="AP6"/>
  <c r="CT14" s="1"/>
  <c r="AN6"/>
  <c r="CR14" s="1"/>
  <c r="AL6"/>
  <c r="CP14" s="1"/>
  <c r="AJ6"/>
  <c r="CN14" s="1"/>
  <c r="AH6"/>
  <c r="CL14" s="1"/>
  <c r="AF6"/>
  <c r="CJ14" s="1"/>
  <c r="AD6"/>
  <c r="CH14" s="1"/>
  <c r="AB6"/>
  <c r="CF14" s="1"/>
  <c r="Z6"/>
  <c r="CD14" s="1"/>
  <c r="X6"/>
  <c r="CB14" s="1"/>
  <c r="Z20"/>
  <c r="CD28" s="1"/>
  <c r="X20"/>
  <c r="CB28" s="1"/>
  <c r="AA19"/>
  <c r="CE27" s="1"/>
  <c r="Y19"/>
  <c r="CC27" s="1"/>
  <c r="W19"/>
  <c r="CA27" s="1"/>
  <c r="Z18"/>
  <c r="CD26" s="1"/>
  <c r="X18"/>
  <c r="CB26" s="1"/>
  <c r="AA17"/>
  <c r="CE25" s="1"/>
  <c r="Y17"/>
  <c r="CC25" s="1"/>
  <c r="W17"/>
  <c r="CA25" s="1"/>
  <c r="Z16"/>
  <c r="CD24" s="1"/>
  <c r="X16"/>
  <c r="CB24" s="1"/>
  <c r="AA15"/>
  <c r="CE23" s="1"/>
  <c r="Y15"/>
  <c r="CC23" s="1"/>
  <c r="W15"/>
  <c r="CA23" s="1"/>
  <c r="AA14"/>
  <c r="CE22" s="1"/>
  <c r="Y14"/>
  <c r="CC22" s="1"/>
  <c r="W14"/>
  <c r="CA22" s="1"/>
  <c r="AC13"/>
  <c r="CG21" s="1"/>
  <c r="AA13"/>
  <c r="CE21" s="1"/>
  <c r="Y13"/>
  <c r="CC21" s="1"/>
  <c r="W13"/>
  <c r="CA21" s="1"/>
  <c r="AC12"/>
  <c r="CG20" s="1"/>
  <c r="AA12"/>
  <c r="CE20" s="1"/>
  <c r="Y12"/>
  <c r="CC20" s="1"/>
  <c r="W12"/>
  <c r="CA20" s="1"/>
  <c r="AC11"/>
  <c r="CG19" s="1"/>
  <c r="AA11"/>
  <c r="CE19" s="1"/>
  <c r="Y11"/>
  <c r="CC19" s="1"/>
  <c r="W11"/>
  <c r="CA19" s="1"/>
  <c r="AC10"/>
  <c r="CG18" s="1"/>
  <c r="AA10"/>
  <c r="CE18" s="1"/>
  <c r="Y10"/>
  <c r="CC18" s="1"/>
  <c r="W10"/>
  <c r="CA18" s="1"/>
  <c r="AC9"/>
  <c r="CG17" s="1"/>
  <c r="AA9"/>
  <c r="CE17" s="1"/>
  <c r="Y9"/>
  <c r="CC17" s="1"/>
  <c r="W9"/>
  <c r="CA17" s="1"/>
  <c r="AC8"/>
  <c r="CG16" s="1"/>
  <c r="AA8"/>
  <c r="CE16" s="1"/>
  <c r="Y8"/>
  <c r="CC16" s="1"/>
  <c r="W8"/>
  <c r="AC7"/>
  <c r="CG15" s="1"/>
  <c r="AA7"/>
  <c r="CE15" s="1"/>
  <c r="Y7"/>
  <c r="CC15" s="1"/>
  <c r="W7"/>
  <c r="CA15" s="1"/>
  <c r="Z30"/>
  <c r="CD38" s="1"/>
  <c r="X30"/>
  <c r="CB38" s="1"/>
  <c r="AA29"/>
  <c r="CE37" s="1"/>
  <c r="Y29"/>
  <c r="CC37" s="1"/>
  <c r="W29"/>
  <c r="CA37" s="1"/>
  <c r="Z28"/>
  <c r="CD36" s="1"/>
  <c r="X28"/>
  <c r="CB36" s="1"/>
  <c r="AA27"/>
  <c r="CE35" s="1"/>
  <c r="Y27"/>
  <c r="CC35" s="1"/>
  <c r="W27"/>
  <c r="CA35" s="1"/>
  <c r="Z26"/>
  <c r="CD34" s="1"/>
  <c r="X26"/>
  <c r="CB34" s="1"/>
  <c r="AA25"/>
  <c r="CE33" s="1"/>
  <c r="Y25"/>
  <c r="CC33" s="1"/>
  <c r="W25"/>
  <c r="CA33" s="1"/>
  <c r="Z24"/>
  <c r="CD32" s="1"/>
  <c r="X24"/>
  <c r="CB32" s="1"/>
  <c r="AA23"/>
  <c r="CE31" s="1"/>
  <c r="Y23"/>
  <c r="CC31" s="1"/>
  <c r="W23"/>
  <c r="CA31" s="1"/>
  <c r="Z22"/>
  <c r="CD30" s="1"/>
  <c r="X22"/>
  <c r="CB30" s="1"/>
  <c r="AA21"/>
  <c r="CE29" s="1"/>
  <c r="Y21"/>
  <c r="CC29" s="1"/>
  <c r="W21"/>
  <c r="AY6"/>
  <c r="DC14" s="1"/>
  <c r="AW6"/>
  <c r="DA14" s="1"/>
  <c r="AU6"/>
  <c r="CY14" s="1"/>
  <c r="AS6"/>
  <c r="CW14" s="1"/>
  <c r="AQ6"/>
  <c r="CU14" s="1"/>
  <c r="AO6"/>
  <c r="CS14" s="1"/>
  <c r="AM6"/>
  <c r="CQ14" s="1"/>
  <c r="AK6"/>
  <c r="CO14" s="1"/>
  <c r="AI6"/>
  <c r="CM14" s="1"/>
  <c r="AG6"/>
  <c r="CK14" s="1"/>
  <c r="AE6"/>
  <c r="CI14" s="1"/>
  <c r="AC6"/>
  <c r="CG14" s="1"/>
  <c r="AA6"/>
  <c r="CE14" s="1"/>
  <c r="Y6"/>
  <c r="CC14" s="1"/>
  <c r="AA20"/>
  <c r="CE28" s="1"/>
  <c r="Y20"/>
  <c r="CC28" s="1"/>
  <c r="W20"/>
  <c r="CA28" s="1"/>
  <c r="Z19"/>
  <c r="CD27" s="1"/>
  <c r="X19"/>
  <c r="CB27" s="1"/>
  <c r="AA18"/>
  <c r="CE26" s="1"/>
  <c r="Y18"/>
  <c r="CC26" s="1"/>
  <c r="W18"/>
  <c r="CA26" s="1"/>
  <c r="Z17"/>
  <c r="CD25" s="1"/>
  <c r="X17"/>
  <c r="CB25" s="1"/>
  <c r="AA16"/>
  <c r="CE24" s="1"/>
  <c r="Y16"/>
  <c r="CC24" s="1"/>
  <c r="W16"/>
  <c r="CA24" s="1"/>
  <c r="Z15"/>
  <c r="CD23" s="1"/>
  <c r="X15"/>
  <c r="CB23" s="1"/>
  <c r="AB14"/>
  <c r="CF22" s="1"/>
  <c r="Z14"/>
  <c r="CD22" s="1"/>
  <c r="X14"/>
  <c r="CB22" s="1"/>
  <c r="AD13"/>
  <c r="CH21" s="1"/>
  <c r="AB13"/>
  <c r="CF21" s="1"/>
  <c r="Z13"/>
  <c r="CD21" s="1"/>
  <c r="X13"/>
  <c r="CB21" s="1"/>
  <c r="AD12"/>
  <c r="CH20" s="1"/>
  <c r="AB12"/>
  <c r="CF20" s="1"/>
  <c r="Z12"/>
  <c r="CD20" s="1"/>
  <c r="X12"/>
  <c r="CB20" s="1"/>
  <c r="AD11"/>
  <c r="CH19" s="1"/>
  <c r="AB11"/>
  <c r="CF19" s="1"/>
  <c r="Z11"/>
  <c r="CD19" s="1"/>
  <c r="X11"/>
  <c r="CB19" s="1"/>
  <c r="AD10"/>
  <c r="CH18" s="1"/>
  <c r="AB10"/>
  <c r="CF18" s="1"/>
  <c r="Z10"/>
  <c r="CD18" s="1"/>
  <c r="X10"/>
  <c r="CB18" s="1"/>
  <c r="AD9"/>
  <c r="CH17" s="1"/>
  <c r="AB9"/>
  <c r="CF17" s="1"/>
  <c r="Z9"/>
  <c r="CD17" s="1"/>
  <c r="X9"/>
  <c r="CB17" s="1"/>
  <c r="AD8"/>
  <c r="CH16" s="1"/>
  <c r="AB8"/>
  <c r="CF16" s="1"/>
  <c r="Z8"/>
  <c r="CD16" s="1"/>
  <c r="X8"/>
  <c r="CB16" s="1"/>
  <c r="AD7"/>
  <c r="CH15" s="1"/>
  <c r="AB7"/>
  <c r="CF15" s="1"/>
  <c r="Z7"/>
  <c r="CD15" s="1"/>
  <c r="X7"/>
  <c r="CB15" s="1"/>
  <c r="AA30"/>
  <c r="CE38" s="1"/>
  <c r="Y30"/>
  <c r="CC38" s="1"/>
  <c r="W30"/>
  <c r="CA38" s="1"/>
  <c r="Z29"/>
  <c r="CD37" s="1"/>
  <c r="X29"/>
  <c r="CB37" s="1"/>
  <c r="AA28"/>
  <c r="CE36" s="1"/>
  <c r="Y28"/>
  <c r="CC36" s="1"/>
  <c r="W28"/>
  <c r="CA36" s="1"/>
  <c r="Z27"/>
  <c r="CD35" s="1"/>
  <c r="X27"/>
  <c r="CB35" s="1"/>
  <c r="AA26"/>
  <c r="CE34" s="1"/>
  <c r="Y26"/>
  <c r="CC34" s="1"/>
  <c r="W26"/>
  <c r="CA34" s="1"/>
  <c r="Z25"/>
  <c r="CD33" s="1"/>
  <c r="X25"/>
  <c r="CB33" s="1"/>
  <c r="AA24"/>
  <c r="CE32" s="1"/>
  <c r="Y24"/>
  <c r="CC32" s="1"/>
  <c r="W24"/>
  <c r="CA32" s="1"/>
  <c r="Z23"/>
  <c r="CD31" s="1"/>
  <c r="X23"/>
  <c r="CB31" s="1"/>
  <c r="AA22"/>
  <c r="CE30" s="1"/>
  <c r="Y22"/>
  <c r="CC30" s="1"/>
  <c r="W22"/>
  <c r="CA30" s="1"/>
  <c r="Z21"/>
  <c r="CD29" s="1"/>
  <c r="AY20"/>
  <c r="DC28" s="1"/>
  <c r="AW20"/>
  <c r="DA28" s="1"/>
  <c r="AU20"/>
  <c r="CY28" s="1"/>
  <c r="AS20"/>
  <c r="CW28" s="1"/>
  <c r="AQ20"/>
  <c r="CU28" s="1"/>
  <c r="AO20"/>
  <c r="CS28" s="1"/>
  <c r="AM20"/>
  <c r="CQ28" s="1"/>
  <c r="AK20"/>
  <c r="CO28" s="1"/>
  <c r="AI20"/>
  <c r="CM28" s="1"/>
  <c r="AG20"/>
  <c r="CK28" s="1"/>
  <c r="AE20"/>
  <c r="CI28" s="1"/>
  <c r="AC20"/>
  <c r="CG28" s="1"/>
  <c r="AY19"/>
  <c r="DC27" s="1"/>
  <c r="AW19"/>
  <c r="DA27" s="1"/>
  <c r="AU19"/>
  <c r="CY27" s="1"/>
  <c r="AS19"/>
  <c r="AQ19"/>
  <c r="CU27" s="1"/>
  <c r="AO19"/>
  <c r="CS27" s="1"/>
  <c r="AM19"/>
  <c r="CQ27" s="1"/>
  <c r="AK19"/>
  <c r="CO27" s="1"/>
  <c r="AI19"/>
  <c r="CM27" s="1"/>
  <c r="AG19"/>
  <c r="CK27" s="1"/>
  <c r="AE19"/>
  <c r="CI27" s="1"/>
  <c r="AC19"/>
  <c r="CG27" s="1"/>
  <c r="AB21"/>
  <c r="CF29" s="1"/>
  <c r="AD21"/>
  <c r="CH29" s="1"/>
  <c r="AF21"/>
  <c r="CJ29" s="1"/>
  <c r="AH21"/>
  <c r="CL29" s="1"/>
  <c r="AJ21"/>
  <c r="CN29" s="1"/>
  <c r="AL21"/>
  <c r="CP29" s="1"/>
  <c r="AN21"/>
  <c r="CR29" s="1"/>
  <c r="AP21"/>
  <c r="CT29" s="1"/>
  <c r="AR21"/>
  <c r="CV29" s="1"/>
  <c r="AT21"/>
  <c r="CX29" s="1"/>
  <c r="AV21"/>
  <c r="CZ29" s="1"/>
  <c r="AX21"/>
  <c r="AZ21"/>
  <c r="DD29" s="1"/>
  <c r="AB22"/>
  <c r="CF30" s="1"/>
  <c r="AD22"/>
  <c r="CH30" s="1"/>
  <c r="AF22"/>
  <c r="CJ30" s="1"/>
  <c r="AH22"/>
  <c r="CL30" s="1"/>
  <c r="AJ22"/>
  <c r="CN30" s="1"/>
  <c r="AL22"/>
  <c r="CP30" s="1"/>
  <c r="AN22"/>
  <c r="CR30" s="1"/>
  <c r="AP22"/>
  <c r="CT30" s="1"/>
  <c r="AR22"/>
  <c r="CV30" s="1"/>
  <c r="AT22"/>
  <c r="CX30" s="1"/>
  <c r="AV22"/>
  <c r="CZ30" s="1"/>
  <c r="AX22"/>
  <c r="AZ22"/>
  <c r="DD30" s="1"/>
  <c r="AB23"/>
  <c r="CF31" s="1"/>
  <c r="AD23"/>
  <c r="CH31" s="1"/>
  <c r="AF23"/>
  <c r="CJ31" s="1"/>
  <c r="AH23"/>
  <c r="CL31" s="1"/>
  <c r="AJ23"/>
  <c r="CN31" s="1"/>
  <c r="AL23"/>
  <c r="CP31" s="1"/>
  <c r="AN23"/>
  <c r="CR31" s="1"/>
  <c r="AP23"/>
  <c r="CT31" s="1"/>
  <c r="AR23"/>
  <c r="CV31" s="1"/>
  <c r="AT23"/>
  <c r="CX31" s="1"/>
  <c r="AV23"/>
  <c r="CZ31" s="1"/>
  <c r="AX23"/>
  <c r="AZ23"/>
  <c r="DD31" s="1"/>
  <c r="AB24"/>
  <c r="CF32" s="1"/>
  <c r="AD24"/>
  <c r="CH32" s="1"/>
  <c r="AF24"/>
  <c r="CJ32" s="1"/>
  <c r="AH24"/>
  <c r="CL32" s="1"/>
  <c r="AJ24"/>
  <c r="CN32" s="1"/>
  <c r="AL24"/>
  <c r="CP32" s="1"/>
  <c r="AN24"/>
  <c r="CR32" s="1"/>
  <c r="AP24"/>
  <c r="CT32" s="1"/>
  <c r="AR24"/>
  <c r="CV32" s="1"/>
  <c r="AT24"/>
  <c r="CX32" s="1"/>
  <c r="AV24"/>
  <c r="CZ32" s="1"/>
  <c r="AX24"/>
  <c r="AZ24"/>
  <c r="DD32" s="1"/>
  <c r="AB25"/>
  <c r="CF33" s="1"/>
  <c r="AD25"/>
  <c r="CH33" s="1"/>
  <c r="AF25"/>
  <c r="CJ33" s="1"/>
  <c r="AH25"/>
  <c r="CL33" s="1"/>
  <c r="AJ25"/>
  <c r="CN33" s="1"/>
  <c r="AL25"/>
  <c r="CP33" s="1"/>
  <c r="AN25"/>
  <c r="CR33" s="1"/>
  <c r="AP25"/>
  <c r="CT33" s="1"/>
  <c r="AR25"/>
  <c r="CV33" s="1"/>
  <c r="AT25"/>
  <c r="CX33" s="1"/>
  <c r="AV25"/>
  <c r="CZ33" s="1"/>
  <c r="AX25"/>
  <c r="AZ25"/>
  <c r="DD33" s="1"/>
  <c r="AB26"/>
  <c r="CF34" s="1"/>
  <c r="AD26"/>
  <c r="CH34" s="1"/>
  <c r="AF26"/>
  <c r="CJ34" s="1"/>
  <c r="AH26"/>
  <c r="CL34" s="1"/>
  <c r="AJ26"/>
  <c r="CN34" s="1"/>
  <c r="AL26"/>
  <c r="CP34" s="1"/>
  <c r="AN26"/>
  <c r="CR34" s="1"/>
  <c r="AP26"/>
  <c r="CT34" s="1"/>
  <c r="AR26"/>
  <c r="CV34" s="1"/>
  <c r="AT26"/>
  <c r="CX34" s="1"/>
  <c r="AV26"/>
  <c r="CZ34" s="1"/>
  <c r="AX26"/>
  <c r="AZ26"/>
  <c r="DD34" s="1"/>
  <c r="AB27"/>
  <c r="CF35" s="1"/>
  <c r="AD27"/>
  <c r="CH35" s="1"/>
  <c r="AF27"/>
  <c r="CJ35" s="1"/>
  <c r="AH27"/>
  <c r="CL35" s="1"/>
  <c r="AJ27"/>
  <c r="CN35" s="1"/>
  <c r="AL27"/>
  <c r="CP35" s="1"/>
  <c r="AN27"/>
  <c r="CR35" s="1"/>
  <c r="AP27"/>
  <c r="CT35" s="1"/>
  <c r="AR27"/>
  <c r="CV35" s="1"/>
  <c r="AT27"/>
  <c r="CX35" s="1"/>
  <c r="AV27"/>
  <c r="CZ35" s="1"/>
  <c r="AX27"/>
  <c r="AZ27"/>
  <c r="DD35" s="1"/>
  <c r="AB28"/>
  <c r="CF36" s="1"/>
  <c r="AD28"/>
  <c r="CH36" s="1"/>
  <c r="AF28"/>
  <c r="CJ36" s="1"/>
  <c r="AH28"/>
  <c r="CL36" s="1"/>
  <c r="AJ28"/>
  <c r="CN36" s="1"/>
  <c r="AL28"/>
  <c r="CP36" s="1"/>
  <c r="AN28"/>
  <c r="CR36" s="1"/>
  <c r="AP28"/>
  <c r="CT36" s="1"/>
  <c r="AR28"/>
  <c r="CV36" s="1"/>
  <c r="AT28"/>
  <c r="CX36" s="1"/>
  <c r="AV28"/>
  <c r="CZ36" s="1"/>
  <c r="AX28"/>
  <c r="AZ28"/>
  <c r="DD36" s="1"/>
  <c r="AB29"/>
  <c r="CF37" s="1"/>
  <c r="AD29"/>
  <c r="CH37" s="1"/>
  <c r="AF29"/>
  <c r="CJ37" s="1"/>
  <c r="AH29"/>
  <c r="CL37" s="1"/>
  <c r="AJ29"/>
  <c r="CN37" s="1"/>
  <c r="AL29"/>
  <c r="CP37" s="1"/>
  <c r="AN29"/>
  <c r="CR37" s="1"/>
  <c r="AP29"/>
  <c r="CT37" s="1"/>
  <c r="AR29"/>
  <c r="CV37" s="1"/>
  <c r="AT29"/>
  <c r="CX37" s="1"/>
  <c r="AV29"/>
  <c r="CZ37" s="1"/>
  <c r="AX29"/>
  <c r="AZ29"/>
  <c r="DD37" s="1"/>
  <c r="AB30"/>
  <c r="CF38" s="1"/>
  <c r="AD30"/>
  <c r="CH38" s="1"/>
  <c r="AF30"/>
  <c r="CJ38" s="1"/>
  <c r="AH30"/>
  <c r="CL38" s="1"/>
  <c r="AJ30"/>
  <c r="CN38" s="1"/>
  <c r="AL30"/>
  <c r="CP38" s="1"/>
  <c r="AN30"/>
  <c r="CR38" s="1"/>
  <c r="AP30"/>
  <c r="CT38" s="1"/>
  <c r="AR30"/>
  <c r="CV38" s="1"/>
  <c r="AT30"/>
  <c r="CX38" s="1"/>
  <c r="AV30"/>
  <c r="CZ38" s="1"/>
  <c r="AX30"/>
  <c r="AZ30"/>
  <c r="DD38" s="1"/>
  <c r="AF7"/>
  <c r="CJ15" s="1"/>
  <c r="AH7"/>
  <c r="CL15" s="1"/>
  <c r="AJ7"/>
  <c r="CN15" s="1"/>
  <c r="AL7"/>
  <c r="CP15" s="1"/>
  <c r="AN7"/>
  <c r="CR15" s="1"/>
  <c r="AP7"/>
  <c r="CT15" s="1"/>
  <c r="AR7"/>
  <c r="CV15" s="1"/>
  <c r="AT7"/>
  <c r="CX15" s="1"/>
  <c r="AV7"/>
  <c r="CZ15" s="1"/>
  <c r="AX7"/>
  <c r="DB15" s="1"/>
  <c r="AZ7"/>
  <c r="DD15" s="1"/>
  <c r="AF8"/>
  <c r="CJ16" s="1"/>
  <c r="AH8"/>
  <c r="CL16" s="1"/>
  <c r="AJ8"/>
  <c r="CN16" s="1"/>
  <c r="AL8"/>
  <c r="CP16" s="1"/>
  <c r="AN8"/>
  <c r="CR16" s="1"/>
  <c r="AP8"/>
  <c r="CT16" s="1"/>
  <c r="AR8"/>
  <c r="CV16" s="1"/>
  <c r="AT8"/>
  <c r="CX16" s="1"/>
  <c r="AV8"/>
  <c r="CZ16" s="1"/>
  <c r="AX8"/>
  <c r="DB16" s="1"/>
  <c r="AZ8"/>
  <c r="DD16" s="1"/>
  <c r="AF9"/>
  <c r="CJ17" s="1"/>
  <c r="AH9"/>
  <c r="CL17" s="1"/>
  <c r="AJ9"/>
  <c r="CN17" s="1"/>
  <c r="AL9"/>
  <c r="CP17" s="1"/>
  <c r="AN9"/>
  <c r="CR17" s="1"/>
  <c r="AP9"/>
  <c r="CT17" s="1"/>
  <c r="AR9"/>
  <c r="CV17" s="1"/>
  <c r="AT9"/>
  <c r="CX17" s="1"/>
  <c r="AV9"/>
  <c r="CZ17" s="1"/>
  <c r="AX9"/>
  <c r="DB17" s="1"/>
  <c r="AZ9"/>
  <c r="DD17" s="1"/>
  <c r="AF10"/>
  <c r="CJ18" s="1"/>
  <c r="AH10"/>
  <c r="CL18" s="1"/>
  <c r="AJ10"/>
  <c r="CN18" s="1"/>
  <c r="AL10"/>
  <c r="CP18" s="1"/>
  <c r="AN10"/>
  <c r="CR18" s="1"/>
  <c r="AP10"/>
  <c r="CT18" s="1"/>
  <c r="AR10"/>
  <c r="CV18" s="1"/>
  <c r="AT10"/>
  <c r="CX18" s="1"/>
  <c r="AV10"/>
  <c r="CZ18" s="1"/>
  <c r="AX10"/>
  <c r="DB18" s="1"/>
  <c r="AZ10"/>
  <c r="DD18" s="1"/>
  <c r="AF11"/>
  <c r="CJ19" s="1"/>
  <c r="AH11"/>
  <c r="CL19" s="1"/>
  <c r="AJ11"/>
  <c r="CN19" s="1"/>
  <c r="AL11"/>
  <c r="CP19" s="1"/>
  <c r="AN11"/>
  <c r="CR19" s="1"/>
  <c r="AP11"/>
  <c r="CT19" s="1"/>
  <c r="AR11"/>
  <c r="CV19" s="1"/>
  <c r="AT11"/>
  <c r="CX19" s="1"/>
  <c r="AV11"/>
  <c r="CZ19" s="1"/>
  <c r="AX11"/>
  <c r="DB19" s="1"/>
  <c r="AZ11"/>
  <c r="DD19" s="1"/>
  <c r="AF12"/>
  <c r="CJ20" s="1"/>
  <c r="AH12"/>
  <c r="CL20" s="1"/>
  <c r="AJ12"/>
  <c r="CN20" s="1"/>
  <c r="AL12"/>
  <c r="CP20" s="1"/>
  <c r="AN12"/>
  <c r="CR20" s="1"/>
  <c r="AP12"/>
  <c r="CT20" s="1"/>
  <c r="AR12"/>
  <c r="CV20" s="1"/>
  <c r="AT12"/>
  <c r="CX20" s="1"/>
  <c r="AV12"/>
  <c r="CZ20" s="1"/>
  <c r="AX12"/>
  <c r="DB20" s="1"/>
  <c r="AZ12"/>
  <c r="DD20" s="1"/>
  <c r="AF13"/>
  <c r="CJ21" s="1"/>
  <c r="AH13"/>
  <c r="CL21" s="1"/>
  <c r="AJ13"/>
  <c r="CN21" s="1"/>
  <c r="AL13"/>
  <c r="CP21" s="1"/>
  <c r="AN13"/>
  <c r="CR21" s="1"/>
  <c r="AP13"/>
  <c r="CT21" s="1"/>
  <c r="AR13"/>
  <c r="CV21" s="1"/>
  <c r="AT13"/>
  <c r="CX21" s="1"/>
  <c r="AV13"/>
  <c r="CZ21" s="1"/>
  <c r="AX13"/>
  <c r="DB21" s="1"/>
  <c r="AZ13"/>
  <c r="DD21" s="1"/>
  <c r="AD14"/>
  <c r="CH22" s="1"/>
  <c r="AF14"/>
  <c r="CJ22" s="1"/>
  <c r="AH14"/>
  <c r="CL22" s="1"/>
  <c r="AJ14"/>
  <c r="CN22" s="1"/>
  <c r="AL14"/>
  <c r="CP22" s="1"/>
  <c r="AN14"/>
  <c r="CR22" s="1"/>
  <c r="AP14"/>
  <c r="CT22" s="1"/>
  <c r="AR14"/>
  <c r="CV22" s="1"/>
  <c r="AT14"/>
  <c r="CX22" s="1"/>
  <c r="AV14"/>
  <c r="CZ22" s="1"/>
  <c r="AX14"/>
  <c r="DB22" s="1"/>
  <c r="AZ14"/>
  <c r="DD22" s="1"/>
  <c r="AB15"/>
  <c r="CF23" s="1"/>
  <c r="AD15"/>
  <c r="CH23" s="1"/>
  <c r="AF15"/>
  <c r="CJ23" s="1"/>
  <c r="AH15"/>
  <c r="CL23" s="1"/>
  <c r="AJ15"/>
  <c r="CN23" s="1"/>
  <c r="AL15"/>
  <c r="CP23" s="1"/>
  <c r="AN15"/>
  <c r="CR23" s="1"/>
  <c r="AP15"/>
  <c r="CT23" s="1"/>
  <c r="AR15"/>
  <c r="CV23" s="1"/>
  <c r="AT15"/>
  <c r="CX23" s="1"/>
  <c r="AV15"/>
  <c r="CZ23" s="1"/>
  <c r="AX15"/>
  <c r="DB23" s="1"/>
  <c r="AZ15"/>
  <c r="DD23" s="1"/>
  <c r="AB16"/>
  <c r="CF24" s="1"/>
  <c r="AD16"/>
  <c r="CH24" s="1"/>
  <c r="AF16"/>
  <c r="CJ24" s="1"/>
  <c r="AH16"/>
  <c r="CL24" s="1"/>
  <c r="AJ16"/>
  <c r="CN24" s="1"/>
  <c r="AL16"/>
  <c r="CP24" s="1"/>
  <c r="AN16"/>
  <c r="CR24" s="1"/>
  <c r="AP16"/>
  <c r="CT24" s="1"/>
  <c r="AR16"/>
  <c r="CV24" s="1"/>
  <c r="AT16"/>
  <c r="CX24" s="1"/>
  <c r="AV16"/>
  <c r="CZ24" s="1"/>
  <c r="AX16"/>
  <c r="DB24" s="1"/>
  <c r="AZ16"/>
  <c r="DD24" s="1"/>
  <c r="AB17"/>
  <c r="CF25" s="1"/>
  <c r="AD17"/>
  <c r="CH25" s="1"/>
  <c r="AF17"/>
  <c r="CJ25" s="1"/>
  <c r="AH17"/>
  <c r="CL25" s="1"/>
  <c r="AJ17"/>
  <c r="CN25" s="1"/>
  <c r="AL17"/>
  <c r="CP25" s="1"/>
  <c r="AN17"/>
  <c r="CR25" s="1"/>
  <c r="AP17"/>
  <c r="CT25" s="1"/>
  <c r="AR17"/>
  <c r="CV25" s="1"/>
  <c r="AT17"/>
  <c r="CX25" s="1"/>
  <c r="AV17"/>
  <c r="CZ25" s="1"/>
  <c r="AX17"/>
  <c r="DB25" s="1"/>
  <c r="AZ17"/>
  <c r="DD25" s="1"/>
  <c r="AB18"/>
  <c r="CF26" s="1"/>
  <c r="AD18"/>
  <c r="CH26" s="1"/>
  <c r="AF18"/>
  <c r="CJ26" s="1"/>
  <c r="AH18"/>
  <c r="CL26" s="1"/>
  <c r="AJ18"/>
  <c r="CN26" s="1"/>
  <c r="AL18"/>
  <c r="CP26" s="1"/>
  <c r="AN18"/>
  <c r="CR26" s="1"/>
  <c r="AP18"/>
  <c r="CT26" s="1"/>
  <c r="AR18"/>
  <c r="CV26" s="1"/>
  <c r="AT18"/>
  <c r="CX26" s="1"/>
  <c r="AV18"/>
  <c r="CZ26" s="1"/>
  <c r="AX18"/>
  <c r="DB26" s="1"/>
  <c r="AC21"/>
  <c r="CG29" s="1"/>
  <c r="AE21"/>
  <c r="CI29" s="1"/>
  <c r="AG21"/>
  <c r="CK29" s="1"/>
  <c r="AI21"/>
  <c r="CM29" s="1"/>
  <c r="AK21"/>
  <c r="CO29" s="1"/>
  <c r="AM21"/>
  <c r="CQ29" s="1"/>
  <c r="AO21"/>
  <c r="CS29" s="1"/>
  <c r="AQ21"/>
  <c r="CU29" s="1"/>
  <c r="AS21"/>
  <c r="CW29" s="1"/>
  <c r="AU21"/>
  <c r="CY29" s="1"/>
  <c r="AW21"/>
  <c r="DA29" s="1"/>
  <c r="AY21"/>
  <c r="DC29" s="1"/>
  <c r="AC22"/>
  <c r="CG30" s="1"/>
  <c r="AE22"/>
  <c r="CI30" s="1"/>
  <c r="AG22"/>
  <c r="CK30" s="1"/>
  <c r="AI22"/>
  <c r="CM30" s="1"/>
  <c r="AK22"/>
  <c r="CO30" s="1"/>
  <c r="AM22"/>
  <c r="CQ30" s="1"/>
  <c r="AO22"/>
  <c r="CS30" s="1"/>
  <c r="AQ22"/>
  <c r="CU30" s="1"/>
  <c r="AS22"/>
  <c r="CW30" s="1"/>
  <c r="AU22"/>
  <c r="CY30" s="1"/>
  <c r="AW22"/>
  <c r="DA30" s="1"/>
  <c r="AY22"/>
  <c r="DC30" s="1"/>
  <c r="AC23"/>
  <c r="CG31" s="1"/>
  <c r="AE23"/>
  <c r="CI31" s="1"/>
  <c r="AG23"/>
  <c r="CK31" s="1"/>
  <c r="AI23"/>
  <c r="CM31" s="1"/>
  <c r="AK23"/>
  <c r="CO31" s="1"/>
  <c r="AM23"/>
  <c r="CQ31" s="1"/>
  <c r="AO23"/>
  <c r="CS31" s="1"/>
  <c r="AQ23"/>
  <c r="CU31" s="1"/>
  <c r="AS23"/>
  <c r="CW31" s="1"/>
  <c r="AU23"/>
  <c r="CY31" s="1"/>
  <c r="AW23"/>
  <c r="DA31" s="1"/>
  <c r="AY23"/>
  <c r="DC31" s="1"/>
  <c r="AC24"/>
  <c r="CG32" s="1"/>
  <c r="AE24"/>
  <c r="CI32" s="1"/>
  <c r="AG24"/>
  <c r="CK32" s="1"/>
  <c r="AI24"/>
  <c r="CM32" s="1"/>
  <c r="AK24"/>
  <c r="CO32" s="1"/>
  <c r="AM24"/>
  <c r="CQ32" s="1"/>
  <c r="AO24"/>
  <c r="CS32" s="1"/>
  <c r="AQ24"/>
  <c r="CU32" s="1"/>
  <c r="AS24"/>
  <c r="CW32" s="1"/>
  <c r="AU24"/>
  <c r="CY32" s="1"/>
  <c r="AW24"/>
  <c r="DA32" s="1"/>
  <c r="AY24"/>
  <c r="DC32" s="1"/>
  <c r="AC25"/>
  <c r="CG33" s="1"/>
  <c r="AE25"/>
  <c r="CI33" s="1"/>
  <c r="AG25"/>
  <c r="CK33" s="1"/>
  <c r="AI25"/>
  <c r="CM33" s="1"/>
  <c r="AK25"/>
  <c r="CO33" s="1"/>
  <c r="AM25"/>
  <c r="CQ33" s="1"/>
  <c r="AO25"/>
  <c r="CS33" s="1"/>
  <c r="AQ25"/>
  <c r="CU33" s="1"/>
  <c r="AS25"/>
  <c r="CW33" s="1"/>
  <c r="AU25"/>
  <c r="CY33" s="1"/>
  <c r="AW25"/>
  <c r="DA33" s="1"/>
  <c r="AY25"/>
  <c r="DC33" s="1"/>
  <c r="AC26"/>
  <c r="CG34" s="1"/>
  <c r="AE26"/>
  <c r="CI34" s="1"/>
  <c r="AG26"/>
  <c r="CK34" s="1"/>
  <c r="AI26"/>
  <c r="CM34" s="1"/>
  <c r="AK26"/>
  <c r="CO34" s="1"/>
  <c r="AM26"/>
  <c r="CQ34" s="1"/>
  <c r="AO26"/>
  <c r="CS34" s="1"/>
  <c r="AQ26"/>
  <c r="CU34" s="1"/>
  <c r="AS26"/>
  <c r="CW34" s="1"/>
  <c r="AU26"/>
  <c r="CY34" s="1"/>
  <c r="AW26"/>
  <c r="DA34" s="1"/>
  <c r="AY26"/>
  <c r="DC34" s="1"/>
  <c r="AC27"/>
  <c r="CG35" s="1"/>
  <c r="AE27"/>
  <c r="CI35" s="1"/>
  <c r="AG27"/>
  <c r="CK35" s="1"/>
  <c r="AI27"/>
  <c r="CM35" s="1"/>
  <c r="AK27"/>
  <c r="CO35" s="1"/>
  <c r="AM27"/>
  <c r="CQ35" s="1"/>
  <c r="AO27"/>
  <c r="CS35" s="1"/>
  <c r="AQ27"/>
  <c r="CU35" s="1"/>
  <c r="AS27"/>
  <c r="CW35" s="1"/>
  <c r="AU27"/>
  <c r="CY35" s="1"/>
  <c r="AW27"/>
  <c r="DA35" s="1"/>
  <c r="AY27"/>
  <c r="DC35" s="1"/>
  <c r="AC28"/>
  <c r="CG36" s="1"/>
  <c r="AE28"/>
  <c r="CI36" s="1"/>
  <c r="AG28"/>
  <c r="CK36" s="1"/>
  <c r="AI28"/>
  <c r="CM36" s="1"/>
  <c r="AK28"/>
  <c r="CO36" s="1"/>
  <c r="AM28"/>
  <c r="CQ36" s="1"/>
  <c r="AO28"/>
  <c r="CS36" s="1"/>
  <c r="AQ28"/>
  <c r="CU36" s="1"/>
  <c r="AS28"/>
  <c r="CW36" s="1"/>
  <c r="AU28"/>
  <c r="CY36" s="1"/>
  <c r="AW28"/>
  <c r="DA36" s="1"/>
  <c r="AY28"/>
  <c r="DC36" s="1"/>
  <c r="AC29"/>
  <c r="CG37" s="1"/>
  <c r="AE29"/>
  <c r="CI37" s="1"/>
  <c r="AG29"/>
  <c r="CK37" s="1"/>
  <c r="AI29"/>
  <c r="CM37" s="1"/>
  <c r="AK29"/>
  <c r="CO37" s="1"/>
  <c r="AM29"/>
  <c r="CQ37" s="1"/>
  <c r="AO29"/>
  <c r="CS37" s="1"/>
  <c r="AQ29"/>
  <c r="CU37" s="1"/>
  <c r="AS29"/>
  <c r="CW37" s="1"/>
  <c r="AU29"/>
  <c r="CY37" s="1"/>
  <c r="AW29"/>
  <c r="DA37" s="1"/>
  <c r="AY29"/>
  <c r="DC37" s="1"/>
  <c r="AC30"/>
  <c r="CG38" s="1"/>
  <c r="AE30"/>
  <c r="CI38" s="1"/>
  <c r="AG30"/>
  <c r="CK38" s="1"/>
  <c r="AI30"/>
  <c r="CM38" s="1"/>
  <c r="AK30"/>
  <c r="CO38" s="1"/>
  <c r="AM30"/>
  <c r="CQ38" s="1"/>
  <c r="AO30"/>
  <c r="CS38" s="1"/>
  <c r="AQ30"/>
  <c r="CU38" s="1"/>
  <c r="AS30"/>
  <c r="CW38" s="1"/>
  <c r="AU30"/>
  <c r="CY38" s="1"/>
  <c r="AW30"/>
  <c r="DA38" s="1"/>
  <c r="AY30"/>
  <c r="DC38" s="1"/>
  <c r="AE7"/>
  <c r="CI15" s="1"/>
  <c r="AG7"/>
  <c r="CK15" s="1"/>
  <c r="AI7"/>
  <c r="CM15" s="1"/>
  <c r="AK7"/>
  <c r="CO15" s="1"/>
  <c r="AM7"/>
  <c r="CQ15" s="1"/>
  <c r="AO7"/>
  <c r="CS15" s="1"/>
  <c r="AQ7"/>
  <c r="CU15" s="1"/>
  <c r="AS7"/>
  <c r="CW15" s="1"/>
  <c r="AU7"/>
  <c r="CY15" s="1"/>
  <c r="AW7"/>
  <c r="DA15" s="1"/>
  <c r="AY7"/>
  <c r="DC15" s="1"/>
  <c r="AE8"/>
  <c r="CI16" s="1"/>
  <c r="AG8"/>
  <c r="CK16" s="1"/>
  <c r="AI8"/>
  <c r="CM16" s="1"/>
  <c r="AK8"/>
  <c r="CO16" s="1"/>
  <c r="AM8"/>
  <c r="CQ16" s="1"/>
  <c r="AO8"/>
  <c r="CS16" s="1"/>
  <c r="AQ8"/>
  <c r="CU16" s="1"/>
  <c r="AS8"/>
  <c r="CW16" s="1"/>
  <c r="AU8"/>
  <c r="CY16" s="1"/>
  <c r="AW8"/>
  <c r="DA16" s="1"/>
  <c r="AY8"/>
  <c r="DC16" s="1"/>
  <c r="AE9"/>
  <c r="CI17" s="1"/>
  <c r="AG9"/>
  <c r="CK17" s="1"/>
  <c r="AI9"/>
  <c r="CM17" s="1"/>
  <c r="AK9"/>
  <c r="CO17" s="1"/>
  <c r="AM9"/>
  <c r="CQ17" s="1"/>
  <c r="AO9"/>
  <c r="CS17" s="1"/>
  <c r="AQ9"/>
  <c r="CU17" s="1"/>
  <c r="AS9"/>
  <c r="CW17" s="1"/>
  <c r="AU9"/>
  <c r="CY17" s="1"/>
  <c r="AW9"/>
  <c r="DA17" s="1"/>
  <c r="AY9"/>
  <c r="DC17" s="1"/>
  <c r="AE10"/>
  <c r="CI18" s="1"/>
  <c r="AG10"/>
  <c r="CK18" s="1"/>
  <c r="AI10"/>
  <c r="CM18" s="1"/>
  <c r="AK10"/>
  <c r="CO18" s="1"/>
  <c r="AM10"/>
  <c r="CQ18" s="1"/>
  <c r="AO10"/>
  <c r="CS18" s="1"/>
  <c r="AQ10"/>
  <c r="CU18" s="1"/>
  <c r="AS10"/>
  <c r="CW18" s="1"/>
  <c r="AU10"/>
  <c r="CY18" s="1"/>
  <c r="AW10"/>
  <c r="DA18" s="1"/>
  <c r="AY10"/>
  <c r="DC18" s="1"/>
  <c r="AE11"/>
  <c r="CI19" s="1"/>
  <c r="AG11"/>
  <c r="CK19" s="1"/>
  <c r="AI11"/>
  <c r="CM19" s="1"/>
  <c r="AK11"/>
  <c r="CO19" s="1"/>
  <c r="AM11"/>
  <c r="CQ19" s="1"/>
  <c r="AO11"/>
  <c r="CS19" s="1"/>
  <c r="AQ11"/>
  <c r="CU19" s="1"/>
  <c r="AS11"/>
  <c r="CW19" s="1"/>
  <c r="AU11"/>
  <c r="CY19" s="1"/>
  <c r="AW11"/>
  <c r="DA19" s="1"/>
  <c r="AY11"/>
  <c r="DC19" s="1"/>
  <c r="AE12"/>
  <c r="CI20" s="1"/>
  <c r="AG12"/>
  <c r="CK20" s="1"/>
  <c r="AI12"/>
  <c r="CM20" s="1"/>
  <c r="AK12"/>
  <c r="CO20" s="1"/>
  <c r="AM12"/>
  <c r="CQ20" s="1"/>
  <c r="AO12"/>
  <c r="CS20" s="1"/>
  <c r="AQ12"/>
  <c r="CU20" s="1"/>
  <c r="AS12"/>
  <c r="CW20" s="1"/>
  <c r="AU12"/>
  <c r="CY20" s="1"/>
  <c r="AW12"/>
  <c r="DA20" s="1"/>
  <c r="AY12"/>
  <c r="DC20" s="1"/>
  <c r="AE13"/>
  <c r="CI21" s="1"/>
  <c r="AG13"/>
  <c r="CK21" s="1"/>
  <c r="AI13"/>
  <c r="CM21" s="1"/>
  <c r="AK13"/>
  <c r="CO21" s="1"/>
  <c r="AM13"/>
  <c r="CQ21" s="1"/>
  <c r="AO13"/>
  <c r="CS21" s="1"/>
  <c r="AQ13"/>
  <c r="CU21" s="1"/>
  <c r="AS13"/>
  <c r="CW21" s="1"/>
  <c r="AU13"/>
  <c r="CY21" s="1"/>
  <c r="AW13"/>
  <c r="DA21" s="1"/>
  <c r="AY13"/>
  <c r="DC21" s="1"/>
  <c r="AC14"/>
  <c r="CG22" s="1"/>
  <c r="AE14"/>
  <c r="CI22" s="1"/>
  <c r="AG14"/>
  <c r="CK22" s="1"/>
  <c r="AI14"/>
  <c r="CM22" s="1"/>
  <c r="AK14"/>
  <c r="CO22" s="1"/>
  <c r="AM14"/>
  <c r="CQ22" s="1"/>
  <c r="AO14"/>
  <c r="CS22" s="1"/>
  <c r="AQ14"/>
  <c r="CU22" s="1"/>
  <c r="AS14"/>
  <c r="CW22" s="1"/>
  <c r="AU14"/>
  <c r="CY22" s="1"/>
  <c r="AW14"/>
  <c r="DA22" s="1"/>
  <c r="AY14"/>
  <c r="DC22" s="1"/>
  <c r="AC15"/>
  <c r="CG23" s="1"/>
  <c r="AE15"/>
  <c r="CI23" s="1"/>
  <c r="AG15"/>
  <c r="CK23" s="1"/>
  <c r="AI15"/>
  <c r="CM23" s="1"/>
  <c r="AK15"/>
  <c r="CO23" s="1"/>
  <c r="AM15"/>
  <c r="CQ23" s="1"/>
  <c r="AO15"/>
  <c r="CS23" s="1"/>
  <c r="AQ15"/>
  <c r="CU23" s="1"/>
  <c r="AS15"/>
  <c r="CW23" s="1"/>
  <c r="AU15"/>
  <c r="CY23" s="1"/>
  <c r="AW15"/>
  <c r="DA23" s="1"/>
  <c r="AY15"/>
  <c r="DC23" s="1"/>
  <c r="AC16"/>
  <c r="CG24" s="1"/>
  <c r="AE16"/>
  <c r="CI24" s="1"/>
  <c r="AG16"/>
  <c r="CK24" s="1"/>
  <c r="AI16"/>
  <c r="CM24" s="1"/>
  <c r="AK16"/>
  <c r="CO24" s="1"/>
  <c r="AM16"/>
  <c r="CQ24" s="1"/>
  <c r="AO16"/>
  <c r="CS24" s="1"/>
  <c r="AQ16"/>
  <c r="CU24" s="1"/>
  <c r="AS16"/>
  <c r="CW24" s="1"/>
  <c r="AU16"/>
  <c r="CY24" s="1"/>
  <c r="AW16"/>
  <c r="DA24" s="1"/>
  <c r="AY16"/>
  <c r="DC24" s="1"/>
  <c r="AC17"/>
  <c r="CG25" s="1"/>
  <c r="AE17"/>
  <c r="CI25" s="1"/>
  <c r="AG17"/>
  <c r="CK25" s="1"/>
  <c r="AI17"/>
  <c r="CM25" s="1"/>
  <c r="AK17"/>
  <c r="CO25" s="1"/>
  <c r="AM17"/>
  <c r="CQ25" s="1"/>
  <c r="AO17"/>
  <c r="CS25" s="1"/>
  <c r="AQ17"/>
  <c r="CU25" s="1"/>
  <c r="AS17"/>
  <c r="CW25" s="1"/>
  <c r="AU17"/>
  <c r="CY25" s="1"/>
  <c r="AW17"/>
  <c r="DA25" s="1"/>
  <c r="AY17"/>
  <c r="DC25" s="1"/>
  <c r="AC18"/>
  <c r="CG26" s="1"/>
  <c r="AE18"/>
  <c r="CI26" s="1"/>
  <c r="AG18"/>
  <c r="CK26" s="1"/>
  <c r="AI18"/>
  <c r="CM26" s="1"/>
  <c r="AK18"/>
  <c r="CO26" s="1"/>
  <c r="AM18"/>
  <c r="CQ26" s="1"/>
  <c r="AO18"/>
  <c r="CS26" s="1"/>
  <c r="AQ18"/>
  <c r="CU26" s="1"/>
  <c r="AS18"/>
  <c r="CW26" s="1"/>
  <c r="AU18"/>
  <c r="CY26" s="1"/>
  <c r="AW18"/>
  <c r="DA26" s="1"/>
  <c r="DB30"/>
  <c r="AZ20"/>
  <c r="DD28" s="1"/>
  <c r="AX20"/>
  <c r="DB28" s="1"/>
  <c r="AV20"/>
  <c r="CZ28" s="1"/>
  <c r="AT20"/>
  <c r="CX28" s="1"/>
  <c r="AR20"/>
  <c r="CV28" s="1"/>
  <c r="AP20"/>
  <c r="CT28" s="1"/>
  <c r="AN20"/>
  <c r="CR28" s="1"/>
  <c r="AL20"/>
  <c r="CP28" s="1"/>
  <c r="AJ20"/>
  <c r="CN28" s="1"/>
  <c r="AH20"/>
  <c r="CL28" s="1"/>
  <c r="AF20"/>
  <c r="CJ28" s="1"/>
  <c r="AD20"/>
  <c r="CH28" s="1"/>
  <c r="AB20"/>
  <c r="CF28" s="1"/>
  <c r="AZ19"/>
  <c r="DD27" s="1"/>
  <c r="AX19"/>
  <c r="DB27" s="1"/>
  <c r="AV19"/>
  <c r="CZ27" s="1"/>
  <c r="AT19"/>
  <c r="CX27" s="1"/>
  <c r="AR19"/>
  <c r="CV27" s="1"/>
  <c r="AP19"/>
  <c r="CT27" s="1"/>
  <c r="AN19"/>
  <c r="CR27" s="1"/>
  <c r="AL19"/>
  <c r="CP27" s="1"/>
  <c r="AJ19"/>
  <c r="CN27" s="1"/>
  <c r="AH19"/>
  <c r="CL27" s="1"/>
  <c r="AF19"/>
  <c r="CJ27" s="1"/>
  <c r="AD19"/>
  <c r="CH27" s="1"/>
  <c r="AB19"/>
  <c r="CF27" s="1"/>
  <c r="AZ18"/>
  <c r="DD26" s="1"/>
  <c r="CA29"/>
  <c r="CW27"/>
  <c r="DB37"/>
  <c r="DB35"/>
  <c r="DB33"/>
  <c r="DB31"/>
  <c r="DB29"/>
  <c r="CA16"/>
  <c r="DB38"/>
  <c r="DB36"/>
  <c r="DB34"/>
  <c r="DB32"/>
</calcChain>
</file>

<file path=xl/sharedStrings.xml><?xml version="1.0" encoding="utf-8"?>
<sst xmlns="http://schemas.openxmlformats.org/spreadsheetml/2006/main" count="257" uniqueCount="82">
  <si>
    <t>Load Value</t>
  </si>
  <si>
    <t>RPM</t>
  </si>
  <si>
    <t>Ign.</t>
  </si>
  <si>
    <t>Fuel.</t>
  </si>
  <si>
    <t>Interpolate</t>
  </si>
  <si>
    <t>Main Ignition Maps</t>
  </si>
  <si>
    <t>MAP Difference Comparison</t>
  </si>
  <si>
    <t xml:space="preserve"> = Unsmoothed cells</t>
  </si>
  <si>
    <t>Modded High Octane Fuel Map</t>
  </si>
  <si>
    <t xml:space="preserve"> Smoothed Modded High Octane Fuel Map</t>
  </si>
  <si>
    <t>LEANER</t>
  </si>
  <si>
    <t>RICHER</t>
  </si>
  <si>
    <t>Leaner</t>
  </si>
  <si>
    <t>Richer</t>
  </si>
  <si>
    <t>Smoothing</t>
  </si>
  <si>
    <t>Limits</t>
  </si>
  <si>
    <t>Global</t>
  </si>
  <si>
    <t>Richest</t>
  </si>
  <si>
    <t>Leanest</t>
  </si>
  <si>
    <t>Identify Stoichiometric Platue and other cells you don't want smoothed 1 = Yes 0 = No</t>
  </si>
  <si>
    <t>Shift Map (offset)</t>
  </si>
  <si>
    <t>Shift Map (proportional)</t>
  </si>
  <si>
    <t xml:space="preserve"> Smoothed Fuel Map</t>
  </si>
  <si>
    <t>Modded Fuel Map</t>
  </si>
  <si>
    <t>Stock / Original Fuel Octane Map</t>
  </si>
  <si>
    <t>Modded Fuel Map (Quantized)</t>
  </si>
  <si>
    <t>DO NOT MODIFY: THESE ARE THE QUANTIZED VALUES THE ECU USES.  THEY ALLOW FOR ACCURATE SMOOTHING AND CORRECT DECIMAL VALUES TO PASTE BACK INTO ECU FLASH</t>
  </si>
  <si>
    <t>Smoothed Ignition Map</t>
  </si>
  <si>
    <t>Modded Ignition Map</t>
  </si>
  <si>
    <t>Stock / Original Ignition Map</t>
  </si>
  <si>
    <t>Step 2</t>
  </si>
  <si>
    <t>Step 1a</t>
  </si>
  <si>
    <t>Step 1</t>
  </si>
  <si>
    <t xml:space="preserve"> - Copy your current map into the Table 2</t>
  </si>
  <si>
    <t>Step 3</t>
  </si>
  <si>
    <t>Step 2a</t>
  </si>
  <si>
    <t>- Adjust the Smoothing Limit values via the roller buttons until you achieve the level of smoothing desired. Note that if you desire to prevent any cells from going richer or leaner at all you would set the appropriate limiter to Zero.  To prevent any limits on smoothing values on the order of 10 usually are sufficient</t>
  </si>
  <si>
    <t>- (optional) If there are any specific cells which you do not want subject to smoothing, place a "1" in the appropriate cell in Table 4</t>
  </si>
  <si>
    <t>Note: that I have already set some cells to be locked by default, change them to "0" to unlock them</t>
  </si>
  <si>
    <t>Note2: You can see the impact of these locks buy toggling the green box titled "Prevent Smoothing" at the top of the sheet.</t>
  </si>
  <si>
    <t>- (optional) Copy your stock map into Table 3 for reference use, or copy your current map into Table 3 (especially useful if you plan on doing multiple iterations of smoothing) as described in Step 3</t>
  </si>
  <si>
    <t>- If the table has not been smoothed enough for your taste, then select and copy Table 1, then select the upper left cell of Table 2 (Load 0 RPM 500).  In the Edit menu select Paste Special, and in the dialog box that appears choose "Values" and press "Ok".  Now Table 1 will represent the smoothed-smoothed values.  Repeat until you are happy.  The undo command will no longer work once you adjust any of the limits or toggle the Prevent Smoothing button.  This is why placing a copy of your original map into Table 3 is useful for comparitive purposes.</t>
  </si>
  <si>
    <t>Stock Fuel Octane Map</t>
  </si>
  <si>
    <t>DO NOT MODIFY
THESE ARE THE QUANTIZED VALUES THE ECU USES.  THEY ALLOW FOR ACCURATE SMOOTHING AND CORRECT DECIMAL VALUES TO PASTE BACK INTO ECU FLASH</t>
  </si>
  <si>
    <t>Modded High Octane Fuel Map (Quantized)</t>
  </si>
  <si>
    <t>Original (or Stock) Ignition Map</t>
  </si>
  <si>
    <t>Step 0</t>
  </si>
  <si>
    <t>- Determine if your Fuel and Ignition maps have 19 or 21 columns (Load Cells) and use the appropriate tab</t>
  </si>
  <si>
    <t>Stock / Original MIVEC Map</t>
  </si>
  <si>
    <t>Identify cells you don't want smoothed 1 = Yes 0 = No</t>
  </si>
  <si>
    <t>Modded MIVEC Map (Quantized)</t>
  </si>
  <si>
    <t>Max Adv</t>
  </si>
  <si>
    <t>Min Adv</t>
  </si>
  <si>
    <t>-Adv</t>
  </si>
  <si>
    <t>+Adv</t>
  </si>
  <si>
    <t>- Adv</t>
  </si>
  <si>
    <t>+ Adv</t>
  </si>
  <si>
    <t xml:space="preserve"> Smoothed MIVEC Map</t>
  </si>
  <si>
    <t>Modded MIVEC Map</t>
  </si>
  <si>
    <t>v1</t>
  </si>
  <si>
    <t>Original version by tkklemann</t>
  </si>
  <si>
    <t>v2</t>
  </si>
  <si>
    <t>v0.1</t>
  </si>
  <si>
    <t>basic smoothing added to fuel and timing map</t>
  </si>
  <si>
    <t>smoothing limits added to Fuel tab</t>
  </si>
  <si>
    <t>charts tweaked</t>
  </si>
  <si>
    <t>full map offsetting</t>
  </si>
  <si>
    <t>lock cells to prevent smoothing</t>
  </si>
  <si>
    <t>global limits</t>
  </si>
  <si>
    <t>v2-1</t>
  </si>
  <si>
    <t>21 Cell version for EVO VI</t>
  </si>
  <si>
    <t>v2-2</t>
  </si>
  <si>
    <t>combined 21 cell 19 cell</t>
  </si>
  <si>
    <t>deleted non-fuel and timing tabs</t>
  </si>
  <si>
    <t>v2-3</t>
  </si>
  <si>
    <t>MIVEC table added with same functions at Fuel tab</t>
  </si>
  <si>
    <t>v2-4</t>
  </si>
  <si>
    <t>change log added</t>
  </si>
  <si>
    <t>Added 19 Cell MIVEC</t>
  </si>
  <si>
    <t>Adjusted practical limits to -1.2 to 28.8 and adjusted chart scales</t>
  </si>
  <si>
    <t>Added BIG MAPS</t>
  </si>
  <si>
    <t>V2-4</t>
  </si>
</sst>
</file>

<file path=xl/styles.xml><?xml version="1.0" encoding="utf-8"?>
<styleSheet xmlns="http://schemas.openxmlformats.org/spreadsheetml/2006/main">
  <numFmts count="2">
    <numFmt numFmtId="164" formatCode="0.000"/>
    <numFmt numFmtId="165" formatCode="0.0"/>
  </numFmts>
  <fonts count="19">
    <font>
      <sz val="10"/>
      <name val="Arial"/>
    </font>
    <font>
      <sz val="8"/>
      <name val="Arial"/>
      <family val="2"/>
    </font>
    <font>
      <b/>
      <sz val="14"/>
      <name val="Arial"/>
      <family val="2"/>
    </font>
    <font>
      <b/>
      <sz val="10"/>
      <name val="Arial"/>
      <family val="2"/>
    </font>
    <font>
      <b/>
      <sz val="14"/>
      <name val="Comic Sans MS"/>
      <family val="4"/>
    </font>
    <font>
      <sz val="10"/>
      <name val="Comic Sans MS"/>
      <family val="4"/>
    </font>
    <font>
      <b/>
      <sz val="12"/>
      <name val="Comic Sans MS"/>
      <family val="4"/>
    </font>
    <font>
      <sz val="10"/>
      <name val="Arial"/>
      <family val="2"/>
    </font>
    <font>
      <b/>
      <sz val="12"/>
      <name val="Arial"/>
      <family val="2"/>
    </font>
    <font>
      <sz val="12"/>
      <name val="Comic Sans MS"/>
      <family val="4"/>
    </font>
    <font>
      <b/>
      <i/>
      <sz val="14"/>
      <name val="Arial"/>
      <family val="2"/>
    </font>
    <font>
      <sz val="14"/>
      <name val="Arial"/>
      <family val="2"/>
    </font>
    <font>
      <b/>
      <sz val="14"/>
      <color indexed="9"/>
      <name val="Arial"/>
      <family val="2"/>
    </font>
    <font>
      <sz val="12"/>
      <name val="Arial"/>
      <family val="2"/>
    </font>
    <font>
      <sz val="10"/>
      <color indexed="9"/>
      <name val="Arial"/>
      <family val="2"/>
    </font>
    <font>
      <sz val="8"/>
      <name val="Arial"/>
      <family val="2"/>
    </font>
    <font>
      <sz val="8"/>
      <color indexed="9"/>
      <name val="Arial"/>
      <family val="2"/>
    </font>
    <font>
      <b/>
      <sz val="16"/>
      <name val="Arial"/>
      <family val="2"/>
    </font>
    <font>
      <sz val="24"/>
      <name val="Comic Sans MS"/>
      <family val="4"/>
    </font>
  </fonts>
  <fills count="1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2"/>
        <bgColor indexed="64"/>
      </patternFill>
    </fill>
    <fill>
      <patternFill patternType="solid">
        <fgColor indexed="47"/>
        <bgColor indexed="64"/>
      </patternFill>
    </fill>
    <fill>
      <patternFill patternType="solid">
        <fgColor indexed="22"/>
        <bgColor indexed="64"/>
      </patternFill>
    </fill>
    <fill>
      <patternFill patternType="solid">
        <fgColor indexed="51"/>
        <bgColor indexed="64"/>
      </patternFill>
    </fill>
    <fill>
      <patternFill patternType="solid">
        <fgColor indexed="15"/>
        <bgColor indexed="64"/>
      </patternFill>
    </fill>
    <fill>
      <patternFill patternType="solid">
        <fgColor indexed="40"/>
        <bgColor indexed="64"/>
      </patternFill>
    </fill>
    <fill>
      <patternFill patternType="solid">
        <fgColor rgb="FFFF0000"/>
        <bgColor indexed="64"/>
      </patternFill>
    </fill>
    <fill>
      <patternFill patternType="solid">
        <fgColor rgb="FFFFFF00"/>
        <bgColor indexed="64"/>
      </patternFill>
    </fill>
    <fill>
      <patternFill patternType="solid">
        <fgColor rgb="FFFFFFCC"/>
        <bgColor indexed="64"/>
      </patternFill>
    </fill>
    <fill>
      <patternFill patternType="solid">
        <fgColor theme="0"/>
        <bgColor indexed="64"/>
      </patternFill>
    </fill>
  </fills>
  <borders count="61">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0" fontId="7" fillId="0" borderId="0"/>
  </cellStyleXfs>
  <cellXfs count="420">
    <xf numFmtId="0" fontId="0" fillId="0" borderId="0" xfId="0"/>
    <xf numFmtId="0" fontId="3" fillId="0" borderId="0" xfId="0" applyFont="1"/>
    <xf numFmtId="0" fontId="4" fillId="2" borderId="0" xfId="0" applyFont="1" applyFill="1"/>
    <xf numFmtId="0" fontId="5" fillId="2" borderId="0" xfId="0" applyFont="1" applyFill="1"/>
    <xf numFmtId="0" fontId="5" fillId="2" borderId="0" xfId="0" applyFont="1" applyFill="1" applyAlignment="1">
      <alignment horizontal="center" vertical="center"/>
    </xf>
    <xf numFmtId="1" fontId="5" fillId="3" borderId="5" xfId="0" applyNumberFormat="1" applyFont="1" applyFill="1" applyBorder="1" applyAlignment="1">
      <alignment horizontal="center" vertical="center"/>
    </xf>
    <xf numFmtId="1" fontId="5" fillId="3" borderId="6" xfId="0" applyNumberFormat="1" applyFont="1" applyFill="1" applyBorder="1" applyAlignment="1">
      <alignment horizontal="center" vertical="center"/>
    </xf>
    <xf numFmtId="1" fontId="5" fillId="3" borderId="8" xfId="0" applyNumberFormat="1" applyFont="1" applyFill="1" applyBorder="1" applyAlignment="1">
      <alignment horizontal="center" vertical="center"/>
    </xf>
    <xf numFmtId="1" fontId="5" fillId="3" borderId="9" xfId="0" applyNumberFormat="1" applyFont="1" applyFill="1" applyBorder="1" applyAlignment="1">
      <alignment horizontal="center" vertical="center"/>
    </xf>
    <xf numFmtId="0" fontId="3" fillId="2" borderId="0" xfId="0" applyFont="1" applyFill="1"/>
    <xf numFmtId="1" fontId="5" fillId="7" borderId="5" xfId="0" applyNumberFormat="1" applyFont="1" applyFill="1" applyBorder="1" applyAlignment="1">
      <alignment horizontal="center" vertical="center"/>
    </xf>
    <xf numFmtId="1" fontId="5" fillId="7" borderId="6" xfId="0" applyNumberFormat="1" applyFont="1" applyFill="1" applyBorder="1" applyAlignment="1">
      <alignment horizontal="center" vertical="center"/>
    </xf>
    <xf numFmtId="1" fontId="5" fillId="3" borderId="18" xfId="0" applyNumberFormat="1" applyFont="1" applyFill="1" applyBorder="1" applyAlignment="1">
      <alignment horizontal="center" vertical="center"/>
    </xf>
    <xf numFmtId="1" fontId="5" fillId="3" borderId="19" xfId="0" applyNumberFormat="1" applyFont="1" applyFill="1" applyBorder="1" applyAlignment="1">
      <alignment horizontal="center" vertical="center"/>
    </xf>
    <xf numFmtId="1" fontId="5" fillId="3" borderId="20" xfId="0" applyNumberFormat="1" applyFont="1" applyFill="1" applyBorder="1" applyAlignment="1">
      <alignment horizontal="center" vertical="center"/>
    </xf>
    <xf numFmtId="1" fontId="5" fillId="3" borderId="21" xfId="0" applyNumberFormat="1" applyFont="1" applyFill="1" applyBorder="1" applyAlignment="1">
      <alignment horizontal="center" vertical="center"/>
    </xf>
    <xf numFmtId="1" fontId="5" fillId="3" borderId="22" xfId="0" applyNumberFormat="1" applyFont="1" applyFill="1" applyBorder="1" applyAlignment="1">
      <alignment horizontal="center" vertical="center"/>
    </xf>
    <xf numFmtId="1" fontId="5" fillId="7" borderId="1" xfId="0" applyNumberFormat="1" applyFont="1" applyFill="1" applyBorder="1" applyAlignment="1">
      <alignment horizontal="center" vertical="center"/>
    </xf>
    <xf numFmtId="1" fontId="5" fillId="7" borderId="2" xfId="0" applyNumberFormat="1" applyFont="1" applyFill="1" applyBorder="1" applyAlignment="1">
      <alignment horizontal="center" vertical="center"/>
    </xf>
    <xf numFmtId="1" fontId="5" fillId="7" borderId="3" xfId="0" applyNumberFormat="1" applyFont="1" applyFill="1" applyBorder="1" applyAlignment="1">
      <alignment horizontal="center" vertical="center"/>
    </xf>
    <xf numFmtId="1" fontId="5" fillId="7" borderId="4" xfId="0" applyNumberFormat="1" applyFont="1" applyFill="1" applyBorder="1" applyAlignment="1">
      <alignment horizontal="center" vertical="center"/>
    </xf>
    <xf numFmtId="1" fontId="5" fillId="7" borderId="7" xfId="0" applyNumberFormat="1" applyFont="1" applyFill="1" applyBorder="1" applyAlignment="1">
      <alignment horizontal="center" vertical="center"/>
    </xf>
    <xf numFmtId="1" fontId="5" fillId="7" borderId="8" xfId="0" applyNumberFormat="1" applyFont="1" applyFill="1" applyBorder="1" applyAlignment="1">
      <alignment horizontal="center" vertical="center"/>
    </xf>
    <xf numFmtId="1" fontId="5" fillId="7" borderId="9" xfId="0" applyNumberFormat="1" applyFont="1" applyFill="1" applyBorder="1" applyAlignment="1">
      <alignment horizontal="center" vertical="center"/>
    </xf>
    <xf numFmtId="0" fontId="5" fillId="7" borderId="14" xfId="0" applyFont="1" applyFill="1" applyBorder="1" applyAlignment="1">
      <alignment horizontal="center" vertical="center"/>
    </xf>
    <xf numFmtId="0" fontId="5" fillId="7" borderId="15" xfId="0" applyFont="1" applyFill="1" applyBorder="1" applyAlignment="1">
      <alignment horizontal="center" vertical="center"/>
    </xf>
    <xf numFmtId="0" fontId="5" fillId="7" borderId="23" xfId="0" applyFont="1" applyFill="1" applyBorder="1" applyAlignment="1">
      <alignment horizontal="center" vertical="center"/>
    </xf>
    <xf numFmtId="0" fontId="5" fillId="7" borderId="24" xfId="0" applyFont="1" applyFill="1" applyBorder="1" applyAlignment="1">
      <alignment horizontal="center" vertical="center"/>
    </xf>
    <xf numFmtId="0" fontId="5" fillId="7" borderId="25" xfId="0" applyFont="1" applyFill="1" applyBorder="1" applyAlignment="1">
      <alignment horizontal="center" vertical="center"/>
    </xf>
    <xf numFmtId="0" fontId="5" fillId="8" borderId="26" xfId="0" applyFont="1" applyFill="1" applyBorder="1" applyAlignment="1">
      <alignment horizontal="center" vertical="center"/>
    </xf>
    <xf numFmtId="0" fontId="5" fillId="8" borderId="27" xfId="0" applyFont="1" applyFill="1" applyBorder="1" applyAlignment="1">
      <alignment horizontal="center" vertical="center"/>
    </xf>
    <xf numFmtId="0" fontId="5" fillId="8" borderId="28" xfId="0" applyFont="1" applyFill="1" applyBorder="1" applyAlignment="1">
      <alignment horizontal="center" vertical="center"/>
    </xf>
    <xf numFmtId="1" fontId="5" fillId="9" borderId="5" xfId="0" applyNumberFormat="1" applyFont="1" applyFill="1" applyBorder="1" applyAlignment="1">
      <alignment horizontal="center" vertical="center"/>
    </xf>
    <xf numFmtId="1" fontId="5" fillId="9" borderId="6" xfId="0" applyNumberFormat="1" applyFont="1" applyFill="1" applyBorder="1" applyAlignment="1">
      <alignment horizontal="center" vertical="center"/>
    </xf>
    <xf numFmtId="0" fontId="5" fillId="9" borderId="0" xfId="0" applyFont="1" applyFill="1"/>
    <xf numFmtId="0" fontId="9" fillId="2" borderId="0" xfId="0" quotePrefix="1" applyFont="1" applyFill="1"/>
    <xf numFmtId="0" fontId="10" fillId="2" borderId="0" xfId="0" applyFont="1" applyFill="1"/>
    <xf numFmtId="0" fontId="7" fillId="2" borderId="0" xfId="0" applyFont="1" applyFill="1"/>
    <xf numFmtId="165" fontId="7" fillId="2" borderId="0" xfId="0" applyNumberFormat="1" applyFont="1" applyFill="1"/>
    <xf numFmtId="165" fontId="7" fillId="2" borderId="0" xfId="0" applyNumberFormat="1" applyFont="1" applyFill="1" applyAlignment="1">
      <alignment horizontal="center"/>
    </xf>
    <xf numFmtId="0" fontId="7" fillId="2" borderId="0" xfId="0" applyFont="1" applyFill="1" applyAlignment="1">
      <alignment horizontal="center"/>
    </xf>
    <xf numFmtId="0" fontId="7" fillId="2" borderId="0" xfId="0" applyFont="1" applyFill="1" applyAlignment="1">
      <alignment horizontal="center" vertical="center"/>
    </xf>
    <xf numFmtId="0" fontId="7" fillId="4" borderId="12" xfId="0" applyFont="1" applyFill="1" applyBorder="1" applyAlignment="1">
      <alignment horizontal="center" vertical="center"/>
    </xf>
    <xf numFmtId="0" fontId="7" fillId="4" borderId="11" xfId="0" applyFont="1" applyFill="1" applyBorder="1" applyAlignment="1">
      <alignment horizontal="center" vertical="center"/>
    </xf>
    <xf numFmtId="0" fontId="7" fillId="5" borderId="11"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13" xfId="0" applyFont="1" applyFill="1" applyBorder="1" applyAlignment="1">
      <alignment horizontal="center" vertical="center"/>
    </xf>
    <xf numFmtId="0" fontId="7" fillId="4" borderId="14" xfId="0" applyFont="1" applyFill="1" applyBorder="1" applyAlignment="1">
      <alignment horizontal="center" vertical="center"/>
    </xf>
    <xf numFmtId="2" fontId="7" fillId="3" borderId="5" xfId="0" applyNumberFormat="1" applyFont="1" applyFill="1" applyBorder="1" applyAlignment="1">
      <alignment horizontal="center" vertical="center"/>
    </xf>
    <xf numFmtId="0" fontId="7" fillId="4" borderId="15" xfId="0" applyFont="1" applyFill="1" applyBorder="1" applyAlignment="1">
      <alignment horizontal="center" vertical="center"/>
    </xf>
    <xf numFmtId="0" fontId="7" fillId="5" borderId="15" xfId="0" applyFont="1" applyFill="1" applyBorder="1" applyAlignment="1">
      <alignment horizontal="center" vertical="center"/>
    </xf>
    <xf numFmtId="0" fontId="7" fillId="6" borderId="15" xfId="0" applyFont="1" applyFill="1" applyBorder="1" applyAlignment="1">
      <alignment horizontal="center" vertical="center"/>
    </xf>
    <xf numFmtId="2" fontId="7" fillId="3" borderId="1" xfId="0" applyNumberFormat="1" applyFont="1" applyFill="1" applyBorder="1" applyAlignment="1">
      <alignment horizontal="center" vertical="center"/>
    </xf>
    <xf numFmtId="2" fontId="7" fillId="3" borderId="2" xfId="0" applyNumberFormat="1" applyFont="1" applyFill="1" applyBorder="1" applyAlignment="1">
      <alignment horizontal="center" vertical="center"/>
    </xf>
    <xf numFmtId="2" fontId="7" fillId="3" borderId="3" xfId="0" applyNumberFormat="1" applyFont="1" applyFill="1" applyBorder="1" applyAlignment="1">
      <alignment horizontal="center" vertical="center"/>
    </xf>
    <xf numFmtId="2" fontId="7" fillId="3" borderId="4" xfId="0" applyNumberFormat="1" applyFont="1" applyFill="1" applyBorder="1" applyAlignment="1">
      <alignment horizontal="center" vertical="center"/>
    </xf>
    <xf numFmtId="2" fontId="7" fillId="3" borderId="6" xfId="0" applyNumberFormat="1" applyFont="1" applyFill="1" applyBorder="1" applyAlignment="1">
      <alignment horizontal="center" vertical="center"/>
    </xf>
    <xf numFmtId="0" fontId="7" fillId="6" borderId="17" xfId="0" applyFont="1" applyFill="1" applyBorder="1" applyAlignment="1">
      <alignment horizontal="center" vertical="center"/>
    </xf>
    <xf numFmtId="0" fontId="2" fillId="2" borderId="0" xfId="0" applyFont="1" applyFill="1" applyBorder="1" applyAlignment="1">
      <alignment horizontal="center" vertical="center"/>
    </xf>
    <xf numFmtId="0" fontId="7" fillId="2" borderId="0" xfId="0" applyFont="1" applyFill="1" applyBorder="1" applyAlignment="1">
      <alignment horizontal="center" vertical="center"/>
    </xf>
    <xf numFmtId="165" fontId="7" fillId="2" borderId="0" xfId="0" applyNumberFormat="1" applyFont="1" applyFill="1" applyBorder="1" applyAlignment="1">
      <alignment horizontal="center" vertical="center"/>
    </xf>
    <xf numFmtId="2" fontId="7" fillId="3" borderId="7" xfId="0" applyNumberFormat="1" applyFont="1" applyFill="1" applyBorder="1" applyAlignment="1">
      <alignment horizontal="center" vertical="center"/>
    </xf>
    <xf numFmtId="2" fontId="7" fillId="3" borderId="8" xfId="0" applyNumberFormat="1" applyFont="1" applyFill="1" applyBorder="1" applyAlignment="1">
      <alignment horizontal="center" vertical="center"/>
    </xf>
    <xf numFmtId="2" fontId="7" fillId="3" borderId="9" xfId="0" applyNumberFormat="1" applyFont="1" applyFill="1" applyBorder="1" applyAlignment="1">
      <alignment horizontal="center" vertical="center"/>
    </xf>
    <xf numFmtId="0" fontId="7" fillId="6" borderId="0" xfId="0" applyFont="1" applyFill="1"/>
    <xf numFmtId="0" fontId="7" fillId="6" borderId="0" xfId="0" applyFont="1" applyFill="1" applyAlignment="1">
      <alignment horizontal="center" vertical="center"/>
    </xf>
    <xf numFmtId="164" fontId="7" fillId="3" borderId="1" xfId="0" applyNumberFormat="1" applyFont="1" applyFill="1" applyBorder="1" applyAlignment="1">
      <alignment horizontal="center" vertical="center"/>
    </xf>
    <xf numFmtId="164" fontId="7" fillId="3" borderId="2" xfId="0" applyNumberFormat="1" applyFont="1" applyFill="1" applyBorder="1" applyAlignment="1">
      <alignment horizontal="center" vertical="center"/>
    </xf>
    <xf numFmtId="164" fontId="7" fillId="3" borderId="3" xfId="0" applyNumberFormat="1" applyFont="1" applyFill="1" applyBorder="1" applyAlignment="1">
      <alignment horizontal="center" vertical="center"/>
    </xf>
    <xf numFmtId="164" fontId="7" fillId="3" borderId="4" xfId="0" applyNumberFormat="1" applyFont="1" applyFill="1" applyBorder="1" applyAlignment="1">
      <alignment horizontal="center" vertical="center"/>
    </xf>
    <xf numFmtId="164" fontId="7" fillId="3" borderId="5" xfId="0" applyNumberFormat="1" applyFont="1" applyFill="1" applyBorder="1" applyAlignment="1">
      <alignment horizontal="center" vertical="center"/>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164" fontId="7" fillId="3" borderId="8" xfId="0" applyNumberFormat="1" applyFont="1" applyFill="1" applyBorder="1" applyAlignment="1">
      <alignment horizontal="center" vertical="center"/>
    </xf>
    <xf numFmtId="164" fontId="7" fillId="3" borderId="9" xfId="0" applyNumberFormat="1" applyFont="1" applyFill="1" applyBorder="1" applyAlignment="1">
      <alignment horizontal="center" vertical="center"/>
    </xf>
    <xf numFmtId="0" fontId="13" fillId="2" borderId="0" xfId="0" applyFont="1" applyFill="1" applyAlignment="1"/>
    <xf numFmtId="0" fontId="7" fillId="2" borderId="29" xfId="0" applyFont="1" applyFill="1" applyBorder="1" applyAlignment="1">
      <alignment horizontal="center" vertical="center"/>
    </xf>
    <xf numFmtId="0" fontId="7" fillId="2" borderId="30" xfId="0" applyFont="1" applyFill="1" applyBorder="1" applyAlignment="1">
      <alignment horizontal="center" vertical="center"/>
    </xf>
    <xf numFmtId="0" fontId="7" fillId="2" borderId="0" xfId="0" applyFont="1" applyFill="1" applyAlignment="1"/>
    <xf numFmtId="0" fontId="14" fillId="2" borderId="31" xfId="0" applyFont="1" applyFill="1" applyBorder="1" applyAlignment="1">
      <alignment horizontal="center" vertical="center"/>
    </xf>
    <xf numFmtId="0" fontId="7" fillId="2" borderId="32" xfId="0" applyFont="1" applyFill="1" applyBorder="1" applyAlignment="1">
      <alignment horizontal="center"/>
    </xf>
    <xf numFmtId="0" fontId="11" fillId="0" borderId="32" xfId="0" applyFont="1" applyFill="1" applyBorder="1" applyAlignment="1"/>
    <xf numFmtId="0" fontId="7" fillId="2" borderId="29" xfId="0" applyFont="1" applyFill="1" applyBorder="1" applyAlignment="1">
      <alignment horizontal="center"/>
    </xf>
    <xf numFmtId="0" fontId="7" fillId="0" borderId="0" xfId="0" applyFont="1" applyFill="1" applyBorder="1"/>
    <xf numFmtId="0" fontId="11" fillId="2" borderId="0" xfId="0" applyFont="1" applyFill="1" applyBorder="1"/>
    <xf numFmtId="0" fontId="11" fillId="2" borderId="0" xfId="0" applyFont="1" applyFill="1" applyBorder="1" applyAlignment="1"/>
    <xf numFmtId="0" fontId="7" fillId="2" borderId="0" xfId="0" applyFont="1" applyFill="1" applyBorder="1"/>
    <xf numFmtId="0" fontId="7" fillId="2" borderId="33" xfId="0" applyFont="1" applyFill="1" applyBorder="1"/>
    <xf numFmtId="0" fontId="15" fillId="2" borderId="0" xfId="0" applyFont="1" applyFill="1" applyBorder="1" applyAlignment="1">
      <alignment vertical="center"/>
    </xf>
    <xf numFmtId="0" fontId="16" fillId="2" borderId="0" xfId="0" applyFont="1" applyFill="1" applyBorder="1" applyAlignment="1">
      <alignment vertical="center"/>
    </xf>
    <xf numFmtId="1" fontId="7" fillId="0" borderId="1" xfId="0" applyNumberFormat="1" applyFont="1" applyFill="1" applyBorder="1" applyAlignment="1">
      <alignment horizontal="center" vertical="center"/>
    </xf>
    <xf numFmtId="1" fontId="7" fillId="0" borderId="2" xfId="0" applyNumberFormat="1" applyFont="1" applyFill="1" applyBorder="1" applyAlignment="1">
      <alignment horizontal="center" vertical="center"/>
    </xf>
    <xf numFmtId="1" fontId="7" fillId="0" borderId="3" xfId="0" applyNumberFormat="1" applyFont="1" applyFill="1" applyBorder="1" applyAlignment="1">
      <alignment horizontal="center" vertical="center"/>
    </xf>
    <xf numFmtId="1" fontId="7" fillId="0" borderId="4" xfId="0" applyNumberFormat="1" applyFont="1" applyFill="1" applyBorder="1" applyAlignment="1">
      <alignment horizontal="center" vertical="center"/>
    </xf>
    <xf numFmtId="1" fontId="7" fillId="0" borderId="5" xfId="0" applyNumberFormat="1" applyFont="1" applyFill="1" applyBorder="1" applyAlignment="1">
      <alignment horizontal="center" vertical="center"/>
    </xf>
    <xf numFmtId="1" fontId="7" fillId="0" borderId="6" xfId="0" applyNumberFormat="1" applyFont="1" applyFill="1" applyBorder="1" applyAlignment="1">
      <alignment horizontal="center" vertical="center"/>
    </xf>
    <xf numFmtId="1" fontId="7" fillId="0" borderId="7" xfId="0" applyNumberFormat="1" applyFont="1" applyFill="1" applyBorder="1" applyAlignment="1">
      <alignment horizontal="center" vertical="center"/>
    </xf>
    <xf numFmtId="1" fontId="7" fillId="0" borderId="8" xfId="0" applyNumberFormat="1" applyFont="1" applyFill="1" applyBorder="1" applyAlignment="1">
      <alignment horizontal="center" vertical="center"/>
    </xf>
    <xf numFmtId="1" fontId="7" fillId="0" borderId="9" xfId="0" applyNumberFormat="1" applyFont="1" applyFill="1" applyBorder="1" applyAlignment="1">
      <alignment horizontal="center" vertical="center"/>
    </xf>
    <xf numFmtId="0" fontId="7" fillId="3" borderId="0" xfId="0" applyFont="1" applyFill="1"/>
    <xf numFmtId="0" fontId="12" fillId="2" borderId="0" xfId="0" applyFont="1" applyFill="1" applyAlignment="1">
      <alignment horizontal="center" wrapText="1"/>
    </xf>
    <xf numFmtId="0" fontId="7" fillId="6" borderId="0" xfId="0" applyFont="1" applyFill="1" applyBorder="1" applyAlignment="1">
      <alignment horizontal="center" vertical="center"/>
    </xf>
    <xf numFmtId="2" fontId="17" fillId="2" borderId="0" xfId="0" applyNumberFormat="1" applyFont="1" applyFill="1" applyBorder="1" applyAlignment="1">
      <alignment horizontal="center" vertical="center"/>
    </xf>
    <xf numFmtId="0" fontId="7" fillId="4" borderId="34" xfId="0" applyFont="1" applyFill="1" applyBorder="1" applyAlignment="1">
      <alignment horizontal="center" vertical="center"/>
    </xf>
    <xf numFmtId="0" fontId="7" fillId="4" borderId="35" xfId="0" applyFont="1" applyFill="1" applyBorder="1" applyAlignment="1">
      <alignment horizontal="center" vertical="center"/>
    </xf>
    <xf numFmtId="0" fontId="7" fillId="5" borderId="35"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6" xfId="0" applyFont="1" applyFill="1" applyBorder="1" applyAlignment="1">
      <alignment horizontal="center" vertical="center"/>
    </xf>
    <xf numFmtId="0" fontId="3" fillId="0" borderId="0" xfId="0" quotePrefix="1" applyFont="1" applyAlignment="1">
      <alignment wrapText="1"/>
    </xf>
    <xf numFmtId="0" fontId="3" fillId="0" borderId="0" xfId="0" applyFont="1" applyAlignment="1">
      <alignment vertical="top"/>
    </xf>
    <xf numFmtId="0" fontId="3" fillId="0" borderId="0" xfId="0" applyFont="1" applyAlignment="1">
      <alignment wrapText="1"/>
    </xf>
    <xf numFmtId="0" fontId="7" fillId="6" borderId="16" xfId="0" applyFont="1" applyFill="1" applyBorder="1" applyAlignment="1">
      <alignment horizontal="center" vertical="center"/>
    </xf>
    <xf numFmtId="0" fontId="8" fillId="2" borderId="0" xfId="0" applyFont="1" applyFill="1" applyBorder="1" applyAlignment="1">
      <alignment vertical="center" wrapText="1"/>
    </xf>
    <xf numFmtId="0" fontId="8" fillId="2" borderId="0" xfId="0" applyFont="1" applyFill="1" applyBorder="1" applyAlignment="1">
      <alignment vertical="center"/>
    </xf>
    <xf numFmtId="1" fontId="17" fillId="2" borderId="0" xfId="0" applyNumberFormat="1" applyFont="1" applyFill="1" applyBorder="1" applyAlignment="1">
      <alignment vertical="center"/>
    </xf>
    <xf numFmtId="165" fontId="7" fillId="3" borderId="5" xfId="0" applyNumberFormat="1" applyFont="1" applyFill="1" applyBorder="1" applyAlignment="1">
      <alignment horizontal="center" vertical="center"/>
    </xf>
    <xf numFmtId="0" fontId="2" fillId="0" borderId="0" xfId="0" applyFont="1" applyFill="1" applyBorder="1" applyAlignment="1">
      <alignment vertical="center"/>
    </xf>
    <xf numFmtId="0" fontId="5" fillId="2" borderId="0" xfId="1" applyFont="1" applyFill="1"/>
    <xf numFmtId="1" fontId="5" fillId="3" borderId="9" xfId="1" applyNumberFormat="1" applyFont="1" applyFill="1" applyBorder="1" applyAlignment="1">
      <alignment horizontal="center" vertical="center"/>
    </xf>
    <xf numFmtId="1" fontId="5" fillId="3" borderId="8" xfId="1" applyNumberFormat="1" applyFont="1" applyFill="1" applyBorder="1" applyAlignment="1">
      <alignment horizontal="center" vertical="center"/>
    </xf>
    <xf numFmtId="1" fontId="5" fillId="3" borderId="7" xfId="1" applyNumberFormat="1" applyFont="1" applyFill="1" applyBorder="1" applyAlignment="1">
      <alignment horizontal="center" vertical="center"/>
    </xf>
    <xf numFmtId="0" fontId="5" fillId="6" borderId="24" xfId="1" applyFont="1" applyFill="1" applyBorder="1" applyAlignment="1">
      <alignment horizontal="center" vertical="center"/>
    </xf>
    <xf numFmtId="1" fontId="5" fillId="3" borderId="6" xfId="1" applyNumberFormat="1" applyFont="1" applyFill="1" applyBorder="1" applyAlignment="1">
      <alignment horizontal="center" vertical="center"/>
    </xf>
    <xf numFmtId="1" fontId="5" fillId="3" borderId="5" xfId="1" applyNumberFormat="1" applyFont="1" applyFill="1" applyBorder="1" applyAlignment="1">
      <alignment horizontal="center" vertical="center"/>
    </xf>
    <xf numFmtId="1" fontId="5" fillId="3" borderId="4" xfId="1" applyNumberFormat="1" applyFont="1" applyFill="1" applyBorder="1" applyAlignment="1">
      <alignment horizontal="center" vertical="center"/>
    </xf>
    <xf numFmtId="0" fontId="5" fillId="6" borderId="23" xfId="1" applyFont="1" applyFill="1" applyBorder="1" applyAlignment="1">
      <alignment horizontal="center" vertical="center"/>
    </xf>
    <xf numFmtId="0" fontId="5" fillId="6" borderId="45" xfId="1" applyFont="1" applyFill="1" applyBorder="1" applyAlignment="1">
      <alignment horizontal="center" vertical="center"/>
    </xf>
    <xf numFmtId="0" fontId="5" fillId="6" borderId="46" xfId="1" applyFont="1" applyFill="1" applyBorder="1" applyAlignment="1">
      <alignment horizontal="center" vertical="center"/>
    </xf>
    <xf numFmtId="0" fontId="5" fillId="5" borderId="46" xfId="1" applyFont="1" applyFill="1" applyBorder="1" applyAlignment="1">
      <alignment horizontal="center" vertical="center"/>
    </xf>
    <xf numFmtId="1" fontId="5" fillId="3" borderId="18" xfId="1" applyNumberFormat="1" applyFont="1" applyFill="1" applyBorder="1" applyAlignment="1">
      <alignment horizontal="center" vertical="center"/>
    </xf>
    <xf numFmtId="1" fontId="5" fillId="3" borderId="47" xfId="1" applyNumberFormat="1" applyFont="1" applyFill="1" applyBorder="1" applyAlignment="1">
      <alignment horizontal="center" vertical="center"/>
    </xf>
    <xf numFmtId="1" fontId="5" fillId="3" borderId="48" xfId="1" applyNumberFormat="1" applyFont="1" applyFill="1" applyBorder="1" applyAlignment="1">
      <alignment horizontal="center" vertical="center"/>
    </xf>
    <xf numFmtId="0" fontId="5" fillId="4" borderId="46" xfId="1" applyFont="1" applyFill="1" applyBorder="1" applyAlignment="1">
      <alignment horizontal="center" vertical="center"/>
    </xf>
    <xf numFmtId="0" fontId="5" fillId="4" borderId="49" xfId="1" applyFont="1" applyFill="1" applyBorder="1" applyAlignment="1">
      <alignment horizontal="center" vertical="center"/>
    </xf>
    <xf numFmtId="1" fontId="5" fillId="3" borderId="3" xfId="1" applyNumberFormat="1" applyFont="1" applyFill="1" applyBorder="1" applyAlignment="1">
      <alignment horizontal="center" vertical="center"/>
    </xf>
    <xf numFmtId="1" fontId="5" fillId="3" borderId="2" xfId="1" applyNumberFormat="1" applyFont="1" applyFill="1" applyBorder="1" applyAlignment="1">
      <alignment horizontal="center" vertical="center"/>
    </xf>
    <xf numFmtId="1" fontId="5" fillId="3" borderId="1" xfId="1" applyNumberFormat="1" applyFont="1" applyFill="1" applyBorder="1" applyAlignment="1">
      <alignment horizontal="center" vertical="center"/>
    </xf>
    <xf numFmtId="0" fontId="5" fillId="4" borderId="50" xfId="1" applyFont="1" applyFill="1" applyBorder="1" applyAlignment="1">
      <alignment horizontal="center" vertical="center"/>
    </xf>
    <xf numFmtId="0" fontId="5" fillId="6" borderId="51" xfId="1" applyFont="1" applyFill="1" applyBorder="1" applyAlignment="1">
      <alignment horizontal="center" vertical="center"/>
    </xf>
    <xf numFmtId="0" fontId="5" fillId="6" borderId="52" xfId="1" applyFont="1" applyFill="1" applyBorder="1" applyAlignment="1">
      <alignment horizontal="center" vertical="center"/>
    </xf>
    <xf numFmtId="0" fontId="5" fillId="5" borderId="52" xfId="1" applyFont="1" applyFill="1" applyBorder="1" applyAlignment="1">
      <alignment horizontal="center" vertical="center"/>
    </xf>
    <xf numFmtId="0" fontId="5" fillId="4" borderId="52" xfId="1" applyFont="1" applyFill="1" applyBorder="1" applyAlignment="1">
      <alignment horizontal="center" vertical="center"/>
    </xf>
    <xf numFmtId="0" fontId="5" fillId="4" borderId="53" xfId="1" applyFont="1" applyFill="1" applyBorder="1" applyAlignment="1">
      <alignment horizontal="center" vertical="center"/>
    </xf>
    <xf numFmtId="0" fontId="5" fillId="5" borderId="23" xfId="1" applyFont="1" applyFill="1" applyBorder="1" applyAlignment="1">
      <alignment horizontal="center" vertical="center"/>
    </xf>
    <xf numFmtId="0" fontId="5" fillId="2" borderId="0" xfId="1" applyFont="1" applyFill="1" applyAlignment="1">
      <alignment horizontal="center" vertical="center"/>
    </xf>
    <xf numFmtId="0" fontId="5" fillId="4" borderId="23" xfId="1" applyFont="1" applyFill="1" applyBorder="1" applyAlignment="1">
      <alignment horizontal="center" vertical="center"/>
    </xf>
    <xf numFmtId="1" fontId="5" fillId="3" borderId="54" xfId="1" applyNumberFormat="1" applyFont="1" applyFill="1" applyBorder="1" applyAlignment="1">
      <alignment horizontal="center" vertical="center"/>
    </xf>
    <xf numFmtId="0" fontId="5" fillId="4" borderId="25" xfId="1" applyFont="1" applyFill="1" applyBorder="1" applyAlignment="1">
      <alignment horizontal="center" vertical="center"/>
    </xf>
    <xf numFmtId="0" fontId="5" fillId="2" borderId="27" xfId="1" applyFont="1" applyFill="1" applyBorder="1" applyAlignment="1">
      <alignment horizontal="center" vertical="center"/>
    </xf>
    <xf numFmtId="0" fontId="5" fillId="2" borderId="26" xfId="1" applyFont="1" applyFill="1" applyBorder="1" applyAlignment="1">
      <alignment horizontal="center" vertical="center"/>
    </xf>
    <xf numFmtId="0" fontId="5" fillId="6" borderId="11" xfId="1" applyFont="1" applyFill="1" applyBorder="1" applyAlignment="1">
      <alignment horizontal="center" vertical="center"/>
    </xf>
    <xf numFmtId="0" fontId="5" fillId="5" borderId="11" xfId="1" applyFont="1" applyFill="1" applyBorder="1" applyAlignment="1">
      <alignment horizontal="center" vertical="center"/>
    </xf>
    <xf numFmtId="0" fontId="5" fillId="4" borderId="11" xfId="1" applyFont="1" applyFill="1" applyBorder="1" applyAlignment="1">
      <alignment horizontal="center" vertical="center"/>
    </xf>
    <xf numFmtId="0" fontId="5" fillId="4" borderId="10" xfId="1" applyFont="1" applyFill="1" applyBorder="1" applyAlignment="1">
      <alignment horizontal="center" vertical="center"/>
    </xf>
    <xf numFmtId="0" fontId="5" fillId="4" borderId="12" xfId="1" applyFont="1" applyFill="1" applyBorder="1" applyAlignment="1">
      <alignment horizontal="center" vertical="center"/>
    </xf>
    <xf numFmtId="1" fontId="5" fillId="9" borderId="48" xfId="1" applyNumberFormat="1" applyFont="1" applyFill="1" applyBorder="1" applyAlignment="1">
      <alignment horizontal="center" vertical="center"/>
    </xf>
    <xf numFmtId="1" fontId="5" fillId="9" borderId="4" xfId="1" applyNumberFormat="1" applyFont="1" applyFill="1" applyBorder="1" applyAlignment="1">
      <alignment horizontal="center" vertical="center"/>
    </xf>
    <xf numFmtId="0" fontId="5" fillId="6" borderId="27" xfId="1" applyFont="1" applyFill="1" applyBorder="1" applyAlignment="1">
      <alignment horizontal="center" vertical="center"/>
    </xf>
    <xf numFmtId="0" fontId="5" fillId="5" borderId="27" xfId="1" applyFont="1" applyFill="1" applyBorder="1" applyAlignment="1">
      <alignment horizontal="center" vertical="center"/>
    </xf>
    <xf numFmtId="0" fontId="5" fillId="4" borderId="27" xfId="1" applyFont="1" applyFill="1" applyBorder="1" applyAlignment="1">
      <alignment horizontal="center" vertical="center"/>
    </xf>
    <xf numFmtId="1" fontId="5" fillId="9" borderId="5" xfId="1" applyNumberFormat="1" applyFont="1" applyFill="1" applyBorder="1" applyAlignment="1">
      <alignment horizontal="center" vertical="center"/>
    </xf>
    <xf numFmtId="1" fontId="5" fillId="9" borderId="6" xfId="1" applyNumberFormat="1" applyFont="1" applyFill="1" applyBorder="1" applyAlignment="1">
      <alignment horizontal="center" vertical="center"/>
    </xf>
    <xf numFmtId="1" fontId="5" fillId="9" borderId="3" xfId="1" applyNumberFormat="1" applyFont="1" applyFill="1" applyBorder="1" applyAlignment="1">
      <alignment horizontal="center" vertical="center"/>
    </xf>
    <xf numFmtId="1" fontId="5" fillId="9" borderId="2" xfId="1" applyNumberFormat="1" applyFont="1" applyFill="1" applyBorder="1" applyAlignment="1">
      <alignment horizontal="center" vertical="center"/>
    </xf>
    <xf numFmtId="1" fontId="5" fillId="9" borderId="1" xfId="1" applyNumberFormat="1" applyFont="1" applyFill="1" applyBorder="1" applyAlignment="1">
      <alignment horizontal="center" vertical="center"/>
    </xf>
    <xf numFmtId="0" fontId="5" fillId="6" borderId="36" xfId="1" applyFont="1" applyFill="1" applyBorder="1" applyAlignment="1">
      <alignment horizontal="center" vertical="center"/>
    </xf>
    <xf numFmtId="0" fontId="5" fillId="6" borderId="35" xfId="1" applyFont="1" applyFill="1" applyBorder="1" applyAlignment="1">
      <alignment horizontal="center" vertical="center"/>
    </xf>
    <xf numFmtId="0" fontId="5" fillId="5" borderId="35" xfId="1" applyFont="1" applyFill="1" applyBorder="1" applyAlignment="1">
      <alignment horizontal="center" vertical="center"/>
    </xf>
    <xf numFmtId="0" fontId="5" fillId="4" borderId="35" xfId="1" applyFont="1" applyFill="1" applyBorder="1" applyAlignment="1">
      <alignment horizontal="center" vertical="center"/>
    </xf>
    <xf numFmtId="0" fontId="5" fillId="4" borderId="37" xfId="1" applyFont="1" applyFill="1" applyBorder="1" applyAlignment="1">
      <alignment horizontal="center" vertical="center"/>
    </xf>
    <xf numFmtId="0" fontId="5" fillId="4" borderId="34" xfId="1" applyFont="1" applyFill="1" applyBorder="1" applyAlignment="1">
      <alignment horizontal="center" vertical="center"/>
    </xf>
    <xf numFmtId="0" fontId="5" fillId="9" borderId="0" xfId="1" applyFont="1" applyFill="1"/>
    <xf numFmtId="0" fontId="4" fillId="2" borderId="0" xfId="1" applyFont="1" applyFill="1"/>
    <xf numFmtId="0" fontId="7" fillId="6" borderId="52" xfId="0" applyFont="1" applyFill="1" applyBorder="1" applyAlignment="1">
      <alignment horizontal="center" vertical="center"/>
    </xf>
    <xf numFmtId="0" fontId="7" fillId="6" borderId="51" xfId="0" applyFont="1" applyFill="1" applyBorder="1" applyAlignment="1">
      <alignment horizontal="center" vertical="center"/>
    </xf>
    <xf numFmtId="0" fontId="7" fillId="4" borderId="53" xfId="0" applyFont="1" applyFill="1" applyBorder="1" applyAlignment="1">
      <alignment horizontal="center" vertical="center"/>
    </xf>
    <xf numFmtId="0" fontId="7" fillId="4" borderId="52" xfId="0" applyFont="1" applyFill="1" applyBorder="1" applyAlignment="1">
      <alignment horizontal="center" vertical="center"/>
    </xf>
    <xf numFmtId="0" fontId="7" fillId="5" borderId="52" xfId="0" applyFont="1" applyFill="1" applyBorder="1" applyAlignment="1">
      <alignment horizontal="center" vertical="center"/>
    </xf>
    <xf numFmtId="0" fontId="7" fillId="4" borderId="25" xfId="0" applyFont="1" applyFill="1" applyBorder="1" applyAlignment="1">
      <alignment horizontal="center" vertical="center"/>
    </xf>
    <xf numFmtId="0" fontId="7" fillId="4" borderId="23" xfId="0" applyFont="1" applyFill="1" applyBorder="1" applyAlignment="1">
      <alignment horizontal="center" vertical="center"/>
    </xf>
    <xf numFmtId="0" fontId="7" fillId="5" borderId="23" xfId="0" applyFont="1" applyFill="1" applyBorder="1" applyAlignment="1">
      <alignment horizontal="center" vertical="center"/>
    </xf>
    <xf numFmtId="0" fontId="7" fillId="6" borderId="23" xfId="0" applyFont="1" applyFill="1" applyBorder="1" applyAlignment="1">
      <alignment horizontal="center" vertical="center"/>
    </xf>
    <xf numFmtId="0" fontId="7" fillId="6" borderId="24" xfId="0" applyFont="1" applyFill="1" applyBorder="1" applyAlignment="1">
      <alignment horizontal="center" vertical="center"/>
    </xf>
    <xf numFmtId="0" fontId="7" fillId="13" borderId="0" xfId="0" applyFont="1" applyFill="1"/>
    <xf numFmtId="0" fontId="7" fillId="15" borderId="0" xfId="0" applyFont="1" applyFill="1"/>
    <xf numFmtId="0" fontId="12" fillId="15" borderId="0" xfId="0" applyFont="1" applyFill="1" applyAlignment="1">
      <alignment horizontal="center" wrapText="1"/>
    </xf>
    <xf numFmtId="1" fontId="7" fillId="0" borderId="21" xfId="0" applyNumberFormat="1" applyFont="1" applyFill="1" applyBorder="1" applyAlignment="1">
      <alignment horizontal="center" vertical="center"/>
    </xf>
    <xf numFmtId="1" fontId="7" fillId="0" borderId="22" xfId="0" applyNumberFormat="1" applyFont="1" applyFill="1" applyBorder="1" applyAlignment="1">
      <alignment horizontal="center" vertical="center"/>
    </xf>
    <xf numFmtId="0" fontId="7" fillId="16" borderId="0" xfId="0" applyFont="1" applyFill="1" applyAlignment="1">
      <alignment horizontal="center" vertical="center"/>
    </xf>
    <xf numFmtId="0" fontId="7" fillId="16" borderId="0" xfId="0" applyFont="1" applyFill="1" applyBorder="1" applyAlignment="1">
      <alignment horizontal="center" vertical="center"/>
    </xf>
    <xf numFmtId="164" fontId="7" fillId="16" borderId="0" xfId="0" applyNumberFormat="1" applyFont="1" applyFill="1" applyBorder="1" applyAlignment="1">
      <alignment horizontal="center" vertical="center"/>
    </xf>
    <xf numFmtId="0" fontId="7" fillId="2" borderId="39" xfId="0" applyFont="1" applyFill="1" applyBorder="1" applyAlignment="1">
      <alignment horizontal="center" vertical="center"/>
    </xf>
    <xf numFmtId="0" fontId="7" fillId="6" borderId="33" xfId="0" applyFont="1" applyFill="1" applyBorder="1" applyAlignment="1">
      <alignment horizontal="center" vertical="center"/>
    </xf>
    <xf numFmtId="0" fontId="7" fillId="4" borderId="1" xfId="0" applyFont="1" applyFill="1" applyBorder="1" applyAlignment="1">
      <alignment horizontal="center" vertical="center"/>
    </xf>
    <xf numFmtId="0" fontId="7" fillId="4" borderId="2" xfId="0" applyFont="1" applyFill="1" applyBorder="1" applyAlignment="1">
      <alignment horizontal="center" vertical="center"/>
    </xf>
    <xf numFmtId="0" fontId="7" fillId="5" borderId="2" xfId="0" applyFont="1" applyFill="1" applyBorder="1" applyAlignment="1">
      <alignment horizontal="center"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164" fontId="7" fillId="3" borderId="56" xfId="0" applyNumberFormat="1" applyFont="1" applyFill="1" applyBorder="1" applyAlignment="1">
      <alignment horizontal="center" vertical="center"/>
    </xf>
    <xf numFmtId="164" fontId="7" fillId="3" borderId="21" xfId="0" applyNumberFormat="1" applyFont="1" applyFill="1" applyBorder="1" applyAlignment="1">
      <alignment horizontal="center" vertical="center"/>
    </xf>
    <xf numFmtId="164" fontId="7" fillId="3" borderId="22" xfId="0" applyNumberFormat="1" applyFont="1" applyFill="1" applyBorder="1" applyAlignment="1">
      <alignment horizontal="center" vertical="center"/>
    </xf>
    <xf numFmtId="0" fontId="7" fillId="14" borderId="39" xfId="0" applyFont="1" applyFill="1" applyBorder="1" applyAlignment="1">
      <alignment horizontal="center" vertical="center"/>
    </xf>
    <xf numFmtId="2" fontId="7" fillId="3" borderId="21" xfId="0" applyNumberFormat="1" applyFont="1" applyFill="1" applyBorder="1" applyAlignment="1">
      <alignment horizontal="center" vertical="center"/>
    </xf>
    <xf numFmtId="2" fontId="7" fillId="3" borderId="22" xfId="0" applyNumberFormat="1" applyFont="1" applyFill="1" applyBorder="1" applyAlignment="1">
      <alignment horizontal="center" vertical="center"/>
    </xf>
    <xf numFmtId="2" fontId="7" fillId="3" borderId="57" xfId="0" applyNumberFormat="1" applyFont="1" applyFill="1" applyBorder="1" applyAlignment="1">
      <alignment horizontal="center" vertical="center"/>
    </xf>
    <xf numFmtId="2" fontId="7" fillId="3" borderId="48" xfId="0" applyNumberFormat="1" applyFont="1" applyFill="1" applyBorder="1" applyAlignment="1">
      <alignment horizontal="center" vertical="center"/>
    </xf>
    <xf numFmtId="0" fontId="7" fillId="2" borderId="55" xfId="0" applyFont="1" applyFill="1" applyBorder="1" applyAlignment="1">
      <alignment horizontal="center" vertical="center"/>
    </xf>
    <xf numFmtId="0" fontId="7" fillId="14" borderId="55" xfId="0" applyFont="1" applyFill="1" applyBorder="1" applyAlignment="1">
      <alignment horizontal="center" vertical="center"/>
    </xf>
    <xf numFmtId="0" fontId="7" fillId="2" borderId="33" xfId="0" applyFont="1" applyFill="1" applyBorder="1" applyAlignment="1">
      <alignment horizontal="center" vertical="center"/>
    </xf>
    <xf numFmtId="2" fontId="7" fillId="3" borderId="47" xfId="0" applyNumberFormat="1" applyFont="1" applyFill="1" applyBorder="1" applyAlignment="1">
      <alignment horizontal="center" vertical="center"/>
    </xf>
    <xf numFmtId="0" fontId="2" fillId="16" borderId="39" xfId="0" applyFont="1" applyFill="1" applyBorder="1" applyAlignment="1">
      <alignment vertical="center"/>
    </xf>
    <xf numFmtId="165" fontId="7" fillId="3" borderId="6" xfId="0" applyNumberFormat="1" applyFont="1" applyFill="1" applyBorder="1" applyAlignment="1">
      <alignment horizontal="center" vertical="center"/>
    </xf>
    <xf numFmtId="165" fontId="7" fillId="3" borderId="8" xfId="0" applyNumberFormat="1" applyFont="1" applyFill="1" applyBorder="1" applyAlignment="1">
      <alignment horizontal="center" vertical="center"/>
    </xf>
    <xf numFmtId="165" fontId="7" fillId="3" borderId="9" xfId="0" applyNumberFormat="1" applyFont="1" applyFill="1" applyBorder="1" applyAlignment="1">
      <alignment horizontal="center" vertical="center"/>
    </xf>
    <xf numFmtId="165" fontId="7" fillId="3" borderId="48" xfId="0" applyNumberFormat="1" applyFont="1" applyFill="1" applyBorder="1" applyAlignment="1">
      <alignment horizontal="center" vertical="center"/>
    </xf>
    <xf numFmtId="165" fontId="7" fillId="3" borderId="47" xfId="0" applyNumberFormat="1" applyFont="1" applyFill="1" applyBorder="1" applyAlignment="1">
      <alignment horizontal="center" vertical="center"/>
    </xf>
    <xf numFmtId="165" fontId="7" fillId="3" borderId="57" xfId="0" applyNumberFormat="1" applyFont="1" applyFill="1" applyBorder="1" applyAlignment="1">
      <alignment horizontal="center" vertical="center"/>
    </xf>
    <xf numFmtId="165" fontId="7" fillId="3" borderId="21" xfId="0" applyNumberFormat="1" applyFont="1" applyFill="1" applyBorder="1" applyAlignment="1">
      <alignment horizontal="center" vertical="center"/>
    </xf>
    <xf numFmtId="165" fontId="7" fillId="3" borderId="22" xfId="0" applyNumberFormat="1" applyFont="1" applyFill="1" applyBorder="1" applyAlignment="1">
      <alignment horizontal="center" vertical="center"/>
    </xf>
    <xf numFmtId="0" fontId="7" fillId="2" borderId="41" xfId="0" applyFont="1" applyFill="1" applyBorder="1" applyAlignment="1">
      <alignment horizontal="center" vertical="center"/>
    </xf>
    <xf numFmtId="1" fontId="7" fillId="0" borderId="48" xfId="0" applyNumberFormat="1" applyFont="1" applyFill="1" applyBorder="1" applyAlignment="1">
      <alignment horizontal="center" vertical="center"/>
    </xf>
    <xf numFmtId="1" fontId="7" fillId="0" borderId="47" xfId="0" applyNumberFormat="1" applyFont="1" applyFill="1" applyBorder="1" applyAlignment="1">
      <alignment horizontal="center" vertical="center"/>
    </xf>
    <xf numFmtId="0" fontId="7" fillId="4" borderId="4" xfId="0" applyFont="1" applyFill="1" applyBorder="1" applyAlignment="1">
      <alignment horizontal="center" vertical="center"/>
    </xf>
    <xf numFmtId="0" fontId="7" fillId="5" borderId="4" xfId="0" applyFont="1" applyFill="1" applyBorder="1" applyAlignment="1">
      <alignment horizontal="center" vertical="center"/>
    </xf>
    <xf numFmtId="0" fontId="7" fillId="6" borderId="4" xfId="0" applyFont="1" applyFill="1" applyBorder="1" applyAlignment="1">
      <alignment horizontal="center" vertical="center"/>
    </xf>
    <xf numFmtId="0" fontId="7" fillId="6" borderId="59" xfId="0" applyFont="1" applyFill="1" applyBorder="1" applyAlignment="1">
      <alignment horizontal="center" vertical="center"/>
    </xf>
    <xf numFmtId="0" fontId="7" fillId="6" borderId="7" xfId="0" applyFont="1" applyFill="1" applyBorder="1" applyAlignment="1">
      <alignment horizontal="center" vertical="center"/>
    </xf>
    <xf numFmtId="0" fontId="7" fillId="2" borderId="56" xfId="0" applyFont="1" applyFill="1" applyBorder="1" applyAlignment="1">
      <alignment horizontal="center" vertical="center"/>
    </xf>
    <xf numFmtId="0" fontId="7" fillId="4" borderId="21" xfId="0" applyFont="1" applyFill="1" applyBorder="1" applyAlignment="1">
      <alignment horizontal="center" vertical="center"/>
    </xf>
    <xf numFmtId="0" fontId="7" fillId="5" borderId="21" xfId="0" applyFont="1" applyFill="1" applyBorder="1" applyAlignment="1">
      <alignment horizontal="center" vertical="center"/>
    </xf>
    <xf numFmtId="0" fontId="7" fillId="6" borderId="21" xfId="0" applyFont="1" applyFill="1" applyBorder="1" applyAlignment="1">
      <alignment horizontal="center" vertical="center"/>
    </xf>
    <xf numFmtId="0" fontId="7" fillId="6" borderId="22" xfId="0" applyFont="1" applyFill="1" applyBorder="1" applyAlignment="1">
      <alignment horizontal="center" vertical="center"/>
    </xf>
    <xf numFmtId="164" fontId="7" fillId="3" borderId="57" xfId="0" applyNumberFormat="1" applyFont="1" applyFill="1" applyBorder="1" applyAlignment="1">
      <alignment horizontal="center" vertical="center"/>
    </xf>
    <xf numFmtId="164" fontId="7" fillId="3" borderId="48" xfId="0" applyNumberFormat="1" applyFont="1" applyFill="1" applyBorder="1" applyAlignment="1">
      <alignment horizontal="center" vertical="center"/>
    </xf>
    <xf numFmtId="164" fontId="7" fillId="3" borderId="47" xfId="0" applyNumberFormat="1" applyFont="1" applyFill="1" applyBorder="1" applyAlignment="1">
      <alignment horizontal="center" vertical="center"/>
    </xf>
    <xf numFmtId="0" fontId="5" fillId="4" borderId="1" xfId="0" applyFont="1" applyFill="1" applyBorder="1" applyAlignment="1">
      <alignment horizontal="center" vertical="center"/>
    </xf>
    <xf numFmtId="0" fontId="5" fillId="4" borderId="2" xfId="0" applyFont="1" applyFill="1" applyBorder="1" applyAlignment="1">
      <alignment horizontal="center" vertical="center"/>
    </xf>
    <xf numFmtId="0" fontId="5" fillId="5" borderId="2" xfId="0" applyFont="1" applyFill="1" applyBorder="1" applyAlignment="1">
      <alignment horizontal="center" vertical="center"/>
    </xf>
    <xf numFmtId="0" fontId="5" fillId="6" borderId="2" xfId="0" applyFont="1" applyFill="1" applyBorder="1" applyAlignment="1">
      <alignment horizontal="center" vertical="center"/>
    </xf>
    <xf numFmtId="0" fontId="5" fillId="6" borderId="3" xfId="0" applyFont="1" applyFill="1" applyBorder="1" applyAlignment="1">
      <alignment horizontal="center" vertical="center"/>
    </xf>
    <xf numFmtId="1" fontId="5" fillId="9" borderId="48" xfId="0" applyNumberFormat="1" applyFont="1" applyFill="1" applyBorder="1" applyAlignment="1">
      <alignment horizontal="center" vertical="center"/>
    </xf>
    <xf numFmtId="1" fontId="5" fillId="9" borderId="47" xfId="0" applyNumberFormat="1" applyFont="1" applyFill="1" applyBorder="1" applyAlignment="1">
      <alignment horizontal="center" vertical="center"/>
    </xf>
    <xf numFmtId="0" fontId="5" fillId="4" borderId="4" xfId="0" applyFont="1" applyFill="1" applyBorder="1" applyAlignment="1">
      <alignment horizontal="center" vertical="center"/>
    </xf>
    <xf numFmtId="0" fontId="5" fillId="5" borderId="4" xfId="0" applyFont="1" applyFill="1" applyBorder="1" applyAlignment="1">
      <alignment horizontal="center" vertical="center"/>
    </xf>
    <xf numFmtId="0" fontId="5" fillId="6" borderId="4" xfId="0" applyFont="1" applyFill="1" applyBorder="1" applyAlignment="1">
      <alignment horizontal="center" vertical="center"/>
    </xf>
    <xf numFmtId="0" fontId="5" fillId="6" borderId="7" xfId="0" applyFont="1" applyFill="1" applyBorder="1" applyAlignment="1">
      <alignment horizontal="center" vertical="center"/>
    </xf>
    <xf numFmtId="1" fontId="5" fillId="3" borderId="57" xfId="0" applyNumberFormat="1" applyFont="1" applyFill="1" applyBorder="1" applyAlignment="1">
      <alignment horizontal="center" vertical="center"/>
    </xf>
    <xf numFmtId="1" fontId="5" fillId="3" borderId="48" xfId="0" applyNumberFormat="1" applyFont="1" applyFill="1" applyBorder="1" applyAlignment="1">
      <alignment horizontal="center" vertical="center"/>
    </xf>
    <xf numFmtId="1" fontId="5" fillId="3" borderId="47" xfId="0" applyNumberFormat="1" applyFont="1" applyFill="1" applyBorder="1" applyAlignment="1">
      <alignment horizontal="center" vertical="center"/>
    </xf>
    <xf numFmtId="0" fontId="5" fillId="4" borderId="21" xfId="0" applyFont="1" applyFill="1" applyBorder="1" applyAlignment="1">
      <alignment horizontal="center" vertical="center"/>
    </xf>
    <xf numFmtId="0" fontId="5" fillId="5" borderId="21" xfId="0" applyFont="1" applyFill="1" applyBorder="1" applyAlignment="1">
      <alignment horizontal="center" vertical="center"/>
    </xf>
    <xf numFmtId="0" fontId="5" fillId="6" borderId="21" xfId="0" applyFont="1" applyFill="1" applyBorder="1" applyAlignment="1">
      <alignment horizontal="center" vertical="center"/>
    </xf>
    <xf numFmtId="0" fontId="5" fillId="6" borderId="22" xfId="0" applyFont="1" applyFill="1" applyBorder="1" applyAlignment="1">
      <alignment horizontal="center" vertical="center"/>
    </xf>
    <xf numFmtId="0" fontId="5" fillId="4" borderId="57" xfId="0" applyFont="1" applyFill="1" applyBorder="1" applyAlignment="1">
      <alignment horizontal="center" vertical="center"/>
    </xf>
    <xf numFmtId="0" fontId="5" fillId="4" borderId="56" xfId="0" applyFont="1" applyFill="1" applyBorder="1" applyAlignment="1">
      <alignment horizontal="center" vertical="center"/>
    </xf>
    <xf numFmtId="0" fontId="5" fillId="2" borderId="26" xfId="0" applyFont="1" applyFill="1" applyBorder="1" applyAlignment="1">
      <alignment horizontal="center" vertical="center"/>
    </xf>
    <xf numFmtId="0" fontId="5" fillId="2" borderId="27" xfId="0" applyFont="1" applyFill="1" applyBorder="1" applyAlignment="1">
      <alignment horizontal="center" vertical="center"/>
    </xf>
    <xf numFmtId="0" fontId="8" fillId="8" borderId="0" xfId="0" applyFont="1" applyFill="1" applyBorder="1" applyAlignment="1">
      <alignment vertical="center"/>
    </xf>
    <xf numFmtId="1" fontId="7" fillId="0" borderId="57" xfId="0" applyNumberFormat="1" applyFont="1" applyFill="1" applyBorder="1" applyAlignment="1">
      <alignment horizontal="center" vertical="center"/>
    </xf>
    <xf numFmtId="1" fontId="5" fillId="9" borderId="21" xfId="0" applyNumberFormat="1" applyFont="1" applyFill="1" applyBorder="1" applyAlignment="1">
      <alignment horizontal="center" vertical="center"/>
    </xf>
    <xf numFmtId="1" fontId="5" fillId="9" borderId="22" xfId="0" applyNumberFormat="1" applyFont="1" applyFill="1" applyBorder="1" applyAlignment="1">
      <alignment horizontal="center" vertical="center"/>
    </xf>
    <xf numFmtId="1" fontId="5" fillId="9" borderId="57" xfId="0" applyNumberFormat="1" applyFont="1" applyFill="1" applyBorder="1" applyAlignment="1">
      <alignment horizontal="center" vertical="center"/>
    </xf>
    <xf numFmtId="0" fontId="5" fillId="6" borderId="59" xfId="0" applyFont="1" applyFill="1" applyBorder="1" applyAlignment="1">
      <alignment horizontal="center" vertical="center"/>
    </xf>
    <xf numFmtId="0" fontId="5" fillId="4" borderId="54" xfId="0" applyFont="1" applyFill="1" applyBorder="1" applyAlignment="1">
      <alignment horizontal="center" vertical="center"/>
    </xf>
    <xf numFmtId="0" fontId="7" fillId="0" borderId="0" xfId="0" applyFont="1"/>
    <xf numFmtId="0" fontId="6" fillId="8" borderId="26" xfId="0" applyFont="1" applyFill="1" applyBorder="1" applyAlignment="1">
      <alignment horizontal="center" vertical="center" textRotation="90"/>
    </xf>
    <xf numFmtId="0" fontId="6" fillId="8" borderId="28" xfId="0" applyFont="1" applyFill="1" applyBorder="1" applyAlignment="1">
      <alignment horizontal="center" vertical="center" textRotation="90"/>
    </xf>
    <xf numFmtId="0" fontId="6" fillId="8" borderId="27" xfId="0" applyFont="1" applyFill="1" applyBorder="1" applyAlignment="1">
      <alignment horizontal="center" vertical="center" textRotation="90"/>
    </xf>
    <xf numFmtId="0" fontId="6" fillId="5" borderId="41" xfId="0" applyFont="1" applyFill="1" applyBorder="1" applyAlignment="1">
      <alignment horizontal="center" vertical="center"/>
    </xf>
    <xf numFmtId="0" fontId="6" fillId="5" borderId="31" xfId="0" applyFont="1" applyFill="1" applyBorder="1" applyAlignment="1">
      <alignment horizontal="center" vertical="center"/>
    </xf>
    <xf numFmtId="0" fontId="6" fillId="5" borderId="42" xfId="0" applyFont="1" applyFill="1" applyBorder="1" applyAlignment="1">
      <alignment horizontal="center" vertical="center"/>
    </xf>
    <xf numFmtId="0" fontId="4" fillId="8" borderId="41" xfId="0" applyFont="1" applyFill="1" applyBorder="1" applyAlignment="1">
      <alignment horizontal="center" vertical="center"/>
    </xf>
    <xf numFmtId="0" fontId="4" fillId="8" borderId="31" xfId="0" applyFont="1" applyFill="1" applyBorder="1" applyAlignment="1">
      <alignment horizontal="center" vertical="center"/>
    </xf>
    <xf numFmtId="0" fontId="4" fillId="8" borderId="42" xfId="0" applyFont="1" applyFill="1" applyBorder="1" applyAlignment="1">
      <alignment horizontal="center" vertical="center"/>
    </xf>
    <xf numFmtId="0" fontId="6" fillId="8" borderId="41" xfId="0" applyFont="1" applyFill="1" applyBorder="1" applyAlignment="1">
      <alignment horizontal="center" vertical="center"/>
    </xf>
    <xf numFmtId="0" fontId="6" fillId="8" borderId="31" xfId="0" applyFont="1" applyFill="1" applyBorder="1" applyAlignment="1">
      <alignment horizontal="center" vertical="center"/>
    </xf>
    <xf numFmtId="0" fontId="5" fillId="0" borderId="31" xfId="0" applyFont="1" applyBorder="1" applyAlignment="1">
      <alignment horizontal="center" vertical="center"/>
    </xf>
    <xf numFmtId="0" fontId="5" fillId="0" borderId="42" xfId="0" applyFont="1" applyBorder="1" applyAlignment="1">
      <alignment horizontal="center" vertical="center"/>
    </xf>
    <xf numFmtId="0" fontId="18" fillId="2" borderId="38" xfId="0" applyFont="1" applyFill="1" applyBorder="1" applyAlignment="1">
      <alignment horizontal="center" vertical="center"/>
    </xf>
    <xf numFmtId="0" fontId="18" fillId="2" borderId="29" xfId="0" applyFont="1" applyFill="1" applyBorder="1" applyAlignment="1">
      <alignment horizontal="center" vertical="center"/>
    </xf>
    <xf numFmtId="0" fontId="18" fillId="2" borderId="39" xfId="0" applyFont="1" applyFill="1" applyBorder="1" applyAlignment="1">
      <alignment horizontal="center" vertical="center"/>
    </xf>
    <xf numFmtId="0" fontId="18" fillId="2" borderId="33" xfId="0" applyFont="1" applyFill="1" applyBorder="1" applyAlignment="1">
      <alignment horizontal="center" vertical="center"/>
    </xf>
    <xf numFmtId="0" fontId="18" fillId="2" borderId="40" xfId="0" applyFont="1" applyFill="1" applyBorder="1" applyAlignment="1">
      <alignment horizontal="center" vertical="center"/>
    </xf>
    <xf numFmtId="0" fontId="18" fillId="2" borderId="30" xfId="0" applyFont="1" applyFill="1" applyBorder="1" applyAlignment="1">
      <alignment horizontal="center" vertical="center"/>
    </xf>
    <xf numFmtId="0" fontId="8" fillId="8" borderId="41" xfId="0" applyFont="1" applyFill="1" applyBorder="1" applyAlignment="1">
      <alignment horizontal="center" vertical="center"/>
    </xf>
    <xf numFmtId="0" fontId="7" fillId="0" borderId="31" xfId="0" applyFont="1" applyBorder="1" applyAlignment="1">
      <alignment horizontal="center" vertical="center"/>
    </xf>
    <xf numFmtId="0" fontId="7" fillId="0" borderId="42" xfId="0" applyFont="1" applyBorder="1" applyAlignment="1">
      <alignment horizontal="center" vertical="center"/>
    </xf>
    <xf numFmtId="0" fontId="12" fillId="3" borderId="0" xfId="0" applyFont="1" applyFill="1" applyAlignment="1">
      <alignment horizontal="center" wrapText="1"/>
    </xf>
    <xf numFmtId="0" fontId="2" fillId="8" borderId="38" xfId="0" applyFont="1" applyFill="1" applyBorder="1" applyAlignment="1">
      <alignment horizontal="center" vertical="center"/>
    </xf>
    <xf numFmtId="0" fontId="2" fillId="8" borderId="32" xfId="0" applyFont="1" applyFill="1" applyBorder="1" applyAlignment="1">
      <alignment horizontal="center" vertical="center"/>
    </xf>
    <xf numFmtId="0" fontId="2" fillId="8" borderId="29" xfId="0" applyFont="1" applyFill="1" applyBorder="1" applyAlignment="1">
      <alignment horizontal="center" vertical="center"/>
    </xf>
    <xf numFmtId="0" fontId="8" fillId="8" borderId="39" xfId="0" applyFont="1" applyFill="1" applyBorder="1" applyAlignment="1">
      <alignment horizontal="center" vertical="center"/>
    </xf>
    <xf numFmtId="0" fontId="8" fillId="8" borderId="0" xfId="0" applyFont="1" applyFill="1" applyBorder="1" applyAlignment="1">
      <alignment horizontal="center" vertical="center"/>
    </xf>
    <xf numFmtId="0" fontId="8" fillId="8" borderId="33" xfId="0" applyFont="1" applyFill="1" applyBorder="1" applyAlignment="1">
      <alignment horizontal="center" vertical="center"/>
    </xf>
    <xf numFmtId="0" fontId="8" fillId="8" borderId="39" xfId="0" applyFont="1" applyFill="1" applyBorder="1" applyAlignment="1">
      <alignment horizontal="center" vertical="center" textRotation="90"/>
    </xf>
    <xf numFmtId="0" fontId="8" fillId="8" borderId="40" xfId="0" applyFont="1" applyFill="1" applyBorder="1" applyAlignment="1">
      <alignment horizontal="center" vertical="center" textRotation="90"/>
    </xf>
    <xf numFmtId="0" fontId="2" fillId="2" borderId="38" xfId="0" applyFont="1" applyFill="1" applyBorder="1" applyAlignment="1">
      <alignment horizontal="center"/>
    </xf>
    <xf numFmtId="0" fontId="2" fillId="2" borderId="32" xfId="0" applyFont="1" applyFill="1" applyBorder="1" applyAlignment="1">
      <alignment horizontal="center"/>
    </xf>
    <xf numFmtId="1" fontId="2" fillId="11" borderId="0" xfId="0" applyNumberFormat="1" applyFont="1" applyFill="1" applyBorder="1" applyAlignment="1">
      <alignment horizontal="center"/>
    </xf>
    <xf numFmtId="0" fontId="2" fillId="2" borderId="39" xfId="0" applyFont="1" applyFill="1" applyBorder="1" applyAlignment="1">
      <alignment horizontal="center"/>
    </xf>
    <xf numFmtId="0" fontId="2" fillId="2" borderId="0" xfId="0" applyFont="1" applyFill="1" applyBorder="1" applyAlignment="1">
      <alignment horizontal="center"/>
    </xf>
    <xf numFmtId="0" fontId="8" fillId="8" borderId="26" xfId="0" applyFont="1" applyFill="1" applyBorder="1" applyAlignment="1">
      <alignment horizontal="center" vertical="center" textRotation="90"/>
    </xf>
    <xf numFmtId="0" fontId="8" fillId="8" borderId="28" xfId="0" applyFont="1" applyFill="1" applyBorder="1" applyAlignment="1">
      <alignment horizontal="center" vertical="center" textRotation="90"/>
    </xf>
    <xf numFmtId="0" fontId="8" fillId="8" borderId="27" xfId="0" applyFont="1" applyFill="1" applyBorder="1" applyAlignment="1">
      <alignment horizontal="center" vertical="center" textRotation="90"/>
    </xf>
    <xf numFmtId="0" fontId="2" fillId="8" borderId="41" xfId="0" applyFont="1" applyFill="1" applyBorder="1" applyAlignment="1">
      <alignment horizontal="center" vertical="center"/>
    </xf>
    <xf numFmtId="0" fontId="2" fillId="8" borderId="31" xfId="0" applyFont="1" applyFill="1" applyBorder="1" applyAlignment="1">
      <alignment horizontal="center" vertical="center"/>
    </xf>
    <xf numFmtId="0" fontId="2" fillId="8" borderId="42" xfId="0" applyFont="1" applyFill="1" applyBorder="1" applyAlignment="1">
      <alignment horizontal="center" vertical="center"/>
    </xf>
    <xf numFmtId="0" fontId="8" fillId="2" borderId="39" xfId="0" applyFont="1" applyFill="1" applyBorder="1" applyAlignment="1">
      <alignment horizontal="center" vertical="center" wrapText="1"/>
    </xf>
    <xf numFmtId="0" fontId="8" fillId="2" borderId="0" xfId="0" applyFont="1" applyFill="1" applyBorder="1" applyAlignment="1">
      <alignment horizontal="center" vertical="center" wrapText="1"/>
    </xf>
    <xf numFmtId="0" fontId="8" fillId="2" borderId="33" xfId="0" applyFont="1" applyFill="1" applyBorder="1" applyAlignment="1">
      <alignment horizontal="center" vertical="center" wrapText="1"/>
    </xf>
    <xf numFmtId="0" fontId="8" fillId="2" borderId="40" xfId="0" applyFont="1" applyFill="1" applyBorder="1" applyAlignment="1">
      <alignment horizontal="center" vertical="center" wrapText="1"/>
    </xf>
    <xf numFmtId="0" fontId="8" fillId="2" borderId="43" xfId="0" applyFont="1" applyFill="1" applyBorder="1" applyAlignment="1">
      <alignment horizontal="center" vertical="center" wrapText="1"/>
    </xf>
    <xf numFmtId="0" fontId="8" fillId="2" borderId="30" xfId="0" applyFont="1" applyFill="1" applyBorder="1" applyAlignment="1">
      <alignment horizontal="center" vertical="center" wrapText="1"/>
    </xf>
    <xf numFmtId="0" fontId="8" fillId="2" borderId="1" xfId="0" applyFont="1" applyFill="1" applyBorder="1" applyAlignment="1">
      <alignment horizontal="center" vertical="center"/>
    </xf>
    <xf numFmtId="0" fontId="8" fillId="2" borderId="3" xfId="0" applyFont="1" applyFill="1" applyBorder="1" applyAlignment="1">
      <alignment horizontal="center" vertical="center"/>
    </xf>
    <xf numFmtId="0" fontId="3" fillId="12" borderId="0" xfId="0" applyFont="1" applyFill="1" applyBorder="1" applyAlignment="1">
      <alignment horizontal="center"/>
    </xf>
    <xf numFmtId="0" fontId="8" fillId="2" borderId="7" xfId="0" applyFont="1" applyFill="1" applyBorder="1" applyAlignment="1">
      <alignment horizontal="center" vertical="center"/>
    </xf>
    <xf numFmtId="0" fontId="8" fillId="2" borderId="9" xfId="0" applyFont="1" applyFill="1" applyBorder="1" applyAlignment="1">
      <alignment horizontal="center" vertical="center"/>
    </xf>
    <xf numFmtId="1" fontId="17" fillId="2" borderId="32" xfId="0" applyNumberFormat="1" applyFont="1" applyFill="1" applyBorder="1" applyAlignment="1">
      <alignment horizontal="center" vertical="center"/>
    </xf>
    <xf numFmtId="1" fontId="17" fillId="2" borderId="43" xfId="0" applyNumberFormat="1" applyFont="1" applyFill="1" applyBorder="1" applyAlignment="1">
      <alignment horizontal="center" vertical="center"/>
    </xf>
    <xf numFmtId="1" fontId="2" fillId="8" borderId="0" xfId="0" applyNumberFormat="1" applyFont="1" applyFill="1" applyBorder="1" applyAlignment="1">
      <alignment horizontal="center"/>
    </xf>
    <xf numFmtId="0" fontId="8" fillId="2" borderId="0" xfId="0" applyFont="1" applyFill="1" applyBorder="1" applyAlignment="1">
      <alignment horizontal="center" vertical="center"/>
    </xf>
    <xf numFmtId="0" fontId="8" fillId="2" borderId="38" xfId="0" applyFont="1" applyFill="1" applyBorder="1" applyAlignment="1">
      <alignment horizontal="center" vertical="center" wrapText="1"/>
    </xf>
    <xf numFmtId="0" fontId="8" fillId="2" borderId="32" xfId="0" applyFont="1" applyFill="1" applyBorder="1" applyAlignment="1">
      <alignment horizontal="center" vertical="center" wrapText="1"/>
    </xf>
    <xf numFmtId="0" fontId="8" fillId="2" borderId="29" xfId="0" applyFont="1" applyFill="1" applyBorder="1" applyAlignment="1">
      <alignment horizontal="center" vertical="center" wrapText="1"/>
    </xf>
    <xf numFmtId="0" fontId="12" fillId="6" borderId="0" xfId="0" applyFont="1" applyFill="1" applyAlignment="1">
      <alignment horizontal="center" wrapText="1"/>
    </xf>
    <xf numFmtId="0" fontId="3" fillId="10" borderId="0" xfId="0" applyFont="1" applyFill="1" applyBorder="1" applyAlignment="1">
      <alignment horizontal="center"/>
    </xf>
    <xf numFmtId="1" fontId="17" fillId="2" borderId="0" xfId="0" applyNumberFormat="1" applyFont="1" applyFill="1" applyBorder="1" applyAlignment="1">
      <alignment horizontal="center" vertical="center"/>
    </xf>
    <xf numFmtId="0" fontId="2" fillId="11" borderId="32" xfId="0" applyFont="1" applyFill="1" applyBorder="1" applyAlignment="1">
      <alignment horizontal="center"/>
    </xf>
    <xf numFmtId="0" fontId="2" fillId="2" borderId="41" xfId="0" applyFont="1" applyFill="1" applyBorder="1" applyAlignment="1">
      <alignment horizontal="center" vertical="center"/>
    </xf>
    <xf numFmtId="0" fontId="2" fillId="2" borderId="31" xfId="0" applyFont="1" applyFill="1" applyBorder="1" applyAlignment="1">
      <alignment horizontal="center" vertical="center"/>
    </xf>
    <xf numFmtId="2" fontId="17" fillId="2" borderId="31" xfId="0" applyNumberFormat="1" applyFont="1" applyFill="1" applyBorder="1" applyAlignment="1">
      <alignment horizontal="center" vertical="center"/>
    </xf>
    <xf numFmtId="2" fontId="17" fillId="2" borderId="42" xfId="0" applyNumberFormat="1" applyFont="1" applyFill="1" applyBorder="1" applyAlignment="1">
      <alignment horizontal="center" vertical="center"/>
    </xf>
    <xf numFmtId="0" fontId="2" fillId="8" borderId="32" xfId="0" applyFont="1" applyFill="1" applyBorder="1" applyAlignment="1">
      <alignment horizontal="center"/>
    </xf>
    <xf numFmtId="0" fontId="2" fillId="2" borderId="38" xfId="0" applyFont="1" applyFill="1" applyBorder="1" applyAlignment="1">
      <alignment horizontal="center" vertical="center"/>
    </xf>
    <xf numFmtId="0" fontId="2" fillId="2" borderId="32" xfId="0" applyFont="1" applyFill="1" applyBorder="1" applyAlignment="1">
      <alignment horizontal="center" vertical="center"/>
    </xf>
    <xf numFmtId="0" fontId="8" fillId="2" borderId="56" xfId="0" applyFont="1" applyFill="1" applyBorder="1" applyAlignment="1">
      <alignment horizontal="center" vertical="center"/>
    </xf>
    <xf numFmtId="0" fontId="8" fillId="2" borderId="22" xfId="0" applyFont="1" applyFill="1" applyBorder="1" applyAlignment="1">
      <alignment horizontal="center" vertical="center"/>
    </xf>
    <xf numFmtId="0" fontId="8" fillId="5" borderId="41" xfId="0" applyFont="1" applyFill="1" applyBorder="1" applyAlignment="1">
      <alignment horizontal="center" vertical="center"/>
    </xf>
    <xf numFmtId="0" fontId="8" fillId="5" borderId="31" xfId="0" applyFont="1" applyFill="1" applyBorder="1" applyAlignment="1">
      <alignment horizontal="center" vertical="center"/>
    </xf>
    <xf numFmtId="0" fontId="8" fillId="5" borderId="42" xfId="0" applyFont="1" applyFill="1" applyBorder="1" applyAlignment="1">
      <alignment horizontal="center" vertical="center"/>
    </xf>
    <xf numFmtId="0" fontId="2" fillId="2" borderId="40" xfId="0" applyFont="1" applyFill="1" applyBorder="1" applyAlignment="1">
      <alignment horizontal="center" vertical="center"/>
    </xf>
    <xf numFmtId="0" fontId="2" fillId="2" borderId="30" xfId="0" applyFont="1" applyFill="1" applyBorder="1" applyAlignment="1">
      <alignment horizontal="center" vertical="center"/>
    </xf>
    <xf numFmtId="0" fontId="6" fillId="8" borderId="42" xfId="0" applyFont="1" applyFill="1" applyBorder="1" applyAlignment="1">
      <alignment horizontal="center" vertical="center"/>
    </xf>
    <xf numFmtId="0" fontId="6" fillId="5" borderId="53"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51" xfId="0" applyFont="1" applyFill="1" applyBorder="1" applyAlignment="1">
      <alignment horizontal="center" vertical="center"/>
    </xf>
    <xf numFmtId="0" fontId="6" fillId="5" borderId="58" xfId="0" applyFont="1" applyFill="1" applyBorder="1" applyAlignment="1">
      <alignment horizontal="center" vertical="center"/>
    </xf>
    <xf numFmtId="0" fontId="8" fillId="8" borderId="55" xfId="0" applyFont="1" applyFill="1" applyBorder="1" applyAlignment="1">
      <alignment horizontal="center" vertical="center" textRotation="90"/>
    </xf>
    <xf numFmtId="0" fontId="8" fillId="8" borderId="15" xfId="0" applyFont="1" applyFill="1" applyBorder="1" applyAlignment="1">
      <alignment horizontal="center" vertical="center" textRotation="90"/>
    </xf>
    <xf numFmtId="0" fontId="8" fillId="8" borderId="17" xfId="0" applyFont="1" applyFill="1" applyBorder="1" applyAlignment="1">
      <alignment horizontal="center" vertical="center" textRotation="90"/>
    </xf>
    <xf numFmtId="0" fontId="7" fillId="12" borderId="0" xfId="0" applyFont="1" applyFill="1" applyBorder="1" applyAlignment="1">
      <alignment horizontal="center"/>
    </xf>
    <xf numFmtId="0" fontId="8" fillId="8" borderId="55" xfId="0" applyFont="1" applyFill="1" applyBorder="1" applyAlignment="1">
      <alignment horizontal="center" vertical="center"/>
    </xf>
    <xf numFmtId="0" fontId="18" fillId="2" borderId="1" xfId="0" applyFont="1" applyFill="1" applyBorder="1" applyAlignment="1">
      <alignment horizontal="center" vertical="center"/>
    </xf>
    <xf numFmtId="0" fontId="18" fillId="2" borderId="2" xfId="0" applyFont="1" applyFill="1" applyBorder="1" applyAlignment="1">
      <alignment horizontal="center" vertical="center"/>
    </xf>
    <xf numFmtId="0" fontId="18" fillId="2" borderId="4" xfId="0" applyFont="1" applyFill="1" applyBorder="1" applyAlignment="1">
      <alignment horizontal="center" vertical="center"/>
    </xf>
    <xf numFmtId="0" fontId="18" fillId="2" borderId="5" xfId="0" applyFont="1" applyFill="1" applyBorder="1" applyAlignment="1">
      <alignment horizontal="center" vertical="center"/>
    </xf>
    <xf numFmtId="0" fontId="18" fillId="2" borderId="60" xfId="0" applyFont="1" applyFill="1" applyBorder="1" applyAlignment="1">
      <alignment horizontal="center" vertical="center"/>
    </xf>
    <xf numFmtId="0" fontId="18" fillId="2" borderId="55" xfId="0" applyFont="1" applyFill="1" applyBorder="1" applyAlignment="1">
      <alignment horizontal="center" vertical="center"/>
    </xf>
    <xf numFmtId="0" fontId="7" fillId="10" borderId="0" xfId="0" applyFont="1" applyFill="1" applyBorder="1" applyAlignment="1">
      <alignment horizontal="center"/>
    </xf>
    <xf numFmtId="0" fontId="8" fillId="8" borderId="31" xfId="0" applyFont="1" applyFill="1" applyBorder="1" applyAlignment="1">
      <alignment horizontal="center" vertical="center"/>
    </xf>
    <xf numFmtId="0" fontId="8" fillId="8" borderId="42" xfId="0" applyFont="1" applyFill="1" applyBorder="1" applyAlignment="1">
      <alignment horizontal="center" vertical="center"/>
    </xf>
    <xf numFmtId="0" fontId="8" fillId="8" borderId="19" xfId="0" applyFont="1" applyFill="1" applyBorder="1" applyAlignment="1">
      <alignment horizontal="center" vertical="center"/>
    </xf>
    <xf numFmtId="0" fontId="8" fillId="8" borderId="20" xfId="0" applyFont="1" applyFill="1" applyBorder="1" applyAlignment="1">
      <alignment horizontal="center" vertical="center"/>
    </xf>
    <xf numFmtId="0" fontId="2" fillId="8" borderId="2" xfId="0" applyFont="1" applyFill="1" applyBorder="1" applyAlignment="1">
      <alignment horizontal="center" vertical="center"/>
    </xf>
    <xf numFmtId="0" fontId="2" fillId="8" borderId="3" xfId="0" applyFont="1" applyFill="1" applyBorder="1" applyAlignment="1">
      <alignment horizontal="center" vertical="center"/>
    </xf>
    <xf numFmtId="0" fontId="8" fillId="5" borderId="53" xfId="0" applyFont="1" applyFill="1" applyBorder="1" applyAlignment="1">
      <alignment horizontal="center" vertical="center"/>
    </xf>
    <xf numFmtId="0" fontId="8" fillId="5" borderId="52" xfId="0" applyFont="1" applyFill="1" applyBorder="1" applyAlignment="1">
      <alignment horizontal="center" vertical="center"/>
    </xf>
    <xf numFmtId="0" fontId="8" fillId="5" borderId="51" xfId="0" applyFont="1" applyFill="1" applyBorder="1" applyAlignment="1">
      <alignment horizontal="center" vertical="center"/>
    </xf>
    <xf numFmtId="0" fontId="2" fillId="8" borderId="55" xfId="0" applyFont="1" applyFill="1" applyBorder="1" applyAlignment="1">
      <alignment horizontal="center" vertical="center"/>
    </xf>
    <xf numFmtId="0" fontId="8" fillId="8" borderId="40" xfId="0" applyFont="1" applyFill="1" applyBorder="1" applyAlignment="1">
      <alignment horizontal="center" vertical="center"/>
    </xf>
    <xf numFmtId="0" fontId="8" fillId="8" borderId="43" xfId="0" applyFont="1" applyFill="1" applyBorder="1" applyAlignment="1">
      <alignment horizontal="center" vertical="center"/>
    </xf>
    <xf numFmtId="0" fontId="8" fillId="8" borderId="30" xfId="0" applyFont="1" applyFill="1" applyBorder="1" applyAlignment="1">
      <alignment horizontal="center" vertical="center"/>
    </xf>
    <xf numFmtId="0" fontId="6" fillId="8" borderId="26" xfId="1" applyFont="1" applyFill="1" applyBorder="1" applyAlignment="1">
      <alignment horizontal="center" vertical="center" textRotation="90"/>
    </xf>
    <xf numFmtId="0" fontId="6" fillId="8" borderId="28" xfId="1" applyFont="1" applyFill="1" applyBorder="1" applyAlignment="1">
      <alignment horizontal="center" vertical="center" textRotation="90"/>
    </xf>
    <xf numFmtId="0" fontId="6" fillId="8" borderId="27" xfId="1" applyFont="1" applyFill="1" applyBorder="1" applyAlignment="1">
      <alignment horizontal="center" vertical="center" textRotation="90"/>
    </xf>
    <xf numFmtId="0" fontId="18" fillId="2" borderId="38" xfId="1" applyFont="1" applyFill="1" applyBorder="1" applyAlignment="1">
      <alignment horizontal="center" vertical="center"/>
    </xf>
    <xf numFmtId="0" fontId="18" fillId="2" borderId="29" xfId="1" applyFont="1" applyFill="1" applyBorder="1" applyAlignment="1">
      <alignment horizontal="center" vertical="center"/>
    </xf>
    <xf numFmtId="0" fontId="18" fillId="2" borderId="39" xfId="1" applyFont="1" applyFill="1" applyBorder="1" applyAlignment="1">
      <alignment horizontal="center" vertical="center"/>
    </xf>
    <xf numFmtId="0" fontId="18" fillId="2" borderId="33" xfId="1" applyFont="1" applyFill="1" applyBorder="1" applyAlignment="1">
      <alignment horizontal="center" vertical="center"/>
    </xf>
    <xf numFmtId="0" fontId="18" fillId="2" borderId="40" xfId="1" applyFont="1" applyFill="1" applyBorder="1" applyAlignment="1">
      <alignment horizontal="center" vertical="center"/>
    </xf>
    <xf numFmtId="0" fontId="18" fillId="2" borderId="30" xfId="1" applyFont="1" applyFill="1" applyBorder="1" applyAlignment="1">
      <alignment horizontal="center" vertical="center"/>
    </xf>
    <xf numFmtId="0" fontId="4" fillId="8" borderId="41" xfId="1" applyFont="1" applyFill="1" applyBorder="1" applyAlignment="1">
      <alignment horizontal="center" vertical="center"/>
    </xf>
    <xf numFmtId="0" fontId="4" fillId="8" borderId="31" xfId="1" applyFont="1" applyFill="1" applyBorder="1" applyAlignment="1">
      <alignment horizontal="center" vertical="center"/>
    </xf>
    <xf numFmtId="0" fontId="4" fillId="8" borderId="42" xfId="1" applyFont="1" applyFill="1" applyBorder="1" applyAlignment="1">
      <alignment horizontal="center" vertical="center"/>
    </xf>
    <xf numFmtId="0" fontId="6" fillId="8" borderId="41" xfId="1" applyFont="1" applyFill="1" applyBorder="1" applyAlignment="1">
      <alignment horizontal="center" vertical="center"/>
    </xf>
    <xf numFmtId="0" fontId="6" fillId="8" borderId="31" xfId="1" applyFont="1" applyFill="1" applyBorder="1" applyAlignment="1">
      <alignment horizontal="center" vertical="center"/>
    </xf>
    <xf numFmtId="0" fontId="6" fillId="8" borderId="42" xfId="1" applyFont="1" applyFill="1" applyBorder="1" applyAlignment="1">
      <alignment horizontal="center" vertical="center"/>
    </xf>
    <xf numFmtId="0" fontId="9" fillId="2" borderId="0" xfId="1" quotePrefix="1" applyFont="1" applyFill="1" applyAlignment="1">
      <alignment horizontal="left"/>
    </xf>
    <xf numFmtId="0" fontId="6" fillId="5" borderId="55" xfId="1" applyFont="1" applyFill="1" applyBorder="1" applyAlignment="1">
      <alignment horizontal="center" vertical="center"/>
    </xf>
    <xf numFmtId="0" fontId="11" fillId="10" borderId="0" xfId="0" quotePrefix="1" applyFont="1" applyFill="1" applyBorder="1" applyAlignment="1">
      <alignment horizontal="center"/>
    </xf>
    <xf numFmtId="0" fontId="11" fillId="10" borderId="0" xfId="0" applyFont="1" applyFill="1" applyBorder="1" applyAlignment="1">
      <alignment horizontal="center"/>
    </xf>
    <xf numFmtId="1" fontId="2" fillId="2" borderId="29" xfId="0" applyNumberFormat="1" applyFont="1" applyFill="1" applyBorder="1" applyAlignment="1">
      <alignment horizontal="center" vertical="center"/>
    </xf>
    <xf numFmtId="1" fontId="2" fillId="2" borderId="30" xfId="0" applyNumberFormat="1" applyFont="1" applyFill="1" applyBorder="1" applyAlignment="1">
      <alignment horizontal="center" vertical="center"/>
    </xf>
    <xf numFmtId="1" fontId="2" fillId="10" borderId="0" xfId="0" applyNumberFormat="1" applyFont="1" applyFill="1" applyBorder="1" applyAlignment="1">
      <alignment horizontal="center"/>
    </xf>
    <xf numFmtId="0" fontId="2" fillId="2" borderId="42" xfId="0" applyFont="1" applyFill="1" applyBorder="1" applyAlignment="1">
      <alignment horizontal="center" vertical="center"/>
    </xf>
    <xf numFmtId="165" fontId="17" fillId="2" borderId="31" xfId="0" applyNumberFormat="1" applyFont="1" applyFill="1" applyBorder="1" applyAlignment="1">
      <alignment horizontal="right" vertical="center"/>
    </xf>
    <xf numFmtId="165" fontId="17" fillId="2" borderId="42" xfId="0" applyNumberFormat="1" applyFont="1" applyFill="1" applyBorder="1" applyAlignment="1">
      <alignment horizontal="right" vertical="center"/>
    </xf>
    <xf numFmtId="0" fontId="2" fillId="2" borderId="43" xfId="0" applyFont="1" applyFill="1" applyBorder="1" applyAlignment="1">
      <alignment horizontal="center" vertical="center"/>
    </xf>
    <xf numFmtId="1" fontId="2" fillId="12" borderId="0" xfId="0" applyNumberFormat="1" applyFont="1" applyFill="1" applyBorder="1" applyAlignment="1">
      <alignment horizontal="center"/>
    </xf>
    <xf numFmtId="0" fontId="2" fillId="10" borderId="7" xfId="0" quotePrefix="1" applyFont="1" applyFill="1" applyBorder="1" applyAlignment="1">
      <alignment horizontal="center" vertical="center"/>
    </xf>
    <xf numFmtId="0" fontId="2" fillId="10" borderId="44" xfId="0" applyFont="1" applyFill="1" applyBorder="1" applyAlignment="1">
      <alignment horizontal="center" vertical="center"/>
    </xf>
    <xf numFmtId="0" fontId="8" fillId="2" borderId="39" xfId="0" applyFont="1" applyFill="1" applyBorder="1" applyAlignment="1">
      <alignment horizontal="center"/>
    </xf>
    <xf numFmtId="0" fontId="8" fillId="2" borderId="0" xfId="0" applyFont="1" applyFill="1" applyBorder="1" applyAlignment="1">
      <alignment horizontal="center"/>
    </xf>
    <xf numFmtId="0" fontId="8" fillId="2" borderId="43" xfId="0" applyFont="1" applyFill="1" applyBorder="1" applyAlignment="1">
      <alignment horizontal="center" vertical="center"/>
    </xf>
    <xf numFmtId="0" fontId="2" fillId="10" borderId="32" xfId="0" quotePrefix="1" applyFont="1" applyFill="1" applyBorder="1" applyAlignment="1">
      <alignment horizontal="center"/>
    </xf>
    <xf numFmtId="0" fontId="2" fillId="10" borderId="32" xfId="0" applyFont="1" applyFill="1" applyBorder="1" applyAlignment="1">
      <alignment horizontal="center"/>
    </xf>
    <xf numFmtId="0" fontId="2" fillId="12" borderId="7" xfId="0" quotePrefix="1" applyFont="1" applyFill="1" applyBorder="1" applyAlignment="1">
      <alignment horizontal="center" vertical="center"/>
    </xf>
    <xf numFmtId="0" fontId="2" fillId="12" borderId="44" xfId="0" applyFont="1" applyFill="1" applyBorder="1" applyAlignment="1">
      <alignment horizontal="center" vertical="center"/>
    </xf>
    <xf numFmtId="0" fontId="2" fillId="12" borderId="32" xfId="0" quotePrefix="1" applyFont="1" applyFill="1" applyBorder="1" applyAlignment="1">
      <alignment horizontal="center"/>
    </xf>
    <xf numFmtId="0" fontId="2" fillId="12" borderId="32" xfId="0" applyFont="1" applyFill="1" applyBorder="1" applyAlignment="1">
      <alignment horizontal="center"/>
    </xf>
    <xf numFmtId="0" fontId="11" fillId="12" borderId="0" xfId="0" quotePrefix="1" applyFont="1" applyFill="1" applyBorder="1" applyAlignment="1">
      <alignment horizontal="center"/>
    </xf>
    <xf numFmtId="0" fontId="11" fillId="12" borderId="0" xfId="0" applyFont="1" applyFill="1" applyBorder="1" applyAlignment="1">
      <alignment horizontal="center"/>
    </xf>
    <xf numFmtId="1" fontId="14" fillId="2" borderId="38" xfId="0" applyNumberFormat="1" applyFont="1" applyFill="1" applyBorder="1" applyAlignment="1">
      <alignment horizontal="center" vertical="center"/>
    </xf>
    <xf numFmtId="1" fontId="14" fillId="2" borderId="40" xfId="0" applyNumberFormat="1" applyFont="1" applyFill="1" applyBorder="1" applyAlignment="1">
      <alignment horizontal="center" vertical="center"/>
    </xf>
    <xf numFmtId="0" fontId="8" fillId="2" borderId="38" xfId="0" applyFont="1" applyFill="1" applyBorder="1" applyAlignment="1">
      <alignment horizontal="center"/>
    </xf>
    <xf numFmtId="0" fontId="8" fillId="2" borderId="32" xfId="0" applyFont="1" applyFill="1" applyBorder="1" applyAlignment="1">
      <alignment horizontal="center"/>
    </xf>
    <xf numFmtId="0" fontId="8" fillId="8" borderId="38" xfId="0" applyFont="1" applyFill="1" applyBorder="1" applyAlignment="1">
      <alignment horizontal="center" vertical="center"/>
    </xf>
    <xf numFmtId="0" fontId="8" fillId="8" borderId="32" xfId="0" applyFont="1" applyFill="1" applyBorder="1" applyAlignment="1">
      <alignment horizontal="center" vertical="center"/>
    </xf>
    <xf numFmtId="0" fontId="8" fillId="8" borderId="29" xfId="0" applyFont="1" applyFill="1" applyBorder="1" applyAlignment="1">
      <alignment horizontal="center" vertical="center"/>
    </xf>
  </cellXfs>
  <cellStyles count="2">
    <cellStyle name="Normal" xfId="0" builtinId="0"/>
    <cellStyle name="Normal 2" xfId="1"/>
  </cellStyles>
  <dxfs count="104">
    <dxf>
      <fill>
        <patternFill>
          <bgColor indexed="11"/>
        </patternFill>
      </fill>
    </dxf>
    <dxf>
      <fill>
        <patternFill>
          <bgColor indexed="52"/>
        </patternFill>
      </fill>
    </dxf>
    <dxf>
      <fill>
        <patternFill>
          <bgColor indexed="40"/>
        </patternFill>
      </fill>
    </dxf>
    <dxf>
      <font>
        <condense val="0"/>
        <extend val="0"/>
        <color indexed="43"/>
      </font>
    </dxf>
    <dxf>
      <fill>
        <patternFill>
          <bgColor indexed="52"/>
        </patternFill>
      </fill>
    </dxf>
    <dxf>
      <fill>
        <patternFill>
          <bgColor indexed="40"/>
        </patternFill>
      </fill>
    </dxf>
    <dxf>
      <fill>
        <patternFill>
          <bgColor indexed="42"/>
        </patternFill>
      </fill>
    </dxf>
    <dxf>
      <fill>
        <patternFill>
          <bgColor indexed="40"/>
        </patternFill>
      </fill>
    </dxf>
    <dxf>
      <fill>
        <patternFill>
          <bgColor indexed="51"/>
        </patternFill>
      </fill>
    </dxf>
    <dxf>
      <fill>
        <patternFill>
          <bgColor indexed="40"/>
        </patternFill>
      </fill>
    </dxf>
    <dxf>
      <fill>
        <patternFill>
          <bgColor indexed="11"/>
        </patternFill>
      </fill>
    </dxf>
    <dxf>
      <fill>
        <patternFill>
          <bgColor indexed="52"/>
        </patternFill>
      </fill>
    </dxf>
    <dxf>
      <fill>
        <patternFill>
          <bgColor indexed="40"/>
        </patternFill>
      </fill>
    </dxf>
    <dxf>
      <font>
        <condense val="0"/>
        <extend val="0"/>
        <color indexed="43"/>
      </font>
    </dxf>
    <dxf>
      <fill>
        <patternFill>
          <bgColor indexed="52"/>
        </patternFill>
      </fill>
    </dxf>
    <dxf>
      <fill>
        <patternFill>
          <bgColor indexed="40"/>
        </patternFill>
      </fill>
    </dxf>
    <dxf>
      <fill>
        <patternFill>
          <bgColor indexed="42"/>
        </patternFill>
      </fill>
    </dxf>
    <dxf>
      <fill>
        <patternFill>
          <bgColor indexed="40"/>
        </patternFill>
      </fill>
    </dxf>
    <dxf>
      <fill>
        <patternFill>
          <bgColor indexed="51"/>
        </patternFill>
      </fill>
    </dxf>
    <dxf>
      <fill>
        <patternFill>
          <bgColor indexed="40"/>
        </patternFill>
      </fill>
    </dxf>
    <dxf>
      <font>
        <b/>
        <i val="0"/>
        <condense val="0"/>
        <extend val="0"/>
        <color indexed="10"/>
      </font>
    </dxf>
    <dxf>
      <font>
        <b/>
        <i val="0"/>
        <condense val="0"/>
        <extend val="0"/>
        <color indexed="11"/>
      </font>
    </dxf>
    <dxf>
      <font>
        <b/>
        <i val="0"/>
        <condense val="0"/>
        <extend val="0"/>
        <color indexed="10"/>
      </font>
    </dxf>
    <dxf>
      <font>
        <b/>
        <i val="0"/>
        <condense val="0"/>
        <extend val="0"/>
        <color indexed="11"/>
      </font>
    </dxf>
    <dxf>
      <font>
        <b/>
        <i val="0"/>
        <condense val="0"/>
        <extend val="0"/>
        <color indexed="10"/>
      </font>
    </dxf>
    <dxf>
      <font>
        <b/>
        <i val="0"/>
        <condense val="0"/>
        <extend val="0"/>
        <color indexed="11"/>
      </font>
    </dxf>
    <dxf>
      <font>
        <b/>
        <i val="0"/>
        <condense val="0"/>
        <extend val="0"/>
        <color indexed="10"/>
      </font>
    </dxf>
    <dxf>
      <font>
        <b/>
        <i val="0"/>
        <condense val="0"/>
        <extend val="0"/>
        <color indexed="11"/>
      </font>
    </dxf>
    <dxf>
      <fill>
        <patternFill>
          <bgColor indexed="42"/>
        </patternFill>
      </fill>
    </dxf>
    <dxf>
      <fill>
        <patternFill>
          <bgColor indexed="45"/>
        </patternFill>
      </fill>
    </dxf>
    <dxf>
      <font>
        <b/>
        <i val="0"/>
        <condense val="0"/>
        <extend val="0"/>
        <color indexed="10"/>
      </font>
    </dxf>
    <dxf>
      <font>
        <b/>
        <i val="0"/>
        <condense val="0"/>
        <extend val="0"/>
        <color indexed="11"/>
      </font>
    </dxf>
    <dxf>
      <fill>
        <patternFill>
          <bgColor indexed="42"/>
        </patternFill>
      </fill>
    </dxf>
    <dxf>
      <fill>
        <patternFill>
          <bgColor indexed="40"/>
        </patternFill>
      </fill>
    </dxf>
    <dxf>
      <fill>
        <patternFill>
          <bgColor indexed="42"/>
        </patternFill>
      </fill>
    </dxf>
    <dxf>
      <fill>
        <patternFill>
          <bgColor indexed="40"/>
        </patternFill>
      </fill>
    </dxf>
    <dxf>
      <fill>
        <patternFill>
          <bgColor indexed="42"/>
        </patternFill>
      </fill>
    </dxf>
    <dxf>
      <fill>
        <patternFill>
          <bgColor indexed="40"/>
        </patternFill>
      </fill>
    </dxf>
    <dxf>
      <fill>
        <patternFill>
          <bgColor indexed="42"/>
        </patternFill>
      </fill>
    </dxf>
    <dxf>
      <fill>
        <patternFill>
          <bgColor indexed="40"/>
        </patternFill>
      </fill>
    </dxf>
    <dxf>
      <fill>
        <patternFill>
          <bgColor indexed="42"/>
        </patternFill>
      </fill>
    </dxf>
    <dxf>
      <fill>
        <patternFill>
          <bgColor indexed="40"/>
        </patternFill>
      </fill>
    </dxf>
    <dxf>
      <fill>
        <patternFill>
          <bgColor indexed="42"/>
        </patternFill>
      </fill>
    </dxf>
    <dxf>
      <fill>
        <patternFill>
          <bgColor indexed="40"/>
        </patternFill>
      </fill>
    </dxf>
    <dxf>
      <fill>
        <patternFill>
          <bgColor indexed="51"/>
        </patternFill>
      </fill>
    </dxf>
    <dxf>
      <fill>
        <patternFill>
          <bgColor indexed="40"/>
        </patternFill>
      </fill>
    </dxf>
    <dxf>
      <fill>
        <patternFill>
          <bgColor indexed="42"/>
        </patternFill>
      </fill>
    </dxf>
    <dxf>
      <fill>
        <patternFill>
          <bgColor indexed="40"/>
        </patternFill>
      </fill>
    </dxf>
    <dxf>
      <fill>
        <patternFill>
          <bgColor indexed="42"/>
        </patternFill>
      </fill>
    </dxf>
    <dxf>
      <fill>
        <patternFill>
          <bgColor indexed="40"/>
        </patternFill>
      </fill>
    </dxf>
    <dxf>
      <fill>
        <patternFill>
          <bgColor indexed="42"/>
        </patternFill>
      </fill>
    </dxf>
    <dxf>
      <fill>
        <patternFill>
          <bgColor indexed="40"/>
        </patternFill>
      </fill>
    </dxf>
    <dxf>
      <fill>
        <patternFill>
          <bgColor indexed="51"/>
        </patternFill>
      </fill>
    </dxf>
    <dxf>
      <fill>
        <patternFill>
          <bgColor indexed="40"/>
        </patternFill>
      </fill>
    </dxf>
    <dxf>
      <fill>
        <patternFill>
          <bgColor indexed="51"/>
        </patternFill>
      </fill>
    </dxf>
    <dxf>
      <fill>
        <patternFill>
          <bgColor indexed="40"/>
        </patternFill>
      </fill>
    </dxf>
    <dxf>
      <fill>
        <patternFill>
          <bgColor indexed="51"/>
        </patternFill>
      </fill>
    </dxf>
    <dxf>
      <fill>
        <patternFill>
          <bgColor indexed="40"/>
        </patternFill>
      </fill>
    </dxf>
    <dxf>
      <fill>
        <patternFill>
          <bgColor indexed="51"/>
        </patternFill>
      </fill>
    </dxf>
    <dxf>
      <fill>
        <patternFill>
          <bgColor indexed="40"/>
        </patternFill>
      </fill>
    </dxf>
    <dxf>
      <fill>
        <patternFill>
          <bgColor indexed="51"/>
        </patternFill>
      </fill>
    </dxf>
    <dxf>
      <fill>
        <patternFill>
          <bgColor indexed="40"/>
        </patternFill>
      </fill>
    </dxf>
    <dxf>
      <fill>
        <patternFill>
          <bgColor indexed="51"/>
        </patternFill>
      </fill>
    </dxf>
    <dxf>
      <fill>
        <patternFill>
          <bgColor indexed="40"/>
        </patternFill>
      </fill>
    </dxf>
    <dxf>
      <fill>
        <patternFill>
          <bgColor indexed="51"/>
        </patternFill>
      </fill>
    </dxf>
    <dxf>
      <fill>
        <patternFill>
          <bgColor indexed="40"/>
        </patternFill>
      </fill>
    </dxf>
    <dxf>
      <font>
        <condense val="0"/>
        <extend val="0"/>
        <color indexed="43"/>
      </font>
    </dxf>
    <dxf>
      <fill>
        <patternFill>
          <bgColor indexed="52"/>
        </patternFill>
      </fill>
    </dxf>
    <dxf>
      <fill>
        <patternFill>
          <bgColor indexed="40"/>
        </patternFill>
      </fill>
    </dxf>
    <dxf>
      <fill>
        <patternFill>
          <bgColor indexed="11"/>
        </patternFill>
      </fill>
    </dxf>
    <dxf>
      <fill>
        <patternFill>
          <bgColor indexed="52"/>
        </patternFill>
      </fill>
    </dxf>
    <dxf>
      <fill>
        <patternFill>
          <bgColor indexed="40"/>
        </patternFill>
      </fill>
    </dxf>
    <dxf>
      <fill>
        <patternFill>
          <bgColor indexed="51"/>
        </patternFill>
      </fill>
    </dxf>
    <dxf>
      <fill>
        <patternFill>
          <bgColor indexed="40"/>
        </patternFill>
      </fill>
    </dxf>
    <dxf>
      <fill>
        <patternFill>
          <bgColor indexed="42"/>
        </patternFill>
      </fill>
    </dxf>
    <dxf>
      <fill>
        <patternFill>
          <bgColor indexed="40"/>
        </patternFill>
      </fill>
    </dxf>
    <dxf>
      <font>
        <condense val="0"/>
        <extend val="0"/>
        <color indexed="43"/>
      </font>
    </dxf>
    <dxf>
      <fill>
        <patternFill>
          <bgColor indexed="52"/>
        </patternFill>
      </fill>
    </dxf>
    <dxf>
      <fill>
        <patternFill>
          <bgColor indexed="40"/>
        </patternFill>
      </fill>
    </dxf>
    <dxf>
      <fill>
        <patternFill>
          <bgColor indexed="11"/>
        </patternFill>
      </fill>
    </dxf>
    <dxf>
      <fill>
        <patternFill>
          <bgColor indexed="52"/>
        </patternFill>
      </fill>
    </dxf>
    <dxf>
      <fill>
        <patternFill>
          <bgColor indexed="40"/>
        </patternFill>
      </fill>
    </dxf>
    <dxf>
      <fill>
        <patternFill>
          <bgColor indexed="51"/>
        </patternFill>
      </fill>
    </dxf>
    <dxf>
      <fill>
        <patternFill>
          <bgColor indexed="40"/>
        </patternFill>
      </fill>
    </dxf>
    <dxf>
      <fill>
        <patternFill>
          <bgColor indexed="42"/>
        </patternFill>
      </fill>
    </dxf>
    <dxf>
      <fill>
        <patternFill>
          <bgColor indexed="40"/>
        </patternFill>
      </fill>
    </dxf>
    <dxf>
      <fill>
        <patternFill>
          <bgColor indexed="42"/>
        </patternFill>
      </fill>
    </dxf>
    <dxf>
      <fill>
        <patternFill>
          <bgColor indexed="45"/>
        </patternFill>
      </fill>
    </dxf>
    <dxf>
      <font>
        <b/>
        <i val="0"/>
        <condense val="0"/>
        <extend val="0"/>
        <color indexed="10"/>
      </font>
    </dxf>
    <dxf>
      <font>
        <b/>
        <i val="0"/>
        <condense val="0"/>
        <extend val="0"/>
        <color indexed="11"/>
      </font>
    </dxf>
    <dxf>
      <font>
        <condense val="0"/>
        <extend val="0"/>
        <color indexed="43"/>
      </font>
    </dxf>
    <dxf>
      <fill>
        <patternFill>
          <bgColor indexed="52"/>
        </patternFill>
      </fill>
    </dxf>
    <dxf>
      <fill>
        <patternFill>
          <bgColor indexed="40"/>
        </patternFill>
      </fill>
    </dxf>
    <dxf>
      <fill>
        <patternFill>
          <bgColor indexed="11"/>
        </patternFill>
      </fill>
    </dxf>
    <dxf>
      <fill>
        <patternFill>
          <bgColor indexed="52"/>
        </patternFill>
      </fill>
    </dxf>
    <dxf>
      <fill>
        <patternFill>
          <bgColor indexed="40"/>
        </patternFill>
      </fill>
    </dxf>
    <dxf>
      <fill>
        <patternFill>
          <bgColor indexed="51"/>
        </patternFill>
      </fill>
    </dxf>
    <dxf>
      <fill>
        <patternFill>
          <bgColor indexed="40"/>
        </patternFill>
      </fill>
    </dxf>
    <dxf>
      <fill>
        <patternFill>
          <bgColor indexed="42"/>
        </patternFill>
      </fill>
    </dxf>
    <dxf>
      <fill>
        <patternFill>
          <bgColor indexed="40"/>
        </patternFill>
      </fill>
    </dxf>
    <dxf>
      <fill>
        <patternFill>
          <bgColor indexed="42"/>
        </patternFill>
      </fill>
    </dxf>
    <dxf>
      <fill>
        <patternFill>
          <bgColor indexed="45"/>
        </patternFill>
      </fill>
    </dxf>
    <dxf>
      <font>
        <b/>
        <i val="0"/>
        <condense val="0"/>
        <extend val="0"/>
        <color indexed="10"/>
      </font>
    </dxf>
    <dxf>
      <font>
        <b/>
        <i val="0"/>
        <condense val="0"/>
        <extend val="0"/>
        <color indexed="11"/>
      </font>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activeX/activeX4.xml><?xml version="1.0" encoding="utf-8"?>
<ax:ocx xmlns:ax="http://schemas.microsoft.com/office/2006/activeX" xmlns:r="http://schemas.openxmlformats.org/officeDocument/2006/relationships" ax:classid="{79176FB0-B7F2-11CE-97EF-00AA006D2776}"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79176FB0-B7F2-11CE-97EF-00AA006D2776}" ax:persistence="persistStreamInit" r:id="rId1"/>
</file>

<file path=xl/activeX/activeX8.xml><?xml version="1.0" encoding="utf-8"?>
<ax:ocx xmlns:ax="http://schemas.microsoft.com/office/2006/activeX" xmlns:r="http://schemas.openxmlformats.org/officeDocument/2006/relationships" ax:classid="{79176FB0-B7F2-11CE-97EF-00AA006D2776}" ax:persistence="persistStreamInit" r:id="rId1"/>
</file>

<file path=xl/activeX/activeX9.xml><?xml version="1.0" encoding="utf-8"?>
<ax:ocx xmlns:ax="http://schemas.microsoft.com/office/2006/activeX" xmlns:r="http://schemas.openxmlformats.org/officeDocument/2006/relationships" ax:classid="{79176FB0-B7F2-11CE-97EF-00AA006D2776}" ax:persistence="persistStreamInit" r:id="rId1"/>
</file>

<file path=xl/activeX/activeX10.xml><?xml version="1.0" encoding="utf-8"?>
<ax:ocx xmlns:ax="http://schemas.microsoft.com/office/2006/activeX" xmlns:r="http://schemas.openxmlformats.org/officeDocument/2006/relationships" ax:classid="{79176FB0-B7F2-11CE-97EF-00AA006D2776}" ax:persistence="persistStreamInit" r:id="rId1"/>
</file>

<file path=xl/activeX/activeX11.xml><?xml version="1.0" encoding="utf-8"?>
<ax:ocx xmlns:ax="http://schemas.microsoft.com/office/2006/activeX" xmlns:r="http://schemas.openxmlformats.org/officeDocument/2006/relationships" ax:classid="{79176FB0-B7F2-11CE-97EF-00AA006D2776}"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79176FB0-B7F2-11CE-97EF-00AA006D2776}"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activeX/activeX15.xml><?xml version="1.0" encoding="utf-8"?>
<ax:ocx xmlns:ax="http://schemas.microsoft.com/office/2006/activeX" xmlns:r="http://schemas.openxmlformats.org/officeDocument/2006/relationships" ax:classid="{79176FB0-B7F2-11CE-97EF-00AA006D2776}" ax:persistence="persistStreamInit" r:id="rId1"/>
</file>

<file path=xl/activeX/activeX16.xml><?xml version="1.0" encoding="utf-8"?>
<ax:ocx xmlns:ax="http://schemas.microsoft.com/office/2006/activeX" xmlns:r="http://schemas.openxmlformats.org/officeDocument/2006/relationships" ax:classid="{79176FB0-B7F2-11CE-97EF-00AA006D2776}" ax:persistence="persistStreamInit" r:id="rId1"/>
</file>

<file path=xl/activeX/activeX17.xml><?xml version="1.0" encoding="utf-8"?>
<ax:ocx xmlns:ax="http://schemas.microsoft.com/office/2006/activeX" xmlns:r="http://schemas.openxmlformats.org/officeDocument/2006/relationships" ax:classid="{79176FB0-B7F2-11CE-97EF-00AA006D2776}" ax:persistence="persistStreamInit" r:id="rId1"/>
</file>

<file path=xl/activeX/activeX18.xml><?xml version="1.0" encoding="utf-8"?>
<ax:ocx xmlns:ax="http://schemas.microsoft.com/office/2006/activeX" xmlns:r="http://schemas.openxmlformats.org/officeDocument/2006/relationships" ax:classid="{79176FB0-B7F2-11CE-97EF-00AA006D2776}"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79176FB0-B7F2-11CE-97EF-00AA006D2776}" ax:persistence="persistStreamInit" r:id="rId1"/>
</file>

<file path=xl/activeX/activeX21.xml><?xml version="1.0" encoding="utf-8"?>
<ax:ocx xmlns:ax="http://schemas.microsoft.com/office/2006/activeX" xmlns:r="http://schemas.openxmlformats.org/officeDocument/2006/relationships" ax:classid="{79176FB0-B7F2-11CE-97EF-00AA006D2776}" ax:persistence="persistStreamInit" r:id="rId1"/>
</file>

<file path=xl/activeX/activeX22.xml><?xml version="1.0" encoding="utf-8"?>
<ax:ocx xmlns:ax="http://schemas.microsoft.com/office/2006/activeX" xmlns:r="http://schemas.openxmlformats.org/officeDocument/2006/relationships" ax:classid="{79176FB0-B7F2-11CE-97EF-00AA006D2776}" ax:persistence="persistStreamInit" r:id="rId1"/>
</file>

<file path=xl/activeX/activeX23.xml><?xml version="1.0" encoding="utf-8"?>
<ax:ocx xmlns:ax="http://schemas.microsoft.com/office/2006/activeX" xmlns:r="http://schemas.openxmlformats.org/officeDocument/2006/relationships" ax:classid="{79176FB0-B7F2-11CE-97EF-00AA006D2776}" ax:persistence="persistStreamInit" r:id="rId1"/>
</file>

<file path=xl/activeX/activeX24.xml><?xml version="1.0" encoding="utf-8"?>
<ax:ocx xmlns:ax="http://schemas.microsoft.com/office/2006/activeX" xmlns:r="http://schemas.openxmlformats.org/officeDocument/2006/relationships" ax:classid="{79176FB0-B7F2-11CE-97EF-00AA006D2776}"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79176FB0-B7F2-11CE-97EF-00AA006D2776}" ax:persistence="persistStreamInit" r:id="rId1"/>
</file>

<file path=xl/activeX/activeX27.xml><?xml version="1.0" encoding="utf-8"?>
<ax:ocx xmlns:ax="http://schemas.microsoft.com/office/2006/activeX" xmlns:r="http://schemas.openxmlformats.org/officeDocument/2006/relationships" ax:classid="{79176FB0-B7F2-11CE-97EF-00AA006D2776}" ax:persistence="persistStreamInit" r:id="rId1"/>
</file>

<file path=xl/activeX/activeX28.xml><?xml version="1.0" encoding="utf-8"?>
<ax:ocx xmlns:ax="http://schemas.microsoft.com/office/2006/activeX" xmlns:r="http://schemas.openxmlformats.org/officeDocument/2006/relationships" ax:classid="{79176FB0-B7F2-11CE-97EF-00AA006D2776}" ax:persistence="persistStreamInit" r:id="rId1"/>
</file>

<file path=xl/activeX/activeX29.xml><?xml version="1.0" encoding="utf-8"?>
<ax:ocx xmlns:ax="http://schemas.microsoft.com/office/2006/activeX" xmlns:r="http://schemas.openxmlformats.org/officeDocument/2006/relationships" ax:classid="{79176FB0-B7F2-11CE-97EF-00AA006D2776}" ax:persistence="persistStreamInit" r:id="rId1"/>
</file>

<file path=xl/activeX/activeX30.xml><?xml version="1.0" encoding="utf-8"?>
<ax:ocx xmlns:ax="http://schemas.microsoft.com/office/2006/activeX" xmlns:r="http://schemas.openxmlformats.org/officeDocument/2006/relationships" ax:classid="{79176FB0-B7F2-11CE-97EF-00AA006D2776}"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79176FB0-B7F2-11CE-97EF-00AA006D2776}" ax:persistence="persistStreamInit" r:id="rId1"/>
</file>

<file path=xl/activeX/activeX33.xml><?xml version="1.0" encoding="utf-8"?>
<ax:ocx xmlns:ax="http://schemas.microsoft.com/office/2006/activeX" xmlns:r="http://schemas.openxmlformats.org/officeDocument/2006/relationships" ax:classid="{79176FB0-B7F2-11CE-97EF-00AA006D2776}"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2.2427913334129589E-2"/>
          <c:y val="4.9467275494672766E-2"/>
          <c:w val="0.83629187998992971"/>
          <c:h val="0.81464063567396572"/>
        </c:manualLayout>
      </c:layout>
      <c:surfaceChart>
        <c:ser>
          <c:idx val="0"/>
          <c:order val="0"/>
          <c:tx>
            <c:strRef>
              <c:f>'Timing -19 Cell'!$AA$6</c:f>
              <c:strCache>
                <c:ptCount val="1"/>
                <c:pt idx="0">
                  <c:v>0</c:v>
                </c:pt>
              </c:strCache>
            </c:strRef>
          </c:tx>
          <c:spPr>
            <a:solidFill>
              <a:srgbClr val="9999FF"/>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Cell'!$AB$6:$AT$6</c:f>
              <c:numCache>
                <c:formatCode>0</c:formatCode>
                <c:ptCount val="19"/>
                <c:pt idx="0">
                  <c:v>5</c:v>
                </c:pt>
                <c:pt idx="1">
                  <c:v>5</c:v>
                </c:pt>
                <c:pt idx="2">
                  <c:v>5</c:v>
                </c:pt>
                <c:pt idx="3">
                  <c:v>5</c:v>
                </c:pt>
                <c:pt idx="4">
                  <c:v>5</c:v>
                </c:pt>
                <c:pt idx="5">
                  <c:v>11</c:v>
                </c:pt>
                <c:pt idx="6">
                  <c:v>15</c:v>
                </c:pt>
                <c:pt idx="7">
                  <c:v>6</c:v>
                </c:pt>
                <c:pt idx="8">
                  <c:v>3</c:v>
                </c:pt>
                <c:pt idx="9">
                  <c:v>2</c:v>
                </c:pt>
                <c:pt idx="10">
                  <c:v>-1</c:v>
                </c:pt>
                <c:pt idx="11">
                  <c:v>-2</c:v>
                </c:pt>
                <c:pt idx="12">
                  <c:v>-5</c:v>
                </c:pt>
                <c:pt idx="13">
                  <c:v>-8</c:v>
                </c:pt>
                <c:pt idx="14">
                  <c:v>-10</c:v>
                </c:pt>
                <c:pt idx="15">
                  <c:v>-10</c:v>
                </c:pt>
                <c:pt idx="16">
                  <c:v>-10</c:v>
                </c:pt>
                <c:pt idx="17">
                  <c:v>-10</c:v>
                </c:pt>
                <c:pt idx="18">
                  <c:v>-10</c:v>
                </c:pt>
              </c:numCache>
            </c:numRef>
          </c:val>
        </c:ser>
        <c:ser>
          <c:idx val="1"/>
          <c:order val="1"/>
          <c:tx>
            <c:strRef>
              <c:f>'Timing -19 Cell'!$AA$7</c:f>
              <c:strCache>
                <c:ptCount val="1"/>
                <c:pt idx="0">
                  <c:v>500</c:v>
                </c:pt>
              </c:strCache>
            </c:strRef>
          </c:tx>
          <c:spPr>
            <a:solidFill>
              <a:srgbClr val="993366"/>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Cell'!$AB$7:$AT$7</c:f>
              <c:numCache>
                <c:formatCode>0</c:formatCode>
                <c:ptCount val="19"/>
                <c:pt idx="0">
                  <c:v>5</c:v>
                </c:pt>
                <c:pt idx="1">
                  <c:v>5</c:v>
                </c:pt>
                <c:pt idx="2">
                  <c:v>5</c:v>
                </c:pt>
                <c:pt idx="3">
                  <c:v>5</c:v>
                </c:pt>
                <c:pt idx="4">
                  <c:v>5</c:v>
                </c:pt>
                <c:pt idx="5">
                  <c:v>8</c:v>
                </c:pt>
                <c:pt idx="6">
                  <c:v>13</c:v>
                </c:pt>
                <c:pt idx="7">
                  <c:v>6</c:v>
                </c:pt>
                <c:pt idx="8">
                  <c:v>3</c:v>
                </c:pt>
                <c:pt idx="9">
                  <c:v>2</c:v>
                </c:pt>
                <c:pt idx="10">
                  <c:v>-1</c:v>
                </c:pt>
                <c:pt idx="11">
                  <c:v>-2</c:v>
                </c:pt>
                <c:pt idx="12">
                  <c:v>-5</c:v>
                </c:pt>
                <c:pt idx="13">
                  <c:v>-8</c:v>
                </c:pt>
                <c:pt idx="14">
                  <c:v>-10</c:v>
                </c:pt>
                <c:pt idx="15">
                  <c:v>-10</c:v>
                </c:pt>
                <c:pt idx="16">
                  <c:v>-10</c:v>
                </c:pt>
                <c:pt idx="17">
                  <c:v>-10</c:v>
                </c:pt>
                <c:pt idx="18">
                  <c:v>-10</c:v>
                </c:pt>
              </c:numCache>
            </c:numRef>
          </c:val>
        </c:ser>
        <c:ser>
          <c:idx val="2"/>
          <c:order val="2"/>
          <c:tx>
            <c:strRef>
              <c:f>'Timing -19 Cell'!$AA$8</c:f>
              <c:strCache>
                <c:ptCount val="1"/>
                <c:pt idx="0">
                  <c:v>750</c:v>
                </c:pt>
              </c:strCache>
            </c:strRef>
          </c:tx>
          <c:spPr>
            <a:solidFill>
              <a:srgbClr val="FFFFCC"/>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Cell'!$AB$8:$AT$8</c:f>
              <c:numCache>
                <c:formatCode>0</c:formatCode>
                <c:ptCount val="19"/>
                <c:pt idx="0">
                  <c:v>5</c:v>
                </c:pt>
                <c:pt idx="1">
                  <c:v>5</c:v>
                </c:pt>
                <c:pt idx="2">
                  <c:v>5</c:v>
                </c:pt>
                <c:pt idx="3">
                  <c:v>5</c:v>
                </c:pt>
                <c:pt idx="4">
                  <c:v>5</c:v>
                </c:pt>
                <c:pt idx="5">
                  <c:v>9</c:v>
                </c:pt>
                <c:pt idx="6">
                  <c:v>13</c:v>
                </c:pt>
                <c:pt idx="7">
                  <c:v>10</c:v>
                </c:pt>
                <c:pt idx="8">
                  <c:v>6</c:v>
                </c:pt>
                <c:pt idx="9">
                  <c:v>4</c:v>
                </c:pt>
                <c:pt idx="10">
                  <c:v>2</c:v>
                </c:pt>
                <c:pt idx="11">
                  <c:v>-1</c:v>
                </c:pt>
                <c:pt idx="12">
                  <c:v>-3</c:v>
                </c:pt>
                <c:pt idx="13">
                  <c:v>-6</c:v>
                </c:pt>
                <c:pt idx="14">
                  <c:v>-9</c:v>
                </c:pt>
                <c:pt idx="15">
                  <c:v>-10</c:v>
                </c:pt>
                <c:pt idx="16">
                  <c:v>-10</c:v>
                </c:pt>
                <c:pt idx="17">
                  <c:v>-10</c:v>
                </c:pt>
                <c:pt idx="18">
                  <c:v>-10</c:v>
                </c:pt>
              </c:numCache>
            </c:numRef>
          </c:val>
        </c:ser>
        <c:ser>
          <c:idx val="3"/>
          <c:order val="3"/>
          <c:tx>
            <c:strRef>
              <c:f>'Timing -19 Cell'!$AA$9</c:f>
              <c:strCache>
                <c:ptCount val="1"/>
                <c:pt idx="0">
                  <c:v>1000</c:v>
                </c:pt>
              </c:strCache>
            </c:strRef>
          </c:tx>
          <c:spPr>
            <a:solidFill>
              <a:srgbClr val="CCFFFF"/>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Cell'!$AB$9:$AT$9</c:f>
              <c:numCache>
                <c:formatCode>0</c:formatCode>
                <c:ptCount val="19"/>
                <c:pt idx="0">
                  <c:v>5</c:v>
                </c:pt>
                <c:pt idx="1">
                  <c:v>5</c:v>
                </c:pt>
                <c:pt idx="2">
                  <c:v>5</c:v>
                </c:pt>
                <c:pt idx="3">
                  <c:v>5</c:v>
                </c:pt>
                <c:pt idx="4">
                  <c:v>9</c:v>
                </c:pt>
                <c:pt idx="5">
                  <c:v>13</c:v>
                </c:pt>
                <c:pt idx="6">
                  <c:v>18</c:v>
                </c:pt>
                <c:pt idx="7">
                  <c:v>12</c:v>
                </c:pt>
                <c:pt idx="8">
                  <c:v>10</c:v>
                </c:pt>
                <c:pt idx="9">
                  <c:v>7</c:v>
                </c:pt>
                <c:pt idx="10">
                  <c:v>5</c:v>
                </c:pt>
                <c:pt idx="11">
                  <c:v>2</c:v>
                </c:pt>
                <c:pt idx="12">
                  <c:v>-1</c:v>
                </c:pt>
                <c:pt idx="13">
                  <c:v>-3</c:v>
                </c:pt>
                <c:pt idx="14">
                  <c:v>-6</c:v>
                </c:pt>
                <c:pt idx="15">
                  <c:v>-9</c:v>
                </c:pt>
                <c:pt idx="16">
                  <c:v>-10</c:v>
                </c:pt>
                <c:pt idx="17">
                  <c:v>-10</c:v>
                </c:pt>
                <c:pt idx="18">
                  <c:v>-10</c:v>
                </c:pt>
              </c:numCache>
            </c:numRef>
          </c:val>
        </c:ser>
        <c:ser>
          <c:idx val="4"/>
          <c:order val="4"/>
          <c:tx>
            <c:strRef>
              <c:f>'Timing -19 Cell'!$AA$10</c:f>
              <c:strCache>
                <c:ptCount val="1"/>
                <c:pt idx="0">
                  <c:v>1250</c:v>
                </c:pt>
              </c:strCache>
            </c:strRef>
          </c:tx>
          <c:spPr>
            <a:solidFill>
              <a:srgbClr val="660066"/>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Cell'!$AB$10:$AT$10</c:f>
              <c:numCache>
                <c:formatCode>0</c:formatCode>
                <c:ptCount val="19"/>
                <c:pt idx="0">
                  <c:v>8</c:v>
                </c:pt>
                <c:pt idx="1">
                  <c:v>8</c:v>
                </c:pt>
                <c:pt idx="2">
                  <c:v>12</c:v>
                </c:pt>
                <c:pt idx="3">
                  <c:v>12</c:v>
                </c:pt>
                <c:pt idx="4">
                  <c:v>16</c:v>
                </c:pt>
                <c:pt idx="5">
                  <c:v>20</c:v>
                </c:pt>
                <c:pt idx="6">
                  <c:v>20</c:v>
                </c:pt>
                <c:pt idx="7">
                  <c:v>17</c:v>
                </c:pt>
                <c:pt idx="8">
                  <c:v>14</c:v>
                </c:pt>
                <c:pt idx="9">
                  <c:v>11</c:v>
                </c:pt>
                <c:pt idx="10">
                  <c:v>8</c:v>
                </c:pt>
                <c:pt idx="11">
                  <c:v>6</c:v>
                </c:pt>
                <c:pt idx="12">
                  <c:v>3</c:v>
                </c:pt>
                <c:pt idx="13">
                  <c:v>0</c:v>
                </c:pt>
                <c:pt idx="14">
                  <c:v>-3</c:v>
                </c:pt>
                <c:pt idx="15">
                  <c:v>-6</c:v>
                </c:pt>
                <c:pt idx="16">
                  <c:v>-8</c:v>
                </c:pt>
                <c:pt idx="17">
                  <c:v>-9</c:v>
                </c:pt>
                <c:pt idx="18">
                  <c:v>-10</c:v>
                </c:pt>
              </c:numCache>
            </c:numRef>
          </c:val>
        </c:ser>
        <c:ser>
          <c:idx val="5"/>
          <c:order val="5"/>
          <c:tx>
            <c:strRef>
              <c:f>'Timing -19 Cell'!$AA$11</c:f>
              <c:strCache>
                <c:ptCount val="1"/>
                <c:pt idx="0">
                  <c:v>1500</c:v>
                </c:pt>
              </c:strCache>
            </c:strRef>
          </c:tx>
          <c:spPr>
            <a:solidFill>
              <a:srgbClr val="FF8080"/>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Cell'!$AB$11:$AT$11</c:f>
              <c:numCache>
                <c:formatCode>0</c:formatCode>
                <c:ptCount val="19"/>
                <c:pt idx="0">
                  <c:v>13</c:v>
                </c:pt>
                <c:pt idx="1">
                  <c:v>13</c:v>
                </c:pt>
                <c:pt idx="2">
                  <c:v>19</c:v>
                </c:pt>
                <c:pt idx="3">
                  <c:v>19</c:v>
                </c:pt>
                <c:pt idx="4">
                  <c:v>26</c:v>
                </c:pt>
                <c:pt idx="5">
                  <c:v>24</c:v>
                </c:pt>
                <c:pt idx="6">
                  <c:v>23</c:v>
                </c:pt>
                <c:pt idx="7">
                  <c:v>21</c:v>
                </c:pt>
                <c:pt idx="8">
                  <c:v>18</c:v>
                </c:pt>
                <c:pt idx="9">
                  <c:v>14</c:v>
                </c:pt>
                <c:pt idx="10">
                  <c:v>11</c:v>
                </c:pt>
                <c:pt idx="11">
                  <c:v>9</c:v>
                </c:pt>
                <c:pt idx="12">
                  <c:v>6</c:v>
                </c:pt>
                <c:pt idx="13">
                  <c:v>3</c:v>
                </c:pt>
                <c:pt idx="14">
                  <c:v>0</c:v>
                </c:pt>
                <c:pt idx="15">
                  <c:v>-3</c:v>
                </c:pt>
                <c:pt idx="16">
                  <c:v>-6</c:v>
                </c:pt>
                <c:pt idx="17">
                  <c:v>-8</c:v>
                </c:pt>
                <c:pt idx="18">
                  <c:v>-9</c:v>
                </c:pt>
              </c:numCache>
            </c:numRef>
          </c:val>
        </c:ser>
        <c:ser>
          <c:idx val="6"/>
          <c:order val="6"/>
          <c:tx>
            <c:strRef>
              <c:f>'Timing -19 Cell'!$AA$12</c:f>
              <c:strCache>
                <c:ptCount val="1"/>
                <c:pt idx="0">
                  <c:v>1750</c:v>
                </c:pt>
              </c:strCache>
            </c:strRef>
          </c:tx>
          <c:spPr>
            <a:solidFill>
              <a:srgbClr val="0066CC"/>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Cell'!$AB$12:$AT$12</c:f>
              <c:numCache>
                <c:formatCode>0</c:formatCode>
                <c:ptCount val="19"/>
                <c:pt idx="0">
                  <c:v>18</c:v>
                </c:pt>
                <c:pt idx="1">
                  <c:v>20</c:v>
                </c:pt>
                <c:pt idx="2">
                  <c:v>25</c:v>
                </c:pt>
                <c:pt idx="3">
                  <c:v>26</c:v>
                </c:pt>
                <c:pt idx="4">
                  <c:v>27</c:v>
                </c:pt>
                <c:pt idx="5">
                  <c:v>25</c:v>
                </c:pt>
                <c:pt idx="6">
                  <c:v>24</c:v>
                </c:pt>
                <c:pt idx="7">
                  <c:v>23</c:v>
                </c:pt>
                <c:pt idx="8">
                  <c:v>20</c:v>
                </c:pt>
                <c:pt idx="9">
                  <c:v>17</c:v>
                </c:pt>
                <c:pt idx="10">
                  <c:v>14</c:v>
                </c:pt>
                <c:pt idx="11">
                  <c:v>11</c:v>
                </c:pt>
                <c:pt idx="12">
                  <c:v>8</c:v>
                </c:pt>
                <c:pt idx="13">
                  <c:v>5</c:v>
                </c:pt>
                <c:pt idx="14">
                  <c:v>2</c:v>
                </c:pt>
                <c:pt idx="15">
                  <c:v>-1</c:v>
                </c:pt>
                <c:pt idx="16">
                  <c:v>-4</c:v>
                </c:pt>
                <c:pt idx="17">
                  <c:v>-6</c:v>
                </c:pt>
                <c:pt idx="18">
                  <c:v>-8</c:v>
                </c:pt>
              </c:numCache>
            </c:numRef>
          </c:val>
        </c:ser>
        <c:ser>
          <c:idx val="7"/>
          <c:order val="7"/>
          <c:tx>
            <c:strRef>
              <c:f>'Timing -19 Cell'!$AA$13</c:f>
              <c:strCache>
                <c:ptCount val="1"/>
                <c:pt idx="0">
                  <c:v>2000</c:v>
                </c:pt>
              </c:strCache>
            </c:strRef>
          </c:tx>
          <c:spPr>
            <a:solidFill>
              <a:srgbClr val="CCCCFF"/>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Cell'!$AB$13:$AT$13</c:f>
              <c:numCache>
                <c:formatCode>0</c:formatCode>
                <c:ptCount val="19"/>
                <c:pt idx="0">
                  <c:v>24</c:v>
                </c:pt>
                <c:pt idx="1">
                  <c:v>25</c:v>
                </c:pt>
                <c:pt idx="2">
                  <c:v>32</c:v>
                </c:pt>
                <c:pt idx="3">
                  <c:v>32</c:v>
                </c:pt>
                <c:pt idx="4">
                  <c:v>29</c:v>
                </c:pt>
                <c:pt idx="5">
                  <c:v>27</c:v>
                </c:pt>
                <c:pt idx="6">
                  <c:v>26</c:v>
                </c:pt>
                <c:pt idx="7">
                  <c:v>25</c:v>
                </c:pt>
                <c:pt idx="8">
                  <c:v>23</c:v>
                </c:pt>
                <c:pt idx="9">
                  <c:v>20</c:v>
                </c:pt>
                <c:pt idx="10">
                  <c:v>16</c:v>
                </c:pt>
                <c:pt idx="11">
                  <c:v>13</c:v>
                </c:pt>
                <c:pt idx="12">
                  <c:v>9</c:v>
                </c:pt>
                <c:pt idx="13">
                  <c:v>6</c:v>
                </c:pt>
                <c:pt idx="14">
                  <c:v>3</c:v>
                </c:pt>
                <c:pt idx="15">
                  <c:v>0</c:v>
                </c:pt>
                <c:pt idx="16">
                  <c:v>-3</c:v>
                </c:pt>
                <c:pt idx="17">
                  <c:v>-5</c:v>
                </c:pt>
                <c:pt idx="18">
                  <c:v>-6</c:v>
                </c:pt>
              </c:numCache>
            </c:numRef>
          </c:val>
        </c:ser>
        <c:ser>
          <c:idx val="8"/>
          <c:order val="8"/>
          <c:tx>
            <c:strRef>
              <c:f>'Timing -19 Cell'!$AA$14</c:f>
              <c:strCache>
                <c:ptCount val="1"/>
                <c:pt idx="0">
                  <c:v>2500</c:v>
                </c:pt>
              </c:strCache>
            </c:strRef>
          </c:tx>
          <c:spPr>
            <a:solidFill>
              <a:srgbClr val="000080"/>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Cell'!$AB$14:$AT$14</c:f>
              <c:numCache>
                <c:formatCode>0</c:formatCode>
                <c:ptCount val="19"/>
                <c:pt idx="0">
                  <c:v>24</c:v>
                </c:pt>
                <c:pt idx="1">
                  <c:v>28</c:v>
                </c:pt>
                <c:pt idx="2">
                  <c:v>34</c:v>
                </c:pt>
                <c:pt idx="3">
                  <c:v>34</c:v>
                </c:pt>
                <c:pt idx="4">
                  <c:v>32</c:v>
                </c:pt>
                <c:pt idx="5">
                  <c:v>30</c:v>
                </c:pt>
                <c:pt idx="6">
                  <c:v>29</c:v>
                </c:pt>
                <c:pt idx="7">
                  <c:v>27</c:v>
                </c:pt>
                <c:pt idx="8">
                  <c:v>25</c:v>
                </c:pt>
                <c:pt idx="9">
                  <c:v>22</c:v>
                </c:pt>
                <c:pt idx="10">
                  <c:v>19</c:v>
                </c:pt>
                <c:pt idx="11">
                  <c:v>15</c:v>
                </c:pt>
                <c:pt idx="12">
                  <c:v>11</c:v>
                </c:pt>
                <c:pt idx="13">
                  <c:v>7</c:v>
                </c:pt>
                <c:pt idx="14">
                  <c:v>5</c:v>
                </c:pt>
                <c:pt idx="15">
                  <c:v>2</c:v>
                </c:pt>
                <c:pt idx="16">
                  <c:v>-1</c:v>
                </c:pt>
                <c:pt idx="17">
                  <c:v>-3</c:v>
                </c:pt>
                <c:pt idx="18">
                  <c:v>-5</c:v>
                </c:pt>
              </c:numCache>
            </c:numRef>
          </c:val>
        </c:ser>
        <c:ser>
          <c:idx val="9"/>
          <c:order val="9"/>
          <c:tx>
            <c:strRef>
              <c:f>'Timing -19 Cell'!$AA$15</c:f>
              <c:strCache>
                <c:ptCount val="1"/>
                <c:pt idx="0">
                  <c:v>3000</c:v>
                </c:pt>
              </c:strCache>
            </c:strRef>
          </c:tx>
          <c:spPr>
            <a:solidFill>
              <a:srgbClr val="FF00FF"/>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Cell'!$AB$15:$AT$15</c:f>
              <c:numCache>
                <c:formatCode>0</c:formatCode>
                <c:ptCount val="19"/>
                <c:pt idx="0">
                  <c:v>28</c:v>
                </c:pt>
                <c:pt idx="1">
                  <c:v>30</c:v>
                </c:pt>
                <c:pt idx="2">
                  <c:v>38</c:v>
                </c:pt>
                <c:pt idx="3">
                  <c:v>38</c:v>
                </c:pt>
                <c:pt idx="4">
                  <c:v>35</c:v>
                </c:pt>
                <c:pt idx="5">
                  <c:v>32</c:v>
                </c:pt>
                <c:pt idx="6">
                  <c:v>30</c:v>
                </c:pt>
                <c:pt idx="7">
                  <c:v>29</c:v>
                </c:pt>
                <c:pt idx="8">
                  <c:v>27</c:v>
                </c:pt>
                <c:pt idx="9">
                  <c:v>24</c:v>
                </c:pt>
                <c:pt idx="10">
                  <c:v>21</c:v>
                </c:pt>
                <c:pt idx="11">
                  <c:v>17</c:v>
                </c:pt>
                <c:pt idx="12">
                  <c:v>13</c:v>
                </c:pt>
                <c:pt idx="13">
                  <c:v>9</c:v>
                </c:pt>
                <c:pt idx="14">
                  <c:v>6</c:v>
                </c:pt>
                <c:pt idx="15">
                  <c:v>4</c:v>
                </c:pt>
                <c:pt idx="16">
                  <c:v>1</c:v>
                </c:pt>
                <c:pt idx="17">
                  <c:v>-1</c:v>
                </c:pt>
                <c:pt idx="18">
                  <c:v>-3</c:v>
                </c:pt>
              </c:numCache>
            </c:numRef>
          </c:val>
        </c:ser>
        <c:ser>
          <c:idx val="10"/>
          <c:order val="10"/>
          <c:tx>
            <c:strRef>
              <c:f>'Timing -19 Cell'!$AA$16</c:f>
              <c:strCache>
                <c:ptCount val="1"/>
                <c:pt idx="0">
                  <c:v>3500</c:v>
                </c:pt>
              </c:strCache>
            </c:strRef>
          </c:tx>
          <c:spPr>
            <a:solidFill>
              <a:srgbClr val="FFFF00"/>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Cell'!$AB$16:$AT$16</c:f>
              <c:numCache>
                <c:formatCode>0</c:formatCode>
                <c:ptCount val="19"/>
                <c:pt idx="0">
                  <c:v>28</c:v>
                </c:pt>
                <c:pt idx="1">
                  <c:v>31</c:v>
                </c:pt>
                <c:pt idx="2">
                  <c:v>38</c:v>
                </c:pt>
                <c:pt idx="3">
                  <c:v>38</c:v>
                </c:pt>
                <c:pt idx="4">
                  <c:v>35</c:v>
                </c:pt>
                <c:pt idx="5">
                  <c:v>32</c:v>
                </c:pt>
                <c:pt idx="6">
                  <c:v>31</c:v>
                </c:pt>
                <c:pt idx="7">
                  <c:v>29</c:v>
                </c:pt>
                <c:pt idx="8">
                  <c:v>28</c:v>
                </c:pt>
                <c:pt idx="9">
                  <c:v>26</c:v>
                </c:pt>
                <c:pt idx="10">
                  <c:v>23</c:v>
                </c:pt>
                <c:pt idx="11">
                  <c:v>19</c:v>
                </c:pt>
                <c:pt idx="12">
                  <c:v>15</c:v>
                </c:pt>
                <c:pt idx="13">
                  <c:v>11</c:v>
                </c:pt>
                <c:pt idx="14">
                  <c:v>8</c:v>
                </c:pt>
                <c:pt idx="15">
                  <c:v>6</c:v>
                </c:pt>
                <c:pt idx="16">
                  <c:v>3</c:v>
                </c:pt>
                <c:pt idx="17">
                  <c:v>1</c:v>
                </c:pt>
                <c:pt idx="18">
                  <c:v>0</c:v>
                </c:pt>
              </c:numCache>
            </c:numRef>
          </c:val>
        </c:ser>
        <c:ser>
          <c:idx val="11"/>
          <c:order val="11"/>
          <c:tx>
            <c:strRef>
              <c:f>'Timing -19 Cell'!$AA$17</c:f>
              <c:strCache>
                <c:ptCount val="1"/>
                <c:pt idx="0">
                  <c:v>4000</c:v>
                </c:pt>
              </c:strCache>
            </c:strRef>
          </c:tx>
          <c:spPr>
            <a:solidFill>
              <a:srgbClr val="00FFFF"/>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Cell'!$AB$17:$AT$17</c:f>
              <c:numCache>
                <c:formatCode>0</c:formatCode>
                <c:ptCount val="19"/>
                <c:pt idx="0">
                  <c:v>28</c:v>
                </c:pt>
                <c:pt idx="1">
                  <c:v>32</c:v>
                </c:pt>
                <c:pt idx="2">
                  <c:v>38</c:v>
                </c:pt>
                <c:pt idx="3">
                  <c:v>38</c:v>
                </c:pt>
                <c:pt idx="4">
                  <c:v>35</c:v>
                </c:pt>
                <c:pt idx="5">
                  <c:v>33</c:v>
                </c:pt>
                <c:pt idx="6">
                  <c:v>31</c:v>
                </c:pt>
                <c:pt idx="7">
                  <c:v>30</c:v>
                </c:pt>
                <c:pt idx="8">
                  <c:v>28</c:v>
                </c:pt>
                <c:pt idx="9">
                  <c:v>26</c:v>
                </c:pt>
                <c:pt idx="10">
                  <c:v>24</c:v>
                </c:pt>
                <c:pt idx="11">
                  <c:v>20</c:v>
                </c:pt>
                <c:pt idx="12">
                  <c:v>16</c:v>
                </c:pt>
                <c:pt idx="13">
                  <c:v>12</c:v>
                </c:pt>
                <c:pt idx="14">
                  <c:v>9</c:v>
                </c:pt>
                <c:pt idx="15">
                  <c:v>7</c:v>
                </c:pt>
                <c:pt idx="16">
                  <c:v>5</c:v>
                </c:pt>
                <c:pt idx="17">
                  <c:v>3</c:v>
                </c:pt>
                <c:pt idx="18">
                  <c:v>1</c:v>
                </c:pt>
              </c:numCache>
            </c:numRef>
          </c:val>
        </c:ser>
        <c:ser>
          <c:idx val="12"/>
          <c:order val="12"/>
          <c:tx>
            <c:strRef>
              <c:f>'Timing -19 Cell'!$AA$18</c:f>
              <c:strCache>
                <c:ptCount val="1"/>
                <c:pt idx="0">
                  <c:v>4500</c:v>
                </c:pt>
              </c:strCache>
            </c:strRef>
          </c:tx>
          <c:spPr>
            <a:solidFill>
              <a:srgbClr val="800080"/>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Cell'!$AB$18:$AT$18</c:f>
              <c:numCache>
                <c:formatCode>0</c:formatCode>
                <c:ptCount val="19"/>
                <c:pt idx="0">
                  <c:v>33</c:v>
                </c:pt>
                <c:pt idx="1">
                  <c:v>34</c:v>
                </c:pt>
                <c:pt idx="2">
                  <c:v>38</c:v>
                </c:pt>
                <c:pt idx="3">
                  <c:v>38</c:v>
                </c:pt>
                <c:pt idx="4">
                  <c:v>35</c:v>
                </c:pt>
                <c:pt idx="5">
                  <c:v>33</c:v>
                </c:pt>
                <c:pt idx="6">
                  <c:v>31</c:v>
                </c:pt>
                <c:pt idx="7">
                  <c:v>30</c:v>
                </c:pt>
                <c:pt idx="8">
                  <c:v>28</c:v>
                </c:pt>
                <c:pt idx="9">
                  <c:v>26</c:v>
                </c:pt>
                <c:pt idx="10">
                  <c:v>24</c:v>
                </c:pt>
                <c:pt idx="11">
                  <c:v>20</c:v>
                </c:pt>
                <c:pt idx="12">
                  <c:v>16</c:v>
                </c:pt>
                <c:pt idx="13">
                  <c:v>13</c:v>
                </c:pt>
                <c:pt idx="14">
                  <c:v>10</c:v>
                </c:pt>
                <c:pt idx="15">
                  <c:v>8</c:v>
                </c:pt>
                <c:pt idx="16">
                  <c:v>6</c:v>
                </c:pt>
                <c:pt idx="17">
                  <c:v>3</c:v>
                </c:pt>
                <c:pt idx="18">
                  <c:v>2</c:v>
                </c:pt>
              </c:numCache>
            </c:numRef>
          </c:val>
        </c:ser>
        <c:ser>
          <c:idx val="13"/>
          <c:order val="13"/>
          <c:tx>
            <c:strRef>
              <c:f>'Timing -19 Cell'!$AA$19</c:f>
              <c:strCache>
                <c:ptCount val="1"/>
                <c:pt idx="0">
                  <c:v>5000</c:v>
                </c:pt>
              </c:strCache>
            </c:strRef>
          </c:tx>
          <c:spPr>
            <a:solidFill>
              <a:srgbClr val="800000"/>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Cell'!$AB$19:$AT$19</c:f>
              <c:numCache>
                <c:formatCode>0</c:formatCode>
                <c:ptCount val="19"/>
                <c:pt idx="0">
                  <c:v>38</c:v>
                </c:pt>
                <c:pt idx="1">
                  <c:v>38</c:v>
                </c:pt>
                <c:pt idx="2">
                  <c:v>38</c:v>
                </c:pt>
                <c:pt idx="3">
                  <c:v>38</c:v>
                </c:pt>
                <c:pt idx="4">
                  <c:v>35</c:v>
                </c:pt>
                <c:pt idx="5">
                  <c:v>33</c:v>
                </c:pt>
                <c:pt idx="6">
                  <c:v>31</c:v>
                </c:pt>
                <c:pt idx="7">
                  <c:v>30</c:v>
                </c:pt>
                <c:pt idx="8">
                  <c:v>28</c:v>
                </c:pt>
                <c:pt idx="9">
                  <c:v>27</c:v>
                </c:pt>
                <c:pt idx="10">
                  <c:v>24</c:v>
                </c:pt>
                <c:pt idx="11">
                  <c:v>20</c:v>
                </c:pt>
                <c:pt idx="12">
                  <c:v>17</c:v>
                </c:pt>
                <c:pt idx="13">
                  <c:v>13</c:v>
                </c:pt>
                <c:pt idx="14">
                  <c:v>11</c:v>
                </c:pt>
                <c:pt idx="15">
                  <c:v>9</c:v>
                </c:pt>
                <c:pt idx="16">
                  <c:v>6</c:v>
                </c:pt>
                <c:pt idx="17">
                  <c:v>4</c:v>
                </c:pt>
                <c:pt idx="18">
                  <c:v>3</c:v>
                </c:pt>
              </c:numCache>
            </c:numRef>
          </c:val>
        </c:ser>
        <c:ser>
          <c:idx val="14"/>
          <c:order val="14"/>
          <c:tx>
            <c:strRef>
              <c:f>'Timing -19 Cell'!$AA$20</c:f>
              <c:strCache>
                <c:ptCount val="1"/>
                <c:pt idx="0">
                  <c:v>5500</c:v>
                </c:pt>
              </c:strCache>
            </c:strRef>
          </c:tx>
          <c:spPr>
            <a:solidFill>
              <a:srgbClr val="008080"/>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Cell'!$AB$20:$AT$20</c:f>
              <c:numCache>
                <c:formatCode>0</c:formatCode>
                <c:ptCount val="19"/>
                <c:pt idx="0">
                  <c:v>38</c:v>
                </c:pt>
                <c:pt idx="1">
                  <c:v>38</c:v>
                </c:pt>
                <c:pt idx="2">
                  <c:v>38</c:v>
                </c:pt>
                <c:pt idx="3">
                  <c:v>38</c:v>
                </c:pt>
                <c:pt idx="4">
                  <c:v>35</c:v>
                </c:pt>
                <c:pt idx="5">
                  <c:v>33</c:v>
                </c:pt>
                <c:pt idx="6">
                  <c:v>31</c:v>
                </c:pt>
                <c:pt idx="7">
                  <c:v>30</c:v>
                </c:pt>
                <c:pt idx="8">
                  <c:v>29</c:v>
                </c:pt>
                <c:pt idx="9">
                  <c:v>27</c:v>
                </c:pt>
                <c:pt idx="10">
                  <c:v>25</c:v>
                </c:pt>
                <c:pt idx="11">
                  <c:v>21</c:v>
                </c:pt>
                <c:pt idx="12">
                  <c:v>18</c:v>
                </c:pt>
                <c:pt idx="13">
                  <c:v>14</c:v>
                </c:pt>
                <c:pt idx="14">
                  <c:v>12</c:v>
                </c:pt>
                <c:pt idx="15">
                  <c:v>9</c:v>
                </c:pt>
                <c:pt idx="16">
                  <c:v>7</c:v>
                </c:pt>
                <c:pt idx="17">
                  <c:v>5</c:v>
                </c:pt>
                <c:pt idx="18">
                  <c:v>4</c:v>
                </c:pt>
              </c:numCache>
            </c:numRef>
          </c:val>
        </c:ser>
        <c:ser>
          <c:idx val="15"/>
          <c:order val="15"/>
          <c:tx>
            <c:strRef>
              <c:f>'Timing -19 Cell'!$AA$21</c:f>
              <c:strCache>
                <c:ptCount val="1"/>
                <c:pt idx="0">
                  <c:v>6000</c:v>
                </c:pt>
              </c:strCache>
            </c:strRef>
          </c:tx>
          <c:spPr>
            <a:solidFill>
              <a:srgbClr val="0000FF"/>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Cell'!$AB$21:$AT$21</c:f>
              <c:numCache>
                <c:formatCode>0</c:formatCode>
                <c:ptCount val="19"/>
                <c:pt idx="0">
                  <c:v>38</c:v>
                </c:pt>
                <c:pt idx="1">
                  <c:v>38</c:v>
                </c:pt>
                <c:pt idx="2">
                  <c:v>38</c:v>
                </c:pt>
                <c:pt idx="3">
                  <c:v>38</c:v>
                </c:pt>
                <c:pt idx="4">
                  <c:v>36</c:v>
                </c:pt>
                <c:pt idx="5">
                  <c:v>34</c:v>
                </c:pt>
                <c:pt idx="6">
                  <c:v>33</c:v>
                </c:pt>
                <c:pt idx="7">
                  <c:v>32</c:v>
                </c:pt>
                <c:pt idx="8">
                  <c:v>31</c:v>
                </c:pt>
                <c:pt idx="9">
                  <c:v>29</c:v>
                </c:pt>
                <c:pt idx="10">
                  <c:v>26</c:v>
                </c:pt>
                <c:pt idx="11">
                  <c:v>23</c:v>
                </c:pt>
                <c:pt idx="12">
                  <c:v>20</c:v>
                </c:pt>
                <c:pt idx="13">
                  <c:v>16</c:v>
                </c:pt>
                <c:pt idx="14">
                  <c:v>13</c:v>
                </c:pt>
                <c:pt idx="15">
                  <c:v>10</c:v>
                </c:pt>
                <c:pt idx="16">
                  <c:v>8</c:v>
                </c:pt>
                <c:pt idx="17">
                  <c:v>6</c:v>
                </c:pt>
                <c:pt idx="18">
                  <c:v>6</c:v>
                </c:pt>
              </c:numCache>
            </c:numRef>
          </c:val>
        </c:ser>
        <c:ser>
          <c:idx val="16"/>
          <c:order val="16"/>
          <c:tx>
            <c:strRef>
              <c:f>'Timing -19 Cell'!$AA$22</c:f>
              <c:strCache>
                <c:ptCount val="1"/>
                <c:pt idx="0">
                  <c:v>6500</c:v>
                </c:pt>
              </c:strCache>
            </c:strRef>
          </c:tx>
          <c:spPr>
            <a:solidFill>
              <a:srgbClr val="00CCFF"/>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Cell'!$AB$22:$AT$22</c:f>
              <c:numCache>
                <c:formatCode>0</c:formatCode>
                <c:ptCount val="19"/>
                <c:pt idx="0">
                  <c:v>38</c:v>
                </c:pt>
                <c:pt idx="1">
                  <c:v>38</c:v>
                </c:pt>
                <c:pt idx="2">
                  <c:v>38</c:v>
                </c:pt>
                <c:pt idx="3">
                  <c:v>38</c:v>
                </c:pt>
                <c:pt idx="4">
                  <c:v>38</c:v>
                </c:pt>
                <c:pt idx="5">
                  <c:v>37</c:v>
                </c:pt>
                <c:pt idx="6">
                  <c:v>35</c:v>
                </c:pt>
                <c:pt idx="7">
                  <c:v>34</c:v>
                </c:pt>
                <c:pt idx="8">
                  <c:v>33</c:v>
                </c:pt>
                <c:pt idx="9">
                  <c:v>31</c:v>
                </c:pt>
                <c:pt idx="10">
                  <c:v>29</c:v>
                </c:pt>
                <c:pt idx="11">
                  <c:v>26</c:v>
                </c:pt>
                <c:pt idx="12">
                  <c:v>23</c:v>
                </c:pt>
                <c:pt idx="13">
                  <c:v>19</c:v>
                </c:pt>
                <c:pt idx="14">
                  <c:v>15</c:v>
                </c:pt>
                <c:pt idx="15">
                  <c:v>12</c:v>
                </c:pt>
                <c:pt idx="16">
                  <c:v>9</c:v>
                </c:pt>
                <c:pt idx="17">
                  <c:v>8</c:v>
                </c:pt>
                <c:pt idx="18">
                  <c:v>7</c:v>
                </c:pt>
              </c:numCache>
            </c:numRef>
          </c:val>
        </c:ser>
        <c:ser>
          <c:idx val="17"/>
          <c:order val="17"/>
          <c:tx>
            <c:strRef>
              <c:f>'Timing -19 Cell'!$AA$23</c:f>
              <c:strCache>
                <c:ptCount val="1"/>
                <c:pt idx="0">
                  <c:v>7000</c:v>
                </c:pt>
              </c:strCache>
            </c:strRef>
          </c:tx>
          <c:spPr>
            <a:solidFill>
              <a:srgbClr val="CCFFFF"/>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Cell'!$AB$23:$AT$23</c:f>
              <c:numCache>
                <c:formatCode>0</c:formatCode>
                <c:ptCount val="19"/>
                <c:pt idx="0">
                  <c:v>38</c:v>
                </c:pt>
                <c:pt idx="1">
                  <c:v>38</c:v>
                </c:pt>
                <c:pt idx="2">
                  <c:v>38</c:v>
                </c:pt>
                <c:pt idx="3">
                  <c:v>38</c:v>
                </c:pt>
                <c:pt idx="4">
                  <c:v>38</c:v>
                </c:pt>
                <c:pt idx="5">
                  <c:v>37</c:v>
                </c:pt>
                <c:pt idx="6">
                  <c:v>36</c:v>
                </c:pt>
                <c:pt idx="7">
                  <c:v>35</c:v>
                </c:pt>
                <c:pt idx="8">
                  <c:v>34</c:v>
                </c:pt>
                <c:pt idx="9">
                  <c:v>33</c:v>
                </c:pt>
                <c:pt idx="10">
                  <c:v>31</c:v>
                </c:pt>
                <c:pt idx="11">
                  <c:v>29</c:v>
                </c:pt>
                <c:pt idx="12">
                  <c:v>25</c:v>
                </c:pt>
                <c:pt idx="13">
                  <c:v>21</c:v>
                </c:pt>
                <c:pt idx="14">
                  <c:v>17</c:v>
                </c:pt>
                <c:pt idx="15">
                  <c:v>13</c:v>
                </c:pt>
                <c:pt idx="16">
                  <c:v>10</c:v>
                </c:pt>
                <c:pt idx="17">
                  <c:v>9</c:v>
                </c:pt>
                <c:pt idx="18">
                  <c:v>9</c:v>
                </c:pt>
              </c:numCache>
            </c:numRef>
          </c:val>
        </c:ser>
        <c:ser>
          <c:idx val="18"/>
          <c:order val="18"/>
          <c:tx>
            <c:strRef>
              <c:f>'Timing -19 Cell'!$AA$24</c:f>
              <c:strCache>
                <c:ptCount val="1"/>
                <c:pt idx="0">
                  <c:v>7500</c:v>
                </c:pt>
              </c:strCache>
            </c:strRef>
          </c:tx>
          <c:spPr>
            <a:solidFill>
              <a:srgbClr val="CCFFCC"/>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Cell'!$AB$24:$AT$24</c:f>
              <c:numCache>
                <c:formatCode>0</c:formatCode>
                <c:ptCount val="19"/>
                <c:pt idx="0">
                  <c:v>38</c:v>
                </c:pt>
                <c:pt idx="1">
                  <c:v>38</c:v>
                </c:pt>
                <c:pt idx="2">
                  <c:v>38</c:v>
                </c:pt>
                <c:pt idx="3">
                  <c:v>38</c:v>
                </c:pt>
                <c:pt idx="4">
                  <c:v>38</c:v>
                </c:pt>
                <c:pt idx="5">
                  <c:v>37</c:v>
                </c:pt>
                <c:pt idx="6">
                  <c:v>36</c:v>
                </c:pt>
                <c:pt idx="7">
                  <c:v>35</c:v>
                </c:pt>
                <c:pt idx="8">
                  <c:v>35</c:v>
                </c:pt>
                <c:pt idx="9">
                  <c:v>34</c:v>
                </c:pt>
                <c:pt idx="10">
                  <c:v>32</c:v>
                </c:pt>
                <c:pt idx="11">
                  <c:v>30</c:v>
                </c:pt>
                <c:pt idx="12">
                  <c:v>26</c:v>
                </c:pt>
                <c:pt idx="13">
                  <c:v>22</c:v>
                </c:pt>
                <c:pt idx="14">
                  <c:v>17</c:v>
                </c:pt>
                <c:pt idx="15">
                  <c:v>14</c:v>
                </c:pt>
                <c:pt idx="16">
                  <c:v>11</c:v>
                </c:pt>
                <c:pt idx="17">
                  <c:v>10</c:v>
                </c:pt>
                <c:pt idx="18">
                  <c:v>10</c:v>
                </c:pt>
              </c:numCache>
            </c:numRef>
          </c:val>
        </c:ser>
        <c:ser>
          <c:idx val="19"/>
          <c:order val="19"/>
          <c:tx>
            <c:strRef>
              <c:f>'Timing -19 Cell'!$AA$25</c:f>
              <c:strCache>
                <c:ptCount val="1"/>
                <c:pt idx="0">
                  <c:v>11000</c:v>
                </c:pt>
              </c:strCache>
            </c:strRef>
          </c:tx>
          <c:spPr>
            <a:solidFill>
              <a:srgbClr val="FFFF99"/>
            </a:solidFill>
            <a:ln w="12700">
              <a:solidFill>
                <a:srgbClr val="000000"/>
              </a:solidFill>
              <a:prstDash val="solid"/>
            </a:ln>
            <a:sp3d prstMaterial="flat"/>
          </c:spPr>
          <c:cat>
            <c:numRef>
              <c:f>'Timing -19 Cell'!$AB$5:$AT$5</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Cell'!$AB$25:$AT$25</c:f>
              <c:numCache>
                <c:formatCode>0</c:formatCode>
                <c:ptCount val="19"/>
                <c:pt idx="0">
                  <c:v>38</c:v>
                </c:pt>
                <c:pt idx="1">
                  <c:v>38</c:v>
                </c:pt>
                <c:pt idx="2">
                  <c:v>38</c:v>
                </c:pt>
                <c:pt idx="3">
                  <c:v>38</c:v>
                </c:pt>
                <c:pt idx="4">
                  <c:v>38</c:v>
                </c:pt>
                <c:pt idx="5">
                  <c:v>37</c:v>
                </c:pt>
                <c:pt idx="6">
                  <c:v>36</c:v>
                </c:pt>
                <c:pt idx="7">
                  <c:v>35</c:v>
                </c:pt>
                <c:pt idx="8">
                  <c:v>35</c:v>
                </c:pt>
                <c:pt idx="9">
                  <c:v>34</c:v>
                </c:pt>
                <c:pt idx="10">
                  <c:v>33</c:v>
                </c:pt>
                <c:pt idx="11">
                  <c:v>30</c:v>
                </c:pt>
                <c:pt idx="12">
                  <c:v>27</c:v>
                </c:pt>
                <c:pt idx="13">
                  <c:v>22</c:v>
                </c:pt>
                <c:pt idx="14">
                  <c:v>18</c:v>
                </c:pt>
                <c:pt idx="15">
                  <c:v>14</c:v>
                </c:pt>
                <c:pt idx="16">
                  <c:v>12</c:v>
                </c:pt>
                <c:pt idx="17">
                  <c:v>10</c:v>
                </c:pt>
                <c:pt idx="18">
                  <c:v>10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
            <c:idx val="40"/>
            <c:spPr>
              <a:solidFill>
                <a:srgbClr val="000000"/>
              </a:solidFill>
              <a:ln w="12700">
                <a:solidFill>
                  <a:srgbClr val="000000"/>
                </a:solidFill>
                <a:prstDash val="solid"/>
              </a:ln>
              <a:sp3d prstMaterial="flat"/>
            </c:spPr>
          </c:bandFmt>
          <c:bandFmt>
            <c:idx val="41"/>
            <c:spPr>
              <a:solidFill>
                <a:srgbClr val="FFFFFF"/>
              </a:solidFill>
              <a:ln w="12700">
                <a:solidFill>
                  <a:srgbClr val="000000"/>
                </a:solidFill>
                <a:prstDash val="solid"/>
              </a:ln>
              <a:sp3d prstMaterial="flat"/>
            </c:spPr>
          </c:bandFmt>
          <c:bandFmt>
            <c:idx val="42"/>
            <c:spPr>
              <a:solidFill>
                <a:srgbClr val="FF0000"/>
              </a:solidFill>
              <a:ln w="12700">
                <a:solidFill>
                  <a:srgbClr val="000000"/>
                </a:solidFill>
                <a:prstDash val="solid"/>
              </a:ln>
              <a:sp3d prstMaterial="flat"/>
            </c:spPr>
          </c:bandFmt>
          <c:bandFmt>
            <c:idx val="43"/>
            <c:spPr>
              <a:solidFill>
                <a:srgbClr val="00FF00"/>
              </a:solidFill>
              <a:ln w="12700">
                <a:solidFill>
                  <a:srgbClr val="000000"/>
                </a:solidFill>
                <a:prstDash val="solid"/>
              </a:ln>
              <a:sp3d prstMaterial="flat"/>
            </c:spPr>
          </c:bandFmt>
          <c:bandFmt>
            <c:idx val="44"/>
            <c:spPr>
              <a:solidFill>
                <a:srgbClr val="0000FF"/>
              </a:solidFill>
              <a:ln w="12700">
                <a:solidFill>
                  <a:srgbClr val="000000"/>
                </a:solidFill>
                <a:prstDash val="solid"/>
              </a:ln>
              <a:sp3d prstMaterial="flat"/>
            </c:spPr>
          </c:bandFmt>
          <c:bandFmt>
            <c:idx val="45"/>
            <c:spPr>
              <a:solidFill>
                <a:srgbClr val="FFFF00"/>
              </a:solidFill>
              <a:ln w="12700">
                <a:solidFill>
                  <a:srgbClr val="000000"/>
                </a:solidFill>
                <a:prstDash val="solid"/>
              </a:ln>
              <a:sp3d prstMaterial="flat"/>
            </c:spPr>
          </c:bandFmt>
          <c:bandFmt>
            <c:idx val="46"/>
            <c:spPr>
              <a:solidFill>
                <a:srgbClr val="FF00FF"/>
              </a:solidFill>
              <a:ln w="12700">
                <a:solidFill>
                  <a:srgbClr val="000000"/>
                </a:solidFill>
                <a:prstDash val="solid"/>
              </a:ln>
              <a:sp3d prstMaterial="flat"/>
            </c:spPr>
          </c:bandFmt>
          <c:bandFmt>
            <c:idx val="47"/>
            <c:spPr>
              <a:solidFill>
                <a:srgbClr val="00FFFF"/>
              </a:solidFill>
              <a:ln w="12700">
                <a:solidFill>
                  <a:srgbClr val="000000"/>
                </a:solidFill>
                <a:prstDash val="solid"/>
              </a:ln>
              <a:sp3d prstMaterial="flat"/>
            </c:spPr>
          </c:bandFmt>
        </c:bandFmts>
        <c:axId val="56648448"/>
        <c:axId val="56649984"/>
        <c:axId val="53102784"/>
      </c:surfaceChart>
      <c:catAx>
        <c:axId val="56648448"/>
        <c:scaling>
          <c:orientation val="minMax"/>
        </c:scaling>
        <c:axPos val="b"/>
        <c:numFmt formatCode="General" sourceLinked="1"/>
        <c:tickLblPos val="low"/>
        <c:spPr>
          <a:ln w="3175">
            <a:solidFill>
              <a:srgbClr val="000000"/>
            </a:solidFill>
            <a:prstDash val="solid"/>
          </a:ln>
        </c:spPr>
        <c:txPr>
          <a:bodyPr rot="-5400000" vert="horz"/>
          <a:lstStyle/>
          <a:p>
            <a:pPr>
              <a:defRPr sz="1175" b="0" i="0" u="none" strike="noStrike" baseline="0">
                <a:solidFill>
                  <a:srgbClr val="000000"/>
                </a:solidFill>
                <a:latin typeface="Arial"/>
                <a:ea typeface="Arial"/>
                <a:cs typeface="Arial"/>
              </a:defRPr>
            </a:pPr>
            <a:endParaRPr lang="en-US"/>
          </a:p>
        </c:txPr>
        <c:crossAx val="56649984"/>
        <c:crosses val="autoZero"/>
        <c:auto val="1"/>
        <c:lblAlgn val="ctr"/>
        <c:lblOffset val="100"/>
        <c:tickLblSkip val="2"/>
        <c:tickMarkSkip val="1"/>
        <c:noMultiLvlLbl val="1"/>
      </c:catAx>
      <c:valAx>
        <c:axId val="56649984"/>
        <c:scaling>
          <c:orientation val="minMax"/>
          <c:max val="38"/>
          <c:min val="-10"/>
        </c:scaling>
        <c:axPos val="l"/>
        <c:majorGridlines>
          <c:spPr>
            <a:ln w="3175">
              <a:solidFill>
                <a:srgbClr val="C0C0C0"/>
              </a:solidFill>
              <a:prstDash val="solid"/>
            </a:ln>
          </c:spPr>
        </c:majorGridlines>
        <c:numFmt formatCode="0" sourceLinked="1"/>
        <c:majorTickMark val="none"/>
        <c:tickLblPos val="none"/>
        <c:spPr>
          <a:ln w="3175">
            <a:solidFill>
              <a:srgbClr val="000000"/>
            </a:solidFill>
            <a:prstDash val="solid"/>
          </a:ln>
        </c:spPr>
        <c:crossAx val="56648448"/>
        <c:crosses val="autoZero"/>
        <c:crossBetween val="between"/>
        <c:majorUnit val="1"/>
        <c:minorUnit val="0.5"/>
      </c:valAx>
      <c:serAx>
        <c:axId val="53102784"/>
        <c:scaling>
          <c:orientation val="maxMin"/>
        </c:scaling>
        <c:axPos val="b"/>
        <c:numFmt formatCode="General" sourceLinked="1"/>
        <c:tickLblPos val="low"/>
        <c:spPr>
          <a:ln w="3175">
            <a:solidFill>
              <a:srgbClr val="000000"/>
            </a:solidFill>
            <a:prstDash val="solid"/>
          </a:ln>
        </c:spPr>
        <c:txPr>
          <a:bodyPr rot="0" vert="horz"/>
          <a:lstStyle/>
          <a:p>
            <a:pPr>
              <a:defRPr sz="1350" b="0" i="0" u="none" strike="noStrike" baseline="0">
                <a:solidFill>
                  <a:srgbClr val="000000"/>
                </a:solidFill>
                <a:latin typeface="Arial"/>
                <a:ea typeface="Arial"/>
                <a:cs typeface="Arial"/>
              </a:defRPr>
            </a:pPr>
            <a:endParaRPr lang="en-US"/>
          </a:p>
        </c:txPr>
        <c:crossAx val="56649984"/>
        <c:crosses val="autoZero"/>
        <c:tickLblSkip val="2"/>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horizontalDpi="200" verticalDpi="2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2.1013597033374555E-2"/>
          <c:y val="2.3769100169779296E-2"/>
          <c:w val="0.80222496909765117"/>
          <c:h val="0.794567062818336"/>
        </c:manualLayout>
      </c:layout>
      <c:surfaceChart>
        <c:ser>
          <c:idx val="0"/>
          <c:order val="0"/>
          <c:tx>
            <c:strRef>
              <c:f>'Timing -19 Cell'!$AA$30</c:f>
              <c:strCache>
                <c:ptCount val="1"/>
                <c:pt idx="0">
                  <c:v>0</c:v>
                </c:pt>
              </c:strCache>
            </c:strRef>
          </c:tx>
          <c:spPr>
            <a:solidFill>
              <a:srgbClr val="9999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Cell'!$AB$30:$AT$30</c:f>
              <c:numCache>
                <c:formatCode>0</c:formatCode>
                <c:ptCount val="19"/>
                <c:pt idx="0">
                  <c:v>5</c:v>
                </c:pt>
                <c:pt idx="1">
                  <c:v>5</c:v>
                </c:pt>
                <c:pt idx="2">
                  <c:v>5</c:v>
                </c:pt>
                <c:pt idx="3">
                  <c:v>5</c:v>
                </c:pt>
                <c:pt idx="4">
                  <c:v>5</c:v>
                </c:pt>
                <c:pt idx="5">
                  <c:v>11</c:v>
                </c:pt>
                <c:pt idx="6">
                  <c:v>15</c:v>
                </c:pt>
                <c:pt idx="7">
                  <c:v>6</c:v>
                </c:pt>
                <c:pt idx="8">
                  <c:v>3</c:v>
                </c:pt>
                <c:pt idx="9">
                  <c:v>2</c:v>
                </c:pt>
                <c:pt idx="10">
                  <c:v>-1</c:v>
                </c:pt>
                <c:pt idx="11">
                  <c:v>-2</c:v>
                </c:pt>
                <c:pt idx="12">
                  <c:v>-5</c:v>
                </c:pt>
                <c:pt idx="13">
                  <c:v>-8</c:v>
                </c:pt>
                <c:pt idx="14">
                  <c:v>-10</c:v>
                </c:pt>
                <c:pt idx="15">
                  <c:v>-10</c:v>
                </c:pt>
                <c:pt idx="16">
                  <c:v>-10</c:v>
                </c:pt>
                <c:pt idx="17">
                  <c:v>-10</c:v>
                </c:pt>
                <c:pt idx="18">
                  <c:v>-10</c:v>
                </c:pt>
              </c:numCache>
            </c:numRef>
          </c:val>
        </c:ser>
        <c:ser>
          <c:idx val="1"/>
          <c:order val="1"/>
          <c:tx>
            <c:strRef>
              <c:f>'Timing -19 Cell'!$AA$31</c:f>
              <c:strCache>
                <c:ptCount val="1"/>
                <c:pt idx="0">
                  <c:v>500</c:v>
                </c:pt>
              </c:strCache>
            </c:strRef>
          </c:tx>
          <c:spPr>
            <a:solidFill>
              <a:srgbClr val="993366"/>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Cell'!$AB$31:$AT$31</c:f>
              <c:numCache>
                <c:formatCode>0</c:formatCode>
                <c:ptCount val="19"/>
                <c:pt idx="0">
                  <c:v>5</c:v>
                </c:pt>
                <c:pt idx="1">
                  <c:v>5</c:v>
                </c:pt>
                <c:pt idx="2">
                  <c:v>5</c:v>
                </c:pt>
                <c:pt idx="3">
                  <c:v>5</c:v>
                </c:pt>
                <c:pt idx="4">
                  <c:v>5</c:v>
                </c:pt>
                <c:pt idx="5">
                  <c:v>8</c:v>
                </c:pt>
                <c:pt idx="6">
                  <c:v>13</c:v>
                </c:pt>
                <c:pt idx="7">
                  <c:v>6</c:v>
                </c:pt>
                <c:pt idx="8">
                  <c:v>3</c:v>
                </c:pt>
                <c:pt idx="9">
                  <c:v>2</c:v>
                </c:pt>
                <c:pt idx="10">
                  <c:v>-1</c:v>
                </c:pt>
                <c:pt idx="11">
                  <c:v>-2</c:v>
                </c:pt>
                <c:pt idx="12">
                  <c:v>-5</c:v>
                </c:pt>
                <c:pt idx="13">
                  <c:v>-8</c:v>
                </c:pt>
                <c:pt idx="14">
                  <c:v>-10</c:v>
                </c:pt>
                <c:pt idx="15">
                  <c:v>-10</c:v>
                </c:pt>
                <c:pt idx="16">
                  <c:v>-10</c:v>
                </c:pt>
                <c:pt idx="17">
                  <c:v>-10</c:v>
                </c:pt>
                <c:pt idx="18">
                  <c:v>-10</c:v>
                </c:pt>
              </c:numCache>
            </c:numRef>
          </c:val>
        </c:ser>
        <c:ser>
          <c:idx val="2"/>
          <c:order val="2"/>
          <c:tx>
            <c:strRef>
              <c:f>'Timing -19 Cell'!$AA$32</c:f>
              <c:strCache>
                <c:ptCount val="1"/>
                <c:pt idx="0">
                  <c:v>750</c:v>
                </c:pt>
              </c:strCache>
            </c:strRef>
          </c:tx>
          <c:spPr>
            <a:solidFill>
              <a:srgbClr val="FFFFCC"/>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Cell'!$AB$32:$AT$32</c:f>
              <c:numCache>
                <c:formatCode>0</c:formatCode>
                <c:ptCount val="19"/>
                <c:pt idx="0">
                  <c:v>5</c:v>
                </c:pt>
                <c:pt idx="1">
                  <c:v>5</c:v>
                </c:pt>
                <c:pt idx="2">
                  <c:v>5</c:v>
                </c:pt>
                <c:pt idx="3">
                  <c:v>5</c:v>
                </c:pt>
                <c:pt idx="4">
                  <c:v>5</c:v>
                </c:pt>
                <c:pt idx="5">
                  <c:v>9</c:v>
                </c:pt>
                <c:pt idx="6">
                  <c:v>13</c:v>
                </c:pt>
                <c:pt idx="7">
                  <c:v>10</c:v>
                </c:pt>
                <c:pt idx="8">
                  <c:v>6</c:v>
                </c:pt>
                <c:pt idx="9">
                  <c:v>3</c:v>
                </c:pt>
                <c:pt idx="10">
                  <c:v>1</c:v>
                </c:pt>
                <c:pt idx="11">
                  <c:v>-1</c:v>
                </c:pt>
                <c:pt idx="12">
                  <c:v>-4</c:v>
                </c:pt>
                <c:pt idx="13">
                  <c:v>-6</c:v>
                </c:pt>
                <c:pt idx="14">
                  <c:v>-9</c:v>
                </c:pt>
                <c:pt idx="15">
                  <c:v>-10</c:v>
                </c:pt>
                <c:pt idx="16">
                  <c:v>-10</c:v>
                </c:pt>
                <c:pt idx="17">
                  <c:v>-10</c:v>
                </c:pt>
                <c:pt idx="18">
                  <c:v>-10</c:v>
                </c:pt>
              </c:numCache>
            </c:numRef>
          </c:val>
        </c:ser>
        <c:ser>
          <c:idx val="3"/>
          <c:order val="3"/>
          <c:tx>
            <c:strRef>
              <c:f>'Timing -19 Cell'!$AA$33</c:f>
              <c:strCache>
                <c:ptCount val="1"/>
                <c:pt idx="0">
                  <c:v>1000</c:v>
                </c:pt>
              </c:strCache>
            </c:strRef>
          </c:tx>
          <c:spPr>
            <a:solidFill>
              <a:srgbClr val="CCFF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Cell'!$AB$33:$AT$33</c:f>
              <c:numCache>
                <c:formatCode>0</c:formatCode>
                <c:ptCount val="19"/>
                <c:pt idx="0">
                  <c:v>5</c:v>
                </c:pt>
                <c:pt idx="1">
                  <c:v>5</c:v>
                </c:pt>
                <c:pt idx="2">
                  <c:v>5</c:v>
                </c:pt>
                <c:pt idx="3">
                  <c:v>5</c:v>
                </c:pt>
                <c:pt idx="4">
                  <c:v>9</c:v>
                </c:pt>
                <c:pt idx="5">
                  <c:v>13</c:v>
                </c:pt>
                <c:pt idx="6">
                  <c:v>18</c:v>
                </c:pt>
                <c:pt idx="7">
                  <c:v>10</c:v>
                </c:pt>
                <c:pt idx="8">
                  <c:v>9</c:v>
                </c:pt>
                <c:pt idx="9">
                  <c:v>7</c:v>
                </c:pt>
                <c:pt idx="10">
                  <c:v>5</c:v>
                </c:pt>
                <c:pt idx="11">
                  <c:v>2</c:v>
                </c:pt>
                <c:pt idx="12">
                  <c:v>-1</c:v>
                </c:pt>
                <c:pt idx="13">
                  <c:v>-4</c:v>
                </c:pt>
                <c:pt idx="14">
                  <c:v>-6</c:v>
                </c:pt>
                <c:pt idx="15">
                  <c:v>-9</c:v>
                </c:pt>
                <c:pt idx="16">
                  <c:v>-10</c:v>
                </c:pt>
                <c:pt idx="17">
                  <c:v>-10</c:v>
                </c:pt>
                <c:pt idx="18">
                  <c:v>-10</c:v>
                </c:pt>
              </c:numCache>
            </c:numRef>
          </c:val>
        </c:ser>
        <c:ser>
          <c:idx val="4"/>
          <c:order val="4"/>
          <c:tx>
            <c:strRef>
              <c:f>'Timing -19 Cell'!$AA$34</c:f>
              <c:strCache>
                <c:ptCount val="1"/>
                <c:pt idx="0">
                  <c:v>1250</c:v>
                </c:pt>
              </c:strCache>
            </c:strRef>
          </c:tx>
          <c:spPr>
            <a:solidFill>
              <a:srgbClr val="660066"/>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Cell'!$AB$34:$AT$34</c:f>
              <c:numCache>
                <c:formatCode>0</c:formatCode>
                <c:ptCount val="19"/>
                <c:pt idx="0">
                  <c:v>8</c:v>
                </c:pt>
                <c:pt idx="1">
                  <c:v>8</c:v>
                </c:pt>
                <c:pt idx="2">
                  <c:v>12</c:v>
                </c:pt>
                <c:pt idx="3">
                  <c:v>12</c:v>
                </c:pt>
                <c:pt idx="4">
                  <c:v>16</c:v>
                </c:pt>
                <c:pt idx="5">
                  <c:v>20</c:v>
                </c:pt>
                <c:pt idx="6">
                  <c:v>20</c:v>
                </c:pt>
                <c:pt idx="7">
                  <c:v>17</c:v>
                </c:pt>
                <c:pt idx="8">
                  <c:v>14</c:v>
                </c:pt>
                <c:pt idx="9">
                  <c:v>11</c:v>
                </c:pt>
                <c:pt idx="10">
                  <c:v>8</c:v>
                </c:pt>
                <c:pt idx="11">
                  <c:v>6</c:v>
                </c:pt>
                <c:pt idx="12">
                  <c:v>3</c:v>
                </c:pt>
                <c:pt idx="13">
                  <c:v>0</c:v>
                </c:pt>
                <c:pt idx="14">
                  <c:v>-3</c:v>
                </c:pt>
                <c:pt idx="15">
                  <c:v>-6</c:v>
                </c:pt>
                <c:pt idx="16">
                  <c:v>-8</c:v>
                </c:pt>
                <c:pt idx="17">
                  <c:v>-9</c:v>
                </c:pt>
                <c:pt idx="18">
                  <c:v>-10</c:v>
                </c:pt>
              </c:numCache>
            </c:numRef>
          </c:val>
        </c:ser>
        <c:ser>
          <c:idx val="5"/>
          <c:order val="5"/>
          <c:tx>
            <c:strRef>
              <c:f>'Timing -19 Cell'!$AA$35</c:f>
              <c:strCache>
                <c:ptCount val="1"/>
                <c:pt idx="0">
                  <c:v>1500</c:v>
                </c:pt>
              </c:strCache>
            </c:strRef>
          </c:tx>
          <c:spPr>
            <a:solidFill>
              <a:srgbClr val="FF808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Cell'!$AB$35:$AT$35</c:f>
              <c:numCache>
                <c:formatCode>0</c:formatCode>
                <c:ptCount val="19"/>
                <c:pt idx="0">
                  <c:v>13</c:v>
                </c:pt>
                <c:pt idx="1">
                  <c:v>13</c:v>
                </c:pt>
                <c:pt idx="2">
                  <c:v>19</c:v>
                </c:pt>
                <c:pt idx="3">
                  <c:v>19</c:v>
                </c:pt>
                <c:pt idx="4">
                  <c:v>26</c:v>
                </c:pt>
                <c:pt idx="5">
                  <c:v>24</c:v>
                </c:pt>
                <c:pt idx="6">
                  <c:v>23</c:v>
                </c:pt>
                <c:pt idx="7">
                  <c:v>21</c:v>
                </c:pt>
                <c:pt idx="8">
                  <c:v>18</c:v>
                </c:pt>
                <c:pt idx="9">
                  <c:v>14</c:v>
                </c:pt>
                <c:pt idx="10">
                  <c:v>11</c:v>
                </c:pt>
                <c:pt idx="11">
                  <c:v>9</c:v>
                </c:pt>
                <c:pt idx="12">
                  <c:v>6</c:v>
                </c:pt>
                <c:pt idx="13">
                  <c:v>3</c:v>
                </c:pt>
                <c:pt idx="14">
                  <c:v>0</c:v>
                </c:pt>
                <c:pt idx="15">
                  <c:v>-3</c:v>
                </c:pt>
                <c:pt idx="16">
                  <c:v>-6</c:v>
                </c:pt>
                <c:pt idx="17">
                  <c:v>-8</c:v>
                </c:pt>
                <c:pt idx="18">
                  <c:v>-9</c:v>
                </c:pt>
              </c:numCache>
            </c:numRef>
          </c:val>
        </c:ser>
        <c:ser>
          <c:idx val="6"/>
          <c:order val="6"/>
          <c:tx>
            <c:strRef>
              <c:f>'Timing -19 Cell'!$AA$36</c:f>
              <c:strCache>
                <c:ptCount val="1"/>
                <c:pt idx="0">
                  <c:v>1750</c:v>
                </c:pt>
              </c:strCache>
            </c:strRef>
          </c:tx>
          <c:spPr>
            <a:solidFill>
              <a:srgbClr val="0066CC"/>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Cell'!$AB$36:$AT$36</c:f>
              <c:numCache>
                <c:formatCode>0</c:formatCode>
                <c:ptCount val="19"/>
                <c:pt idx="0">
                  <c:v>18</c:v>
                </c:pt>
                <c:pt idx="1">
                  <c:v>18</c:v>
                </c:pt>
                <c:pt idx="2">
                  <c:v>25</c:v>
                </c:pt>
                <c:pt idx="3">
                  <c:v>25</c:v>
                </c:pt>
                <c:pt idx="4">
                  <c:v>27</c:v>
                </c:pt>
                <c:pt idx="5">
                  <c:v>25</c:v>
                </c:pt>
                <c:pt idx="6">
                  <c:v>24</c:v>
                </c:pt>
                <c:pt idx="7">
                  <c:v>23</c:v>
                </c:pt>
                <c:pt idx="8">
                  <c:v>21</c:v>
                </c:pt>
                <c:pt idx="9">
                  <c:v>17</c:v>
                </c:pt>
                <c:pt idx="10">
                  <c:v>14</c:v>
                </c:pt>
                <c:pt idx="11">
                  <c:v>11</c:v>
                </c:pt>
                <c:pt idx="12">
                  <c:v>8</c:v>
                </c:pt>
                <c:pt idx="13">
                  <c:v>5</c:v>
                </c:pt>
                <c:pt idx="14">
                  <c:v>2</c:v>
                </c:pt>
                <c:pt idx="15">
                  <c:v>-1</c:v>
                </c:pt>
                <c:pt idx="16">
                  <c:v>-4</c:v>
                </c:pt>
                <c:pt idx="17">
                  <c:v>-7</c:v>
                </c:pt>
                <c:pt idx="18">
                  <c:v>-8</c:v>
                </c:pt>
              </c:numCache>
            </c:numRef>
          </c:val>
        </c:ser>
        <c:ser>
          <c:idx val="7"/>
          <c:order val="7"/>
          <c:tx>
            <c:strRef>
              <c:f>'Timing -19 Cell'!$AA$37</c:f>
              <c:strCache>
                <c:ptCount val="1"/>
                <c:pt idx="0">
                  <c:v>2000</c:v>
                </c:pt>
              </c:strCache>
            </c:strRef>
          </c:tx>
          <c:spPr>
            <a:solidFill>
              <a:srgbClr val="CCCC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Cell'!$AB$37:$AT$37</c:f>
              <c:numCache>
                <c:formatCode>0</c:formatCode>
                <c:ptCount val="19"/>
                <c:pt idx="0">
                  <c:v>24</c:v>
                </c:pt>
                <c:pt idx="1">
                  <c:v>24</c:v>
                </c:pt>
                <c:pt idx="2">
                  <c:v>32</c:v>
                </c:pt>
                <c:pt idx="3">
                  <c:v>32</c:v>
                </c:pt>
                <c:pt idx="4">
                  <c:v>29</c:v>
                </c:pt>
                <c:pt idx="5">
                  <c:v>26</c:v>
                </c:pt>
                <c:pt idx="6">
                  <c:v>26</c:v>
                </c:pt>
                <c:pt idx="7">
                  <c:v>25</c:v>
                </c:pt>
                <c:pt idx="8">
                  <c:v>23</c:v>
                </c:pt>
                <c:pt idx="9">
                  <c:v>20</c:v>
                </c:pt>
                <c:pt idx="10">
                  <c:v>16</c:v>
                </c:pt>
                <c:pt idx="11">
                  <c:v>13</c:v>
                </c:pt>
                <c:pt idx="12">
                  <c:v>9</c:v>
                </c:pt>
                <c:pt idx="13">
                  <c:v>6</c:v>
                </c:pt>
                <c:pt idx="14">
                  <c:v>3</c:v>
                </c:pt>
                <c:pt idx="15">
                  <c:v>0</c:v>
                </c:pt>
                <c:pt idx="16">
                  <c:v>-3</c:v>
                </c:pt>
                <c:pt idx="17">
                  <c:v>-5</c:v>
                </c:pt>
                <c:pt idx="18">
                  <c:v>-7</c:v>
                </c:pt>
              </c:numCache>
            </c:numRef>
          </c:val>
        </c:ser>
        <c:ser>
          <c:idx val="8"/>
          <c:order val="8"/>
          <c:tx>
            <c:strRef>
              <c:f>'Timing -19 Cell'!$AA$38</c:f>
              <c:strCache>
                <c:ptCount val="1"/>
                <c:pt idx="0">
                  <c:v>2500</c:v>
                </c:pt>
              </c:strCache>
            </c:strRef>
          </c:tx>
          <c:spPr>
            <a:solidFill>
              <a:srgbClr val="00008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Cell'!$AB$38:$AT$38</c:f>
              <c:numCache>
                <c:formatCode>0</c:formatCode>
                <c:ptCount val="19"/>
                <c:pt idx="0">
                  <c:v>24</c:v>
                </c:pt>
                <c:pt idx="1">
                  <c:v>24</c:v>
                </c:pt>
                <c:pt idx="2">
                  <c:v>34</c:v>
                </c:pt>
                <c:pt idx="3">
                  <c:v>34</c:v>
                </c:pt>
                <c:pt idx="4">
                  <c:v>32</c:v>
                </c:pt>
                <c:pt idx="5">
                  <c:v>30</c:v>
                </c:pt>
                <c:pt idx="6">
                  <c:v>29</c:v>
                </c:pt>
                <c:pt idx="7">
                  <c:v>27</c:v>
                </c:pt>
                <c:pt idx="8">
                  <c:v>25</c:v>
                </c:pt>
                <c:pt idx="9">
                  <c:v>22</c:v>
                </c:pt>
                <c:pt idx="10">
                  <c:v>19</c:v>
                </c:pt>
                <c:pt idx="11">
                  <c:v>15</c:v>
                </c:pt>
                <c:pt idx="12">
                  <c:v>10</c:v>
                </c:pt>
                <c:pt idx="13">
                  <c:v>7</c:v>
                </c:pt>
                <c:pt idx="14">
                  <c:v>5</c:v>
                </c:pt>
                <c:pt idx="15">
                  <c:v>2</c:v>
                </c:pt>
                <c:pt idx="16">
                  <c:v>-1</c:v>
                </c:pt>
                <c:pt idx="17">
                  <c:v>-4</c:v>
                </c:pt>
                <c:pt idx="18">
                  <c:v>-6</c:v>
                </c:pt>
              </c:numCache>
            </c:numRef>
          </c:val>
        </c:ser>
        <c:ser>
          <c:idx val="9"/>
          <c:order val="9"/>
          <c:tx>
            <c:strRef>
              <c:f>'Timing -19 Cell'!$AA$39</c:f>
              <c:strCache>
                <c:ptCount val="1"/>
                <c:pt idx="0">
                  <c:v>3000</c:v>
                </c:pt>
              </c:strCache>
            </c:strRef>
          </c:tx>
          <c:spPr>
            <a:solidFill>
              <a:srgbClr val="FF00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Cell'!$AB$39:$AT$39</c:f>
              <c:numCache>
                <c:formatCode>0</c:formatCode>
                <c:ptCount val="19"/>
                <c:pt idx="0">
                  <c:v>28</c:v>
                </c:pt>
                <c:pt idx="1">
                  <c:v>28</c:v>
                </c:pt>
                <c:pt idx="2">
                  <c:v>38</c:v>
                </c:pt>
                <c:pt idx="3">
                  <c:v>38</c:v>
                </c:pt>
                <c:pt idx="4">
                  <c:v>35</c:v>
                </c:pt>
                <c:pt idx="5">
                  <c:v>32</c:v>
                </c:pt>
                <c:pt idx="6">
                  <c:v>30</c:v>
                </c:pt>
                <c:pt idx="7">
                  <c:v>29</c:v>
                </c:pt>
                <c:pt idx="8">
                  <c:v>27</c:v>
                </c:pt>
                <c:pt idx="9">
                  <c:v>25</c:v>
                </c:pt>
                <c:pt idx="10">
                  <c:v>22</c:v>
                </c:pt>
                <c:pt idx="11">
                  <c:v>17</c:v>
                </c:pt>
                <c:pt idx="12">
                  <c:v>13</c:v>
                </c:pt>
                <c:pt idx="13">
                  <c:v>8</c:v>
                </c:pt>
                <c:pt idx="14">
                  <c:v>6</c:v>
                </c:pt>
                <c:pt idx="15">
                  <c:v>4</c:v>
                </c:pt>
                <c:pt idx="16">
                  <c:v>1</c:v>
                </c:pt>
                <c:pt idx="17">
                  <c:v>-2</c:v>
                </c:pt>
                <c:pt idx="18">
                  <c:v>-3</c:v>
                </c:pt>
              </c:numCache>
            </c:numRef>
          </c:val>
        </c:ser>
        <c:ser>
          <c:idx val="10"/>
          <c:order val="10"/>
          <c:tx>
            <c:strRef>
              <c:f>'Timing -19 Cell'!$AA$40</c:f>
              <c:strCache>
                <c:ptCount val="1"/>
                <c:pt idx="0">
                  <c:v>3500</c:v>
                </c:pt>
              </c:strCache>
            </c:strRef>
          </c:tx>
          <c:spPr>
            <a:solidFill>
              <a:srgbClr val="FFFF0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Cell'!$AB$40:$AT$40</c:f>
              <c:numCache>
                <c:formatCode>0</c:formatCode>
                <c:ptCount val="19"/>
                <c:pt idx="0">
                  <c:v>28</c:v>
                </c:pt>
                <c:pt idx="1">
                  <c:v>28</c:v>
                </c:pt>
                <c:pt idx="2">
                  <c:v>38</c:v>
                </c:pt>
                <c:pt idx="3">
                  <c:v>38</c:v>
                </c:pt>
                <c:pt idx="4">
                  <c:v>35</c:v>
                </c:pt>
                <c:pt idx="5">
                  <c:v>32</c:v>
                </c:pt>
                <c:pt idx="6">
                  <c:v>31</c:v>
                </c:pt>
                <c:pt idx="7">
                  <c:v>30</c:v>
                </c:pt>
                <c:pt idx="8">
                  <c:v>28</c:v>
                </c:pt>
                <c:pt idx="9">
                  <c:v>26</c:v>
                </c:pt>
                <c:pt idx="10">
                  <c:v>24</c:v>
                </c:pt>
                <c:pt idx="11">
                  <c:v>19</c:v>
                </c:pt>
                <c:pt idx="12">
                  <c:v>15</c:v>
                </c:pt>
                <c:pt idx="13">
                  <c:v>11</c:v>
                </c:pt>
                <c:pt idx="14">
                  <c:v>8</c:v>
                </c:pt>
                <c:pt idx="15">
                  <c:v>6</c:v>
                </c:pt>
                <c:pt idx="16">
                  <c:v>4</c:v>
                </c:pt>
                <c:pt idx="17">
                  <c:v>1</c:v>
                </c:pt>
                <c:pt idx="18">
                  <c:v>-1</c:v>
                </c:pt>
              </c:numCache>
            </c:numRef>
          </c:val>
        </c:ser>
        <c:ser>
          <c:idx val="11"/>
          <c:order val="11"/>
          <c:tx>
            <c:strRef>
              <c:f>'Timing -19 Cell'!$AA$41</c:f>
              <c:strCache>
                <c:ptCount val="1"/>
                <c:pt idx="0">
                  <c:v>4000</c:v>
                </c:pt>
              </c:strCache>
            </c:strRef>
          </c:tx>
          <c:spPr>
            <a:solidFill>
              <a:srgbClr val="00FF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Cell'!$AB$41:$AT$41</c:f>
              <c:numCache>
                <c:formatCode>0</c:formatCode>
                <c:ptCount val="19"/>
                <c:pt idx="0">
                  <c:v>28</c:v>
                </c:pt>
                <c:pt idx="1">
                  <c:v>28</c:v>
                </c:pt>
                <c:pt idx="2">
                  <c:v>38</c:v>
                </c:pt>
                <c:pt idx="3">
                  <c:v>38</c:v>
                </c:pt>
                <c:pt idx="4">
                  <c:v>35</c:v>
                </c:pt>
                <c:pt idx="5">
                  <c:v>32</c:v>
                </c:pt>
                <c:pt idx="6">
                  <c:v>31</c:v>
                </c:pt>
                <c:pt idx="7">
                  <c:v>30</c:v>
                </c:pt>
                <c:pt idx="8">
                  <c:v>28</c:v>
                </c:pt>
                <c:pt idx="9">
                  <c:v>27</c:v>
                </c:pt>
                <c:pt idx="10">
                  <c:v>24</c:v>
                </c:pt>
                <c:pt idx="11">
                  <c:v>20</c:v>
                </c:pt>
                <c:pt idx="12">
                  <c:v>16</c:v>
                </c:pt>
                <c:pt idx="13">
                  <c:v>12</c:v>
                </c:pt>
                <c:pt idx="14">
                  <c:v>9</c:v>
                </c:pt>
                <c:pt idx="15">
                  <c:v>7</c:v>
                </c:pt>
                <c:pt idx="16">
                  <c:v>5</c:v>
                </c:pt>
                <c:pt idx="17">
                  <c:v>3</c:v>
                </c:pt>
                <c:pt idx="18">
                  <c:v>1</c:v>
                </c:pt>
              </c:numCache>
            </c:numRef>
          </c:val>
        </c:ser>
        <c:ser>
          <c:idx val="12"/>
          <c:order val="12"/>
          <c:tx>
            <c:strRef>
              <c:f>'Timing -19 Cell'!$AA$42</c:f>
              <c:strCache>
                <c:ptCount val="1"/>
                <c:pt idx="0">
                  <c:v>4500</c:v>
                </c:pt>
              </c:strCache>
            </c:strRef>
          </c:tx>
          <c:spPr>
            <a:solidFill>
              <a:srgbClr val="80008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Cell'!$AB$42:$AT$42</c:f>
              <c:numCache>
                <c:formatCode>0</c:formatCode>
                <c:ptCount val="19"/>
                <c:pt idx="0">
                  <c:v>33</c:v>
                </c:pt>
                <c:pt idx="1">
                  <c:v>33</c:v>
                </c:pt>
                <c:pt idx="2">
                  <c:v>38</c:v>
                </c:pt>
                <c:pt idx="3">
                  <c:v>38</c:v>
                </c:pt>
                <c:pt idx="4">
                  <c:v>35</c:v>
                </c:pt>
                <c:pt idx="5">
                  <c:v>32</c:v>
                </c:pt>
                <c:pt idx="6">
                  <c:v>31</c:v>
                </c:pt>
                <c:pt idx="7">
                  <c:v>30</c:v>
                </c:pt>
                <c:pt idx="8">
                  <c:v>28</c:v>
                </c:pt>
                <c:pt idx="9">
                  <c:v>27</c:v>
                </c:pt>
                <c:pt idx="10">
                  <c:v>24</c:v>
                </c:pt>
                <c:pt idx="11">
                  <c:v>20</c:v>
                </c:pt>
                <c:pt idx="12">
                  <c:v>16</c:v>
                </c:pt>
                <c:pt idx="13">
                  <c:v>13</c:v>
                </c:pt>
                <c:pt idx="14">
                  <c:v>10</c:v>
                </c:pt>
                <c:pt idx="15">
                  <c:v>8</c:v>
                </c:pt>
                <c:pt idx="16">
                  <c:v>6</c:v>
                </c:pt>
                <c:pt idx="17">
                  <c:v>3</c:v>
                </c:pt>
                <c:pt idx="18">
                  <c:v>2</c:v>
                </c:pt>
              </c:numCache>
            </c:numRef>
          </c:val>
        </c:ser>
        <c:ser>
          <c:idx val="13"/>
          <c:order val="13"/>
          <c:tx>
            <c:strRef>
              <c:f>'Timing -19 Cell'!$AA$43</c:f>
              <c:strCache>
                <c:ptCount val="1"/>
                <c:pt idx="0">
                  <c:v>5000</c:v>
                </c:pt>
              </c:strCache>
            </c:strRef>
          </c:tx>
          <c:spPr>
            <a:solidFill>
              <a:srgbClr val="80000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Cell'!$AB$43:$AT$43</c:f>
              <c:numCache>
                <c:formatCode>0</c:formatCode>
                <c:ptCount val="19"/>
                <c:pt idx="0">
                  <c:v>38</c:v>
                </c:pt>
                <c:pt idx="1">
                  <c:v>38</c:v>
                </c:pt>
                <c:pt idx="2">
                  <c:v>38</c:v>
                </c:pt>
                <c:pt idx="3">
                  <c:v>38</c:v>
                </c:pt>
                <c:pt idx="4">
                  <c:v>35</c:v>
                </c:pt>
                <c:pt idx="5">
                  <c:v>32</c:v>
                </c:pt>
                <c:pt idx="6">
                  <c:v>31</c:v>
                </c:pt>
                <c:pt idx="7">
                  <c:v>30</c:v>
                </c:pt>
                <c:pt idx="8">
                  <c:v>28</c:v>
                </c:pt>
                <c:pt idx="9">
                  <c:v>27</c:v>
                </c:pt>
                <c:pt idx="10">
                  <c:v>24</c:v>
                </c:pt>
                <c:pt idx="11">
                  <c:v>20</c:v>
                </c:pt>
                <c:pt idx="12">
                  <c:v>16</c:v>
                </c:pt>
                <c:pt idx="13">
                  <c:v>13</c:v>
                </c:pt>
                <c:pt idx="14">
                  <c:v>11</c:v>
                </c:pt>
                <c:pt idx="15">
                  <c:v>9</c:v>
                </c:pt>
                <c:pt idx="16">
                  <c:v>6</c:v>
                </c:pt>
                <c:pt idx="17">
                  <c:v>3</c:v>
                </c:pt>
                <c:pt idx="18">
                  <c:v>2</c:v>
                </c:pt>
              </c:numCache>
            </c:numRef>
          </c:val>
        </c:ser>
        <c:ser>
          <c:idx val="14"/>
          <c:order val="14"/>
          <c:tx>
            <c:strRef>
              <c:f>'Timing -19 Cell'!$AA$44</c:f>
              <c:strCache>
                <c:ptCount val="1"/>
                <c:pt idx="0">
                  <c:v>5500</c:v>
                </c:pt>
              </c:strCache>
            </c:strRef>
          </c:tx>
          <c:spPr>
            <a:solidFill>
              <a:srgbClr val="00808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Cell'!$AB$44:$AT$44</c:f>
              <c:numCache>
                <c:formatCode>0</c:formatCode>
                <c:ptCount val="19"/>
                <c:pt idx="0">
                  <c:v>38</c:v>
                </c:pt>
                <c:pt idx="1">
                  <c:v>38</c:v>
                </c:pt>
                <c:pt idx="2">
                  <c:v>38</c:v>
                </c:pt>
                <c:pt idx="3">
                  <c:v>38</c:v>
                </c:pt>
                <c:pt idx="4">
                  <c:v>35</c:v>
                </c:pt>
                <c:pt idx="5">
                  <c:v>32</c:v>
                </c:pt>
                <c:pt idx="6">
                  <c:v>31</c:v>
                </c:pt>
                <c:pt idx="7">
                  <c:v>30</c:v>
                </c:pt>
                <c:pt idx="8">
                  <c:v>29</c:v>
                </c:pt>
                <c:pt idx="9">
                  <c:v>27</c:v>
                </c:pt>
                <c:pt idx="10">
                  <c:v>25</c:v>
                </c:pt>
                <c:pt idx="11">
                  <c:v>21</c:v>
                </c:pt>
                <c:pt idx="12">
                  <c:v>17</c:v>
                </c:pt>
                <c:pt idx="13">
                  <c:v>14</c:v>
                </c:pt>
                <c:pt idx="14">
                  <c:v>12</c:v>
                </c:pt>
                <c:pt idx="15">
                  <c:v>9</c:v>
                </c:pt>
                <c:pt idx="16">
                  <c:v>7</c:v>
                </c:pt>
                <c:pt idx="17">
                  <c:v>4</c:v>
                </c:pt>
                <c:pt idx="18">
                  <c:v>4</c:v>
                </c:pt>
              </c:numCache>
            </c:numRef>
          </c:val>
        </c:ser>
        <c:ser>
          <c:idx val="15"/>
          <c:order val="15"/>
          <c:tx>
            <c:strRef>
              <c:f>'Timing -19 Cell'!$AA$45</c:f>
              <c:strCache>
                <c:ptCount val="1"/>
                <c:pt idx="0">
                  <c:v>6000</c:v>
                </c:pt>
              </c:strCache>
            </c:strRef>
          </c:tx>
          <c:spPr>
            <a:solidFill>
              <a:srgbClr val="0000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Cell'!$AB$45:$AT$45</c:f>
              <c:numCache>
                <c:formatCode>0</c:formatCode>
                <c:ptCount val="19"/>
                <c:pt idx="0">
                  <c:v>38</c:v>
                </c:pt>
                <c:pt idx="1">
                  <c:v>38</c:v>
                </c:pt>
                <c:pt idx="2">
                  <c:v>38</c:v>
                </c:pt>
                <c:pt idx="3">
                  <c:v>38</c:v>
                </c:pt>
                <c:pt idx="4">
                  <c:v>35</c:v>
                </c:pt>
                <c:pt idx="5">
                  <c:v>34</c:v>
                </c:pt>
                <c:pt idx="6">
                  <c:v>32</c:v>
                </c:pt>
                <c:pt idx="7">
                  <c:v>32</c:v>
                </c:pt>
                <c:pt idx="8">
                  <c:v>30</c:v>
                </c:pt>
                <c:pt idx="9">
                  <c:v>29</c:v>
                </c:pt>
                <c:pt idx="10">
                  <c:v>26</c:v>
                </c:pt>
                <c:pt idx="11">
                  <c:v>23</c:v>
                </c:pt>
                <c:pt idx="12">
                  <c:v>19</c:v>
                </c:pt>
                <c:pt idx="13">
                  <c:v>16</c:v>
                </c:pt>
                <c:pt idx="14">
                  <c:v>13</c:v>
                </c:pt>
                <c:pt idx="15">
                  <c:v>10</c:v>
                </c:pt>
                <c:pt idx="16">
                  <c:v>8</c:v>
                </c:pt>
                <c:pt idx="17">
                  <c:v>6</c:v>
                </c:pt>
                <c:pt idx="18">
                  <c:v>5</c:v>
                </c:pt>
              </c:numCache>
            </c:numRef>
          </c:val>
        </c:ser>
        <c:ser>
          <c:idx val="16"/>
          <c:order val="16"/>
          <c:tx>
            <c:strRef>
              <c:f>'Timing -19 Cell'!$AA$46</c:f>
              <c:strCache>
                <c:ptCount val="1"/>
                <c:pt idx="0">
                  <c:v>6500</c:v>
                </c:pt>
              </c:strCache>
            </c:strRef>
          </c:tx>
          <c:spPr>
            <a:solidFill>
              <a:srgbClr val="00CC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Cell'!$AB$46:$AT$46</c:f>
              <c:numCache>
                <c:formatCode>0</c:formatCode>
                <c:ptCount val="19"/>
                <c:pt idx="0">
                  <c:v>38</c:v>
                </c:pt>
                <c:pt idx="1">
                  <c:v>38</c:v>
                </c:pt>
                <c:pt idx="2">
                  <c:v>38</c:v>
                </c:pt>
                <c:pt idx="3">
                  <c:v>38</c:v>
                </c:pt>
                <c:pt idx="4">
                  <c:v>38</c:v>
                </c:pt>
                <c:pt idx="5">
                  <c:v>37</c:v>
                </c:pt>
                <c:pt idx="6">
                  <c:v>35</c:v>
                </c:pt>
                <c:pt idx="7">
                  <c:v>34</c:v>
                </c:pt>
                <c:pt idx="8">
                  <c:v>33</c:v>
                </c:pt>
                <c:pt idx="9">
                  <c:v>32</c:v>
                </c:pt>
                <c:pt idx="10">
                  <c:v>30</c:v>
                </c:pt>
                <c:pt idx="11">
                  <c:v>26</c:v>
                </c:pt>
                <c:pt idx="12">
                  <c:v>23</c:v>
                </c:pt>
                <c:pt idx="13">
                  <c:v>19</c:v>
                </c:pt>
                <c:pt idx="14">
                  <c:v>15</c:v>
                </c:pt>
                <c:pt idx="15">
                  <c:v>11</c:v>
                </c:pt>
                <c:pt idx="16">
                  <c:v>9</c:v>
                </c:pt>
                <c:pt idx="17">
                  <c:v>8</c:v>
                </c:pt>
                <c:pt idx="18">
                  <c:v>7</c:v>
                </c:pt>
              </c:numCache>
            </c:numRef>
          </c:val>
        </c:ser>
        <c:ser>
          <c:idx val="17"/>
          <c:order val="17"/>
          <c:tx>
            <c:strRef>
              <c:f>'Timing -19 Cell'!$AA$47</c:f>
              <c:strCache>
                <c:ptCount val="1"/>
                <c:pt idx="0">
                  <c:v>7000</c:v>
                </c:pt>
              </c:strCache>
            </c:strRef>
          </c:tx>
          <c:spPr>
            <a:solidFill>
              <a:srgbClr val="CCFF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Cell'!$AB$47:$AT$47</c:f>
              <c:numCache>
                <c:formatCode>0</c:formatCode>
                <c:ptCount val="19"/>
                <c:pt idx="0">
                  <c:v>38</c:v>
                </c:pt>
                <c:pt idx="1">
                  <c:v>38</c:v>
                </c:pt>
                <c:pt idx="2">
                  <c:v>38</c:v>
                </c:pt>
                <c:pt idx="3">
                  <c:v>38</c:v>
                </c:pt>
                <c:pt idx="4">
                  <c:v>38</c:v>
                </c:pt>
                <c:pt idx="5">
                  <c:v>37</c:v>
                </c:pt>
                <c:pt idx="6">
                  <c:v>36</c:v>
                </c:pt>
                <c:pt idx="7">
                  <c:v>35</c:v>
                </c:pt>
                <c:pt idx="8">
                  <c:v>34</c:v>
                </c:pt>
                <c:pt idx="9">
                  <c:v>34</c:v>
                </c:pt>
                <c:pt idx="10">
                  <c:v>32</c:v>
                </c:pt>
                <c:pt idx="11">
                  <c:v>29</c:v>
                </c:pt>
                <c:pt idx="12">
                  <c:v>26</c:v>
                </c:pt>
                <c:pt idx="13">
                  <c:v>22</c:v>
                </c:pt>
                <c:pt idx="14">
                  <c:v>17</c:v>
                </c:pt>
                <c:pt idx="15">
                  <c:v>12</c:v>
                </c:pt>
                <c:pt idx="16">
                  <c:v>10</c:v>
                </c:pt>
                <c:pt idx="17">
                  <c:v>9</c:v>
                </c:pt>
                <c:pt idx="18">
                  <c:v>9</c:v>
                </c:pt>
              </c:numCache>
            </c:numRef>
          </c:val>
        </c:ser>
        <c:ser>
          <c:idx val="18"/>
          <c:order val="18"/>
          <c:tx>
            <c:strRef>
              <c:f>'Timing -19 Cell'!$AA$48</c:f>
              <c:strCache>
                <c:ptCount val="1"/>
                <c:pt idx="0">
                  <c:v>7500</c:v>
                </c:pt>
              </c:strCache>
            </c:strRef>
          </c:tx>
          <c:spPr>
            <a:solidFill>
              <a:srgbClr val="CCFFCC"/>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Cell'!$AB$48:$AT$48</c:f>
              <c:numCache>
                <c:formatCode>0</c:formatCode>
                <c:ptCount val="19"/>
                <c:pt idx="0">
                  <c:v>38</c:v>
                </c:pt>
                <c:pt idx="1">
                  <c:v>38</c:v>
                </c:pt>
                <c:pt idx="2">
                  <c:v>38</c:v>
                </c:pt>
                <c:pt idx="3">
                  <c:v>38</c:v>
                </c:pt>
                <c:pt idx="4">
                  <c:v>38</c:v>
                </c:pt>
                <c:pt idx="5">
                  <c:v>37</c:v>
                </c:pt>
                <c:pt idx="6">
                  <c:v>36</c:v>
                </c:pt>
                <c:pt idx="7">
                  <c:v>35</c:v>
                </c:pt>
                <c:pt idx="8">
                  <c:v>35</c:v>
                </c:pt>
                <c:pt idx="9">
                  <c:v>34</c:v>
                </c:pt>
                <c:pt idx="10">
                  <c:v>33</c:v>
                </c:pt>
                <c:pt idx="11">
                  <c:v>30</c:v>
                </c:pt>
                <c:pt idx="12">
                  <c:v>27</c:v>
                </c:pt>
                <c:pt idx="13">
                  <c:v>22</c:v>
                </c:pt>
                <c:pt idx="14">
                  <c:v>17</c:v>
                </c:pt>
                <c:pt idx="15">
                  <c:v>13</c:v>
                </c:pt>
                <c:pt idx="16">
                  <c:v>11</c:v>
                </c:pt>
                <c:pt idx="17">
                  <c:v>10</c:v>
                </c:pt>
                <c:pt idx="18">
                  <c:v>10</c:v>
                </c:pt>
              </c:numCache>
            </c:numRef>
          </c:val>
        </c:ser>
        <c:ser>
          <c:idx val="19"/>
          <c:order val="19"/>
          <c:tx>
            <c:strRef>
              <c:f>'Timing -19 Cell'!$AA$49</c:f>
              <c:strCache>
                <c:ptCount val="1"/>
                <c:pt idx="0">
                  <c:v>11000</c:v>
                </c:pt>
              </c:strCache>
            </c:strRef>
          </c:tx>
          <c:spPr>
            <a:solidFill>
              <a:srgbClr val="FFFF99"/>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Cell'!$AB$49:$AT$49</c:f>
              <c:numCache>
                <c:formatCode>0</c:formatCode>
                <c:ptCount val="19"/>
                <c:pt idx="0">
                  <c:v>38</c:v>
                </c:pt>
                <c:pt idx="1">
                  <c:v>38</c:v>
                </c:pt>
                <c:pt idx="2">
                  <c:v>38</c:v>
                </c:pt>
                <c:pt idx="3">
                  <c:v>38</c:v>
                </c:pt>
                <c:pt idx="4">
                  <c:v>38</c:v>
                </c:pt>
                <c:pt idx="5">
                  <c:v>37</c:v>
                </c:pt>
                <c:pt idx="6">
                  <c:v>36</c:v>
                </c:pt>
                <c:pt idx="7">
                  <c:v>35</c:v>
                </c:pt>
                <c:pt idx="8">
                  <c:v>35</c:v>
                </c:pt>
                <c:pt idx="9">
                  <c:v>34</c:v>
                </c:pt>
                <c:pt idx="10">
                  <c:v>33</c:v>
                </c:pt>
                <c:pt idx="11">
                  <c:v>30</c:v>
                </c:pt>
                <c:pt idx="12">
                  <c:v>27</c:v>
                </c:pt>
                <c:pt idx="13">
                  <c:v>22</c:v>
                </c:pt>
                <c:pt idx="14">
                  <c:v>18</c:v>
                </c:pt>
                <c:pt idx="15">
                  <c:v>14</c:v>
                </c:pt>
                <c:pt idx="16">
                  <c:v>12</c:v>
                </c:pt>
                <c:pt idx="17">
                  <c:v>10</c:v>
                </c:pt>
                <c:pt idx="18">
                  <c:v>10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
            <c:idx val="40"/>
            <c:spPr>
              <a:solidFill>
                <a:srgbClr val="000000"/>
              </a:solidFill>
              <a:ln w="12700">
                <a:solidFill>
                  <a:srgbClr val="000000"/>
                </a:solidFill>
                <a:prstDash val="solid"/>
              </a:ln>
              <a:sp3d prstMaterial="flat"/>
            </c:spPr>
          </c:bandFmt>
          <c:bandFmt>
            <c:idx val="41"/>
            <c:spPr>
              <a:solidFill>
                <a:srgbClr val="FFFFFF"/>
              </a:solidFill>
              <a:ln w="12700">
                <a:solidFill>
                  <a:srgbClr val="000000"/>
                </a:solidFill>
                <a:prstDash val="solid"/>
              </a:ln>
              <a:sp3d prstMaterial="flat"/>
            </c:spPr>
          </c:bandFmt>
          <c:bandFmt>
            <c:idx val="42"/>
            <c:spPr>
              <a:solidFill>
                <a:srgbClr val="FF0000"/>
              </a:solidFill>
              <a:ln w="12700">
                <a:solidFill>
                  <a:srgbClr val="000000"/>
                </a:solidFill>
                <a:prstDash val="solid"/>
              </a:ln>
              <a:sp3d prstMaterial="flat"/>
            </c:spPr>
          </c:bandFmt>
          <c:bandFmt>
            <c:idx val="43"/>
            <c:spPr>
              <a:solidFill>
                <a:srgbClr val="00FF00"/>
              </a:solidFill>
              <a:ln w="12700">
                <a:solidFill>
                  <a:srgbClr val="000000"/>
                </a:solidFill>
                <a:prstDash val="solid"/>
              </a:ln>
              <a:sp3d prstMaterial="flat"/>
            </c:spPr>
          </c:bandFmt>
          <c:bandFmt>
            <c:idx val="44"/>
            <c:spPr>
              <a:solidFill>
                <a:srgbClr val="0000FF"/>
              </a:solidFill>
              <a:ln w="12700">
                <a:solidFill>
                  <a:srgbClr val="000000"/>
                </a:solidFill>
                <a:prstDash val="solid"/>
              </a:ln>
              <a:sp3d prstMaterial="flat"/>
            </c:spPr>
          </c:bandFmt>
          <c:bandFmt>
            <c:idx val="45"/>
            <c:spPr>
              <a:solidFill>
                <a:srgbClr val="FFFF00"/>
              </a:solidFill>
              <a:ln w="12700">
                <a:solidFill>
                  <a:srgbClr val="000000"/>
                </a:solidFill>
                <a:prstDash val="solid"/>
              </a:ln>
              <a:sp3d prstMaterial="flat"/>
            </c:spPr>
          </c:bandFmt>
          <c:bandFmt>
            <c:idx val="46"/>
            <c:spPr>
              <a:solidFill>
                <a:srgbClr val="FF00FF"/>
              </a:solidFill>
              <a:ln w="12700">
                <a:solidFill>
                  <a:srgbClr val="000000"/>
                </a:solidFill>
                <a:prstDash val="solid"/>
              </a:ln>
              <a:sp3d prstMaterial="flat"/>
            </c:spPr>
          </c:bandFmt>
          <c:bandFmt>
            <c:idx val="47"/>
            <c:spPr>
              <a:solidFill>
                <a:srgbClr val="00FFFF"/>
              </a:solidFill>
              <a:ln w="12700">
                <a:solidFill>
                  <a:srgbClr val="000000"/>
                </a:solidFill>
                <a:prstDash val="solid"/>
              </a:ln>
              <a:sp3d prstMaterial="flat"/>
            </c:spPr>
          </c:bandFmt>
        </c:bandFmts>
        <c:axId val="57173888"/>
        <c:axId val="57175424"/>
        <c:axId val="57131456"/>
      </c:surfaceChart>
      <c:catAx>
        <c:axId val="57173888"/>
        <c:scaling>
          <c:orientation val="minMax"/>
        </c:scaling>
        <c:axPos val="b"/>
        <c:numFmt formatCode="General" sourceLinked="1"/>
        <c:tickLblPos val="low"/>
        <c:spPr>
          <a:ln w="3175">
            <a:solidFill>
              <a:srgbClr val="000000"/>
            </a:solidFill>
            <a:prstDash val="solid"/>
          </a:ln>
        </c:spPr>
        <c:txPr>
          <a:bodyPr rot="-5400000" vert="horz"/>
          <a:lstStyle/>
          <a:p>
            <a:pPr>
              <a:defRPr sz="1175" b="0" i="0" u="none" strike="noStrike" baseline="0">
                <a:solidFill>
                  <a:srgbClr val="000000"/>
                </a:solidFill>
                <a:latin typeface="Arial"/>
                <a:ea typeface="Arial"/>
                <a:cs typeface="Arial"/>
              </a:defRPr>
            </a:pPr>
            <a:endParaRPr lang="en-US"/>
          </a:p>
        </c:txPr>
        <c:crossAx val="57175424"/>
        <c:crosses val="autoZero"/>
        <c:auto val="1"/>
        <c:lblAlgn val="ctr"/>
        <c:lblOffset val="100"/>
        <c:tickLblSkip val="2"/>
        <c:tickMarkSkip val="1"/>
        <c:noMultiLvlLbl val="1"/>
      </c:catAx>
      <c:valAx>
        <c:axId val="57175424"/>
        <c:scaling>
          <c:orientation val="minMax"/>
          <c:min val="-10"/>
        </c:scaling>
        <c:axPos val="l"/>
        <c:majorGridlines>
          <c:spPr>
            <a:ln w="3175">
              <a:solidFill>
                <a:srgbClr val="C0C0C0"/>
              </a:solidFill>
              <a:prstDash val="solid"/>
            </a:ln>
          </c:spPr>
        </c:majorGridlines>
        <c:numFmt formatCode="0" sourceLinked="1"/>
        <c:majorTickMark val="none"/>
        <c:tickLblPos val="none"/>
        <c:spPr>
          <a:ln w="3175">
            <a:solidFill>
              <a:srgbClr val="000000"/>
            </a:solidFill>
            <a:prstDash val="solid"/>
          </a:ln>
        </c:spPr>
        <c:crossAx val="57173888"/>
        <c:crosses val="autoZero"/>
        <c:crossBetween val="between"/>
        <c:majorUnit val="1"/>
        <c:minorUnit val="0.5"/>
      </c:valAx>
      <c:serAx>
        <c:axId val="57131456"/>
        <c:scaling>
          <c:orientation val="maxMin"/>
        </c:scaling>
        <c:axPos val="b"/>
        <c:numFmt formatCode="General" sourceLinked="1"/>
        <c:tickLblPos val="low"/>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57175424"/>
        <c:crosses val="autoZero"/>
        <c:tickLblSkip val="2"/>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0"/>
      <c:depthPercent val="100"/>
      <c:perspective val="0"/>
    </c:view3D>
    <c:floor>
      <c:spPr>
        <a:noFill/>
        <a:ln w="9525">
          <a:noFill/>
        </a:ln>
      </c:spPr>
    </c:floor>
    <c:sideWall>
      <c:spPr>
        <a:noFill/>
        <a:ln w="25400">
          <a:noFill/>
        </a:ln>
      </c:spPr>
    </c:sideWall>
    <c:backWall>
      <c:spPr>
        <a:noFill/>
        <a:ln w="25400">
          <a:noFill/>
        </a:ln>
      </c:spPr>
    </c:backWall>
    <c:plotArea>
      <c:layout>
        <c:manualLayout>
          <c:layoutTarget val="inner"/>
          <c:xMode val="edge"/>
          <c:yMode val="edge"/>
          <c:x val="3.2686818932686434E-2"/>
          <c:y val="5.5230669265756975E-2"/>
          <c:w val="0.85991477499836599"/>
          <c:h val="0.82666779225696196"/>
        </c:manualLayout>
      </c:layout>
      <c:surfaceChart>
        <c:ser>
          <c:idx val="0"/>
          <c:order val="0"/>
          <c:tx>
            <c:strRef>
              <c:f>'Timing -19 Cell'!$AA$54</c:f>
              <c:strCache>
                <c:ptCount val="1"/>
                <c:pt idx="0">
                  <c:v>0</c:v>
                </c:pt>
              </c:strCache>
            </c:strRef>
          </c:tx>
          <c:spPr>
            <a:solidFill>
              <a:srgbClr val="9999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Cell'!$AB$54:$AT$54</c:f>
              <c:numCache>
                <c:formatCode>0</c:formatCode>
                <c:ptCount val="19"/>
                <c:pt idx="0">
                  <c:v>5</c:v>
                </c:pt>
                <c:pt idx="1">
                  <c:v>5</c:v>
                </c:pt>
                <c:pt idx="2">
                  <c:v>5</c:v>
                </c:pt>
                <c:pt idx="3">
                  <c:v>5</c:v>
                </c:pt>
                <c:pt idx="4">
                  <c:v>5</c:v>
                </c:pt>
                <c:pt idx="5">
                  <c:v>11</c:v>
                </c:pt>
                <c:pt idx="6">
                  <c:v>15</c:v>
                </c:pt>
                <c:pt idx="7">
                  <c:v>6</c:v>
                </c:pt>
                <c:pt idx="8">
                  <c:v>3</c:v>
                </c:pt>
                <c:pt idx="9">
                  <c:v>2</c:v>
                </c:pt>
                <c:pt idx="10">
                  <c:v>-1</c:v>
                </c:pt>
                <c:pt idx="11">
                  <c:v>-2</c:v>
                </c:pt>
                <c:pt idx="12">
                  <c:v>-5</c:v>
                </c:pt>
                <c:pt idx="13">
                  <c:v>-8</c:v>
                </c:pt>
                <c:pt idx="14">
                  <c:v>-10</c:v>
                </c:pt>
                <c:pt idx="15">
                  <c:v>-10</c:v>
                </c:pt>
                <c:pt idx="16">
                  <c:v>-10</c:v>
                </c:pt>
                <c:pt idx="17">
                  <c:v>-10</c:v>
                </c:pt>
                <c:pt idx="18">
                  <c:v>-10</c:v>
                </c:pt>
              </c:numCache>
            </c:numRef>
          </c:val>
        </c:ser>
        <c:ser>
          <c:idx val="1"/>
          <c:order val="1"/>
          <c:tx>
            <c:strRef>
              <c:f>'Timing -19 Cell'!$AA$55</c:f>
              <c:strCache>
                <c:ptCount val="1"/>
                <c:pt idx="0">
                  <c:v>500</c:v>
                </c:pt>
              </c:strCache>
            </c:strRef>
          </c:tx>
          <c:spPr>
            <a:solidFill>
              <a:srgbClr val="993366"/>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Cell'!$AB$55:$AT$55</c:f>
              <c:numCache>
                <c:formatCode>0</c:formatCode>
                <c:ptCount val="19"/>
                <c:pt idx="0">
                  <c:v>5</c:v>
                </c:pt>
                <c:pt idx="1">
                  <c:v>5</c:v>
                </c:pt>
                <c:pt idx="2">
                  <c:v>5</c:v>
                </c:pt>
                <c:pt idx="3">
                  <c:v>5</c:v>
                </c:pt>
                <c:pt idx="4">
                  <c:v>5</c:v>
                </c:pt>
                <c:pt idx="5">
                  <c:v>8</c:v>
                </c:pt>
                <c:pt idx="6">
                  <c:v>13</c:v>
                </c:pt>
                <c:pt idx="7">
                  <c:v>6</c:v>
                </c:pt>
                <c:pt idx="8">
                  <c:v>3</c:v>
                </c:pt>
                <c:pt idx="9">
                  <c:v>2</c:v>
                </c:pt>
                <c:pt idx="10">
                  <c:v>-1</c:v>
                </c:pt>
                <c:pt idx="11">
                  <c:v>-2</c:v>
                </c:pt>
                <c:pt idx="12">
                  <c:v>-5</c:v>
                </c:pt>
                <c:pt idx="13">
                  <c:v>-8</c:v>
                </c:pt>
                <c:pt idx="14">
                  <c:v>-10</c:v>
                </c:pt>
                <c:pt idx="15">
                  <c:v>-10</c:v>
                </c:pt>
                <c:pt idx="16">
                  <c:v>-10</c:v>
                </c:pt>
                <c:pt idx="17">
                  <c:v>-10</c:v>
                </c:pt>
                <c:pt idx="18">
                  <c:v>-10</c:v>
                </c:pt>
              </c:numCache>
            </c:numRef>
          </c:val>
        </c:ser>
        <c:ser>
          <c:idx val="2"/>
          <c:order val="2"/>
          <c:tx>
            <c:strRef>
              <c:f>'Timing -19 Cell'!$AA$56</c:f>
              <c:strCache>
                <c:ptCount val="1"/>
                <c:pt idx="0">
                  <c:v>750</c:v>
                </c:pt>
              </c:strCache>
            </c:strRef>
          </c:tx>
          <c:spPr>
            <a:solidFill>
              <a:srgbClr val="FFFFCC"/>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Cell'!$AB$56:$AT$56</c:f>
              <c:numCache>
                <c:formatCode>0</c:formatCode>
                <c:ptCount val="19"/>
                <c:pt idx="0">
                  <c:v>5</c:v>
                </c:pt>
                <c:pt idx="1">
                  <c:v>5</c:v>
                </c:pt>
                <c:pt idx="2">
                  <c:v>5</c:v>
                </c:pt>
                <c:pt idx="3">
                  <c:v>5</c:v>
                </c:pt>
                <c:pt idx="4">
                  <c:v>5</c:v>
                </c:pt>
                <c:pt idx="5">
                  <c:v>9</c:v>
                </c:pt>
                <c:pt idx="6">
                  <c:v>13</c:v>
                </c:pt>
                <c:pt idx="7">
                  <c:v>10</c:v>
                </c:pt>
                <c:pt idx="8">
                  <c:v>6</c:v>
                </c:pt>
                <c:pt idx="9">
                  <c:v>2</c:v>
                </c:pt>
                <c:pt idx="10">
                  <c:v>-2</c:v>
                </c:pt>
                <c:pt idx="11">
                  <c:v>-3</c:v>
                </c:pt>
                <c:pt idx="12">
                  <c:v>-5</c:v>
                </c:pt>
                <c:pt idx="13">
                  <c:v>-8</c:v>
                </c:pt>
                <c:pt idx="14">
                  <c:v>-10</c:v>
                </c:pt>
                <c:pt idx="15">
                  <c:v>-10</c:v>
                </c:pt>
                <c:pt idx="16">
                  <c:v>-10</c:v>
                </c:pt>
                <c:pt idx="17">
                  <c:v>-10</c:v>
                </c:pt>
                <c:pt idx="18">
                  <c:v>-10</c:v>
                </c:pt>
              </c:numCache>
            </c:numRef>
          </c:val>
        </c:ser>
        <c:ser>
          <c:idx val="3"/>
          <c:order val="3"/>
          <c:tx>
            <c:strRef>
              <c:f>'Timing -19 Cell'!$AA$57</c:f>
              <c:strCache>
                <c:ptCount val="1"/>
                <c:pt idx="0">
                  <c:v>1000</c:v>
                </c:pt>
              </c:strCache>
            </c:strRef>
          </c:tx>
          <c:spPr>
            <a:solidFill>
              <a:srgbClr val="CCFF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Cell'!$AB$57:$AT$57</c:f>
              <c:numCache>
                <c:formatCode>0</c:formatCode>
                <c:ptCount val="19"/>
                <c:pt idx="0">
                  <c:v>5</c:v>
                </c:pt>
                <c:pt idx="1">
                  <c:v>5</c:v>
                </c:pt>
                <c:pt idx="2">
                  <c:v>5</c:v>
                </c:pt>
                <c:pt idx="3">
                  <c:v>5</c:v>
                </c:pt>
                <c:pt idx="4">
                  <c:v>9</c:v>
                </c:pt>
                <c:pt idx="5">
                  <c:v>13</c:v>
                </c:pt>
                <c:pt idx="6">
                  <c:v>18</c:v>
                </c:pt>
                <c:pt idx="7">
                  <c:v>10</c:v>
                </c:pt>
                <c:pt idx="8">
                  <c:v>8</c:v>
                </c:pt>
                <c:pt idx="9">
                  <c:v>7</c:v>
                </c:pt>
                <c:pt idx="10">
                  <c:v>7</c:v>
                </c:pt>
                <c:pt idx="11">
                  <c:v>4</c:v>
                </c:pt>
                <c:pt idx="12">
                  <c:v>1</c:v>
                </c:pt>
                <c:pt idx="13">
                  <c:v>-3</c:v>
                </c:pt>
                <c:pt idx="14">
                  <c:v>-6</c:v>
                </c:pt>
                <c:pt idx="15">
                  <c:v>-10</c:v>
                </c:pt>
                <c:pt idx="16">
                  <c:v>-10</c:v>
                </c:pt>
                <c:pt idx="17">
                  <c:v>-10</c:v>
                </c:pt>
                <c:pt idx="18">
                  <c:v>-10</c:v>
                </c:pt>
              </c:numCache>
            </c:numRef>
          </c:val>
        </c:ser>
        <c:ser>
          <c:idx val="4"/>
          <c:order val="4"/>
          <c:tx>
            <c:strRef>
              <c:f>'Timing -19 Cell'!$AA$58</c:f>
              <c:strCache>
                <c:ptCount val="1"/>
                <c:pt idx="0">
                  <c:v>1250</c:v>
                </c:pt>
              </c:strCache>
            </c:strRef>
          </c:tx>
          <c:spPr>
            <a:solidFill>
              <a:srgbClr val="660066"/>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Cell'!$AB$58:$AT$58</c:f>
              <c:numCache>
                <c:formatCode>0</c:formatCode>
                <c:ptCount val="19"/>
                <c:pt idx="0">
                  <c:v>8</c:v>
                </c:pt>
                <c:pt idx="1">
                  <c:v>8</c:v>
                </c:pt>
                <c:pt idx="2">
                  <c:v>12</c:v>
                </c:pt>
                <c:pt idx="3">
                  <c:v>12</c:v>
                </c:pt>
                <c:pt idx="4">
                  <c:v>16</c:v>
                </c:pt>
                <c:pt idx="5">
                  <c:v>20</c:v>
                </c:pt>
                <c:pt idx="6">
                  <c:v>20</c:v>
                </c:pt>
                <c:pt idx="7">
                  <c:v>17</c:v>
                </c:pt>
                <c:pt idx="8">
                  <c:v>15</c:v>
                </c:pt>
                <c:pt idx="9">
                  <c:v>9</c:v>
                </c:pt>
                <c:pt idx="10">
                  <c:v>8</c:v>
                </c:pt>
                <c:pt idx="11">
                  <c:v>4</c:v>
                </c:pt>
                <c:pt idx="12">
                  <c:v>2</c:v>
                </c:pt>
                <c:pt idx="13">
                  <c:v>-1</c:v>
                </c:pt>
                <c:pt idx="14">
                  <c:v>-4</c:v>
                </c:pt>
                <c:pt idx="15">
                  <c:v>-7</c:v>
                </c:pt>
                <c:pt idx="16">
                  <c:v>-10</c:v>
                </c:pt>
                <c:pt idx="17">
                  <c:v>-10</c:v>
                </c:pt>
                <c:pt idx="18">
                  <c:v>-10</c:v>
                </c:pt>
              </c:numCache>
            </c:numRef>
          </c:val>
        </c:ser>
        <c:ser>
          <c:idx val="5"/>
          <c:order val="5"/>
          <c:tx>
            <c:strRef>
              <c:f>'Timing -19 Cell'!$AA$59</c:f>
              <c:strCache>
                <c:ptCount val="1"/>
                <c:pt idx="0">
                  <c:v>1500</c:v>
                </c:pt>
              </c:strCache>
            </c:strRef>
          </c:tx>
          <c:spPr>
            <a:solidFill>
              <a:srgbClr val="FF808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Cell'!$AB$59:$AT$59</c:f>
              <c:numCache>
                <c:formatCode>0</c:formatCode>
                <c:ptCount val="19"/>
                <c:pt idx="0">
                  <c:v>13</c:v>
                </c:pt>
                <c:pt idx="1">
                  <c:v>13</c:v>
                </c:pt>
                <c:pt idx="2">
                  <c:v>19</c:v>
                </c:pt>
                <c:pt idx="3">
                  <c:v>19</c:v>
                </c:pt>
                <c:pt idx="4">
                  <c:v>26</c:v>
                </c:pt>
                <c:pt idx="5">
                  <c:v>24</c:v>
                </c:pt>
                <c:pt idx="6">
                  <c:v>23</c:v>
                </c:pt>
                <c:pt idx="7">
                  <c:v>21</c:v>
                </c:pt>
                <c:pt idx="8">
                  <c:v>19</c:v>
                </c:pt>
                <c:pt idx="9">
                  <c:v>14</c:v>
                </c:pt>
                <c:pt idx="10">
                  <c:v>12</c:v>
                </c:pt>
                <c:pt idx="11">
                  <c:v>10</c:v>
                </c:pt>
                <c:pt idx="12">
                  <c:v>7</c:v>
                </c:pt>
                <c:pt idx="13">
                  <c:v>4</c:v>
                </c:pt>
                <c:pt idx="14">
                  <c:v>1</c:v>
                </c:pt>
                <c:pt idx="15">
                  <c:v>-2</c:v>
                </c:pt>
                <c:pt idx="16">
                  <c:v>-5</c:v>
                </c:pt>
                <c:pt idx="17">
                  <c:v>-8</c:v>
                </c:pt>
                <c:pt idx="18">
                  <c:v>-10</c:v>
                </c:pt>
              </c:numCache>
            </c:numRef>
          </c:val>
        </c:ser>
        <c:ser>
          <c:idx val="6"/>
          <c:order val="6"/>
          <c:tx>
            <c:strRef>
              <c:f>'Timing -19 Cell'!$AA$60</c:f>
              <c:strCache>
                <c:ptCount val="1"/>
                <c:pt idx="0">
                  <c:v>1750</c:v>
                </c:pt>
              </c:strCache>
            </c:strRef>
          </c:tx>
          <c:spPr>
            <a:solidFill>
              <a:srgbClr val="0066CC"/>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Cell'!$AB$60:$AT$60</c:f>
              <c:numCache>
                <c:formatCode>0</c:formatCode>
                <c:ptCount val="19"/>
                <c:pt idx="0">
                  <c:v>18</c:v>
                </c:pt>
                <c:pt idx="1">
                  <c:v>18</c:v>
                </c:pt>
                <c:pt idx="2">
                  <c:v>25</c:v>
                </c:pt>
                <c:pt idx="3">
                  <c:v>25</c:v>
                </c:pt>
                <c:pt idx="4">
                  <c:v>27</c:v>
                </c:pt>
                <c:pt idx="5">
                  <c:v>25</c:v>
                </c:pt>
                <c:pt idx="6">
                  <c:v>24</c:v>
                </c:pt>
                <c:pt idx="7">
                  <c:v>23</c:v>
                </c:pt>
                <c:pt idx="8">
                  <c:v>21</c:v>
                </c:pt>
                <c:pt idx="9">
                  <c:v>17</c:v>
                </c:pt>
                <c:pt idx="10">
                  <c:v>14</c:v>
                </c:pt>
                <c:pt idx="11">
                  <c:v>11</c:v>
                </c:pt>
                <c:pt idx="12">
                  <c:v>8</c:v>
                </c:pt>
                <c:pt idx="13">
                  <c:v>5</c:v>
                </c:pt>
                <c:pt idx="14">
                  <c:v>2</c:v>
                </c:pt>
                <c:pt idx="15">
                  <c:v>-1</c:v>
                </c:pt>
                <c:pt idx="16">
                  <c:v>-4</c:v>
                </c:pt>
                <c:pt idx="17">
                  <c:v>-7</c:v>
                </c:pt>
                <c:pt idx="18">
                  <c:v>-9</c:v>
                </c:pt>
              </c:numCache>
            </c:numRef>
          </c:val>
        </c:ser>
        <c:ser>
          <c:idx val="7"/>
          <c:order val="7"/>
          <c:tx>
            <c:strRef>
              <c:f>'Timing -19 Cell'!$AA$61</c:f>
              <c:strCache>
                <c:ptCount val="1"/>
                <c:pt idx="0">
                  <c:v>2000</c:v>
                </c:pt>
              </c:strCache>
            </c:strRef>
          </c:tx>
          <c:spPr>
            <a:solidFill>
              <a:srgbClr val="CCCC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Cell'!$AB$61:$AT$61</c:f>
              <c:numCache>
                <c:formatCode>0</c:formatCode>
                <c:ptCount val="19"/>
                <c:pt idx="0">
                  <c:v>24</c:v>
                </c:pt>
                <c:pt idx="1">
                  <c:v>24</c:v>
                </c:pt>
                <c:pt idx="2">
                  <c:v>32</c:v>
                </c:pt>
                <c:pt idx="3">
                  <c:v>32</c:v>
                </c:pt>
                <c:pt idx="4">
                  <c:v>29</c:v>
                </c:pt>
                <c:pt idx="5">
                  <c:v>26</c:v>
                </c:pt>
                <c:pt idx="6">
                  <c:v>26</c:v>
                </c:pt>
                <c:pt idx="7">
                  <c:v>25</c:v>
                </c:pt>
                <c:pt idx="8">
                  <c:v>24</c:v>
                </c:pt>
                <c:pt idx="9">
                  <c:v>20</c:v>
                </c:pt>
                <c:pt idx="10">
                  <c:v>17</c:v>
                </c:pt>
                <c:pt idx="11">
                  <c:v>12</c:v>
                </c:pt>
                <c:pt idx="12">
                  <c:v>10</c:v>
                </c:pt>
                <c:pt idx="13">
                  <c:v>7</c:v>
                </c:pt>
                <c:pt idx="14">
                  <c:v>4</c:v>
                </c:pt>
                <c:pt idx="15">
                  <c:v>1</c:v>
                </c:pt>
                <c:pt idx="16">
                  <c:v>-2</c:v>
                </c:pt>
                <c:pt idx="17">
                  <c:v>-5</c:v>
                </c:pt>
                <c:pt idx="18">
                  <c:v>-8</c:v>
                </c:pt>
              </c:numCache>
            </c:numRef>
          </c:val>
        </c:ser>
        <c:ser>
          <c:idx val="8"/>
          <c:order val="8"/>
          <c:tx>
            <c:strRef>
              <c:f>'Timing -19 Cell'!$AA$62</c:f>
              <c:strCache>
                <c:ptCount val="1"/>
                <c:pt idx="0">
                  <c:v>2500</c:v>
                </c:pt>
              </c:strCache>
            </c:strRef>
          </c:tx>
          <c:spPr>
            <a:solidFill>
              <a:srgbClr val="00008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Cell'!$AB$62:$AT$62</c:f>
              <c:numCache>
                <c:formatCode>0</c:formatCode>
                <c:ptCount val="19"/>
                <c:pt idx="0">
                  <c:v>24</c:v>
                </c:pt>
                <c:pt idx="1">
                  <c:v>24</c:v>
                </c:pt>
                <c:pt idx="2">
                  <c:v>34</c:v>
                </c:pt>
                <c:pt idx="3">
                  <c:v>34</c:v>
                </c:pt>
                <c:pt idx="4">
                  <c:v>32</c:v>
                </c:pt>
                <c:pt idx="5">
                  <c:v>30</c:v>
                </c:pt>
                <c:pt idx="6">
                  <c:v>29</c:v>
                </c:pt>
                <c:pt idx="7">
                  <c:v>27</c:v>
                </c:pt>
                <c:pt idx="8">
                  <c:v>25</c:v>
                </c:pt>
                <c:pt idx="9">
                  <c:v>20</c:v>
                </c:pt>
                <c:pt idx="10">
                  <c:v>20</c:v>
                </c:pt>
                <c:pt idx="11">
                  <c:v>15</c:v>
                </c:pt>
                <c:pt idx="12">
                  <c:v>9</c:v>
                </c:pt>
                <c:pt idx="13">
                  <c:v>7</c:v>
                </c:pt>
                <c:pt idx="14">
                  <c:v>4</c:v>
                </c:pt>
                <c:pt idx="15">
                  <c:v>1</c:v>
                </c:pt>
                <c:pt idx="16">
                  <c:v>-2</c:v>
                </c:pt>
                <c:pt idx="17">
                  <c:v>-5</c:v>
                </c:pt>
                <c:pt idx="18">
                  <c:v>-8</c:v>
                </c:pt>
              </c:numCache>
            </c:numRef>
          </c:val>
        </c:ser>
        <c:ser>
          <c:idx val="9"/>
          <c:order val="9"/>
          <c:tx>
            <c:strRef>
              <c:f>'Timing -19 Cell'!$AA$63</c:f>
              <c:strCache>
                <c:ptCount val="1"/>
                <c:pt idx="0">
                  <c:v>3000</c:v>
                </c:pt>
              </c:strCache>
            </c:strRef>
          </c:tx>
          <c:spPr>
            <a:solidFill>
              <a:srgbClr val="FF00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Cell'!$AB$63:$AT$63</c:f>
              <c:numCache>
                <c:formatCode>0</c:formatCode>
                <c:ptCount val="19"/>
                <c:pt idx="0">
                  <c:v>28</c:v>
                </c:pt>
                <c:pt idx="1">
                  <c:v>28</c:v>
                </c:pt>
                <c:pt idx="2">
                  <c:v>38</c:v>
                </c:pt>
                <c:pt idx="3">
                  <c:v>38</c:v>
                </c:pt>
                <c:pt idx="4">
                  <c:v>35</c:v>
                </c:pt>
                <c:pt idx="5">
                  <c:v>32</c:v>
                </c:pt>
                <c:pt idx="6">
                  <c:v>30</c:v>
                </c:pt>
                <c:pt idx="7">
                  <c:v>29</c:v>
                </c:pt>
                <c:pt idx="8">
                  <c:v>28</c:v>
                </c:pt>
                <c:pt idx="9">
                  <c:v>26</c:v>
                </c:pt>
                <c:pt idx="10">
                  <c:v>22</c:v>
                </c:pt>
                <c:pt idx="11">
                  <c:v>18</c:v>
                </c:pt>
                <c:pt idx="12">
                  <c:v>12</c:v>
                </c:pt>
                <c:pt idx="13">
                  <c:v>7</c:v>
                </c:pt>
                <c:pt idx="14">
                  <c:v>6</c:v>
                </c:pt>
                <c:pt idx="15">
                  <c:v>5</c:v>
                </c:pt>
                <c:pt idx="16">
                  <c:v>1</c:v>
                </c:pt>
                <c:pt idx="17">
                  <c:v>-2</c:v>
                </c:pt>
                <c:pt idx="18">
                  <c:v>-5</c:v>
                </c:pt>
              </c:numCache>
            </c:numRef>
          </c:val>
        </c:ser>
        <c:ser>
          <c:idx val="10"/>
          <c:order val="10"/>
          <c:tx>
            <c:strRef>
              <c:f>'Timing -19 Cell'!$AA$64</c:f>
              <c:strCache>
                <c:ptCount val="1"/>
                <c:pt idx="0">
                  <c:v>3500</c:v>
                </c:pt>
              </c:strCache>
            </c:strRef>
          </c:tx>
          <c:spPr>
            <a:solidFill>
              <a:srgbClr val="FFFF0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Cell'!$AB$64:$AT$64</c:f>
              <c:numCache>
                <c:formatCode>0</c:formatCode>
                <c:ptCount val="19"/>
                <c:pt idx="0">
                  <c:v>28</c:v>
                </c:pt>
                <c:pt idx="1">
                  <c:v>28</c:v>
                </c:pt>
                <c:pt idx="2">
                  <c:v>38</c:v>
                </c:pt>
                <c:pt idx="3">
                  <c:v>38</c:v>
                </c:pt>
                <c:pt idx="4">
                  <c:v>35</c:v>
                </c:pt>
                <c:pt idx="5">
                  <c:v>32</c:v>
                </c:pt>
                <c:pt idx="6">
                  <c:v>31</c:v>
                </c:pt>
                <c:pt idx="7">
                  <c:v>30</c:v>
                </c:pt>
                <c:pt idx="8">
                  <c:v>28</c:v>
                </c:pt>
                <c:pt idx="9">
                  <c:v>27</c:v>
                </c:pt>
                <c:pt idx="10">
                  <c:v>25</c:v>
                </c:pt>
                <c:pt idx="11">
                  <c:v>20</c:v>
                </c:pt>
                <c:pt idx="12">
                  <c:v>15</c:v>
                </c:pt>
                <c:pt idx="13">
                  <c:v>11</c:v>
                </c:pt>
                <c:pt idx="14">
                  <c:v>8</c:v>
                </c:pt>
                <c:pt idx="15">
                  <c:v>7</c:v>
                </c:pt>
                <c:pt idx="16">
                  <c:v>5</c:v>
                </c:pt>
                <c:pt idx="17">
                  <c:v>2</c:v>
                </c:pt>
                <c:pt idx="18">
                  <c:v>-1</c:v>
                </c:pt>
              </c:numCache>
            </c:numRef>
          </c:val>
        </c:ser>
        <c:ser>
          <c:idx val="11"/>
          <c:order val="11"/>
          <c:tx>
            <c:strRef>
              <c:f>'Timing -19 Cell'!$AA$65</c:f>
              <c:strCache>
                <c:ptCount val="1"/>
                <c:pt idx="0">
                  <c:v>4000</c:v>
                </c:pt>
              </c:strCache>
            </c:strRef>
          </c:tx>
          <c:spPr>
            <a:solidFill>
              <a:srgbClr val="00FF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Cell'!$AB$65:$AT$65</c:f>
              <c:numCache>
                <c:formatCode>0</c:formatCode>
                <c:ptCount val="19"/>
                <c:pt idx="0">
                  <c:v>28</c:v>
                </c:pt>
                <c:pt idx="1">
                  <c:v>28</c:v>
                </c:pt>
                <c:pt idx="2">
                  <c:v>38</c:v>
                </c:pt>
                <c:pt idx="3">
                  <c:v>38</c:v>
                </c:pt>
                <c:pt idx="4">
                  <c:v>35</c:v>
                </c:pt>
                <c:pt idx="5">
                  <c:v>32</c:v>
                </c:pt>
                <c:pt idx="6">
                  <c:v>31</c:v>
                </c:pt>
                <c:pt idx="7">
                  <c:v>30</c:v>
                </c:pt>
                <c:pt idx="8">
                  <c:v>28</c:v>
                </c:pt>
                <c:pt idx="9">
                  <c:v>27</c:v>
                </c:pt>
                <c:pt idx="10">
                  <c:v>25</c:v>
                </c:pt>
                <c:pt idx="11">
                  <c:v>20</c:v>
                </c:pt>
                <c:pt idx="12">
                  <c:v>15</c:v>
                </c:pt>
                <c:pt idx="13">
                  <c:v>12</c:v>
                </c:pt>
                <c:pt idx="14">
                  <c:v>9</c:v>
                </c:pt>
                <c:pt idx="15">
                  <c:v>8</c:v>
                </c:pt>
                <c:pt idx="16">
                  <c:v>7</c:v>
                </c:pt>
                <c:pt idx="17">
                  <c:v>3</c:v>
                </c:pt>
                <c:pt idx="18">
                  <c:v>0</c:v>
                </c:pt>
              </c:numCache>
            </c:numRef>
          </c:val>
        </c:ser>
        <c:ser>
          <c:idx val="12"/>
          <c:order val="12"/>
          <c:tx>
            <c:strRef>
              <c:f>'Timing -19 Cell'!$AA$66</c:f>
              <c:strCache>
                <c:ptCount val="1"/>
                <c:pt idx="0">
                  <c:v>4500</c:v>
                </c:pt>
              </c:strCache>
            </c:strRef>
          </c:tx>
          <c:spPr>
            <a:solidFill>
              <a:srgbClr val="80008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Cell'!$AB$66:$AT$66</c:f>
              <c:numCache>
                <c:formatCode>0</c:formatCode>
                <c:ptCount val="19"/>
                <c:pt idx="0">
                  <c:v>33</c:v>
                </c:pt>
                <c:pt idx="1">
                  <c:v>33</c:v>
                </c:pt>
                <c:pt idx="2">
                  <c:v>38</c:v>
                </c:pt>
                <c:pt idx="3">
                  <c:v>38</c:v>
                </c:pt>
                <c:pt idx="4">
                  <c:v>35</c:v>
                </c:pt>
                <c:pt idx="5">
                  <c:v>32</c:v>
                </c:pt>
                <c:pt idx="6">
                  <c:v>31</c:v>
                </c:pt>
                <c:pt idx="7">
                  <c:v>30</c:v>
                </c:pt>
                <c:pt idx="8">
                  <c:v>28</c:v>
                </c:pt>
                <c:pt idx="9">
                  <c:v>27</c:v>
                </c:pt>
                <c:pt idx="10">
                  <c:v>25</c:v>
                </c:pt>
                <c:pt idx="11">
                  <c:v>20</c:v>
                </c:pt>
                <c:pt idx="12">
                  <c:v>16</c:v>
                </c:pt>
                <c:pt idx="13">
                  <c:v>13</c:v>
                </c:pt>
                <c:pt idx="14">
                  <c:v>10</c:v>
                </c:pt>
                <c:pt idx="15">
                  <c:v>8</c:v>
                </c:pt>
                <c:pt idx="16">
                  <c:v>5</c:v>
                </c:pt>
                <c:pt idx="17">
                  <c:v>2</c:v>
                </c:pt>
                <c:pt idx="18">
                  <c:v>-1</c:v>
                </c:pt>
              </c:numCache>
            </c:numRef>
          </c:val>
        </c:ser>
        <c:ser>
          <c:idx val="13"/>
          <c:order val="13"/>
          <c:tx>
            <c:strRef>
              <c:f>'Timing -19 Cell'!$AA$67</c:f>
              <c:strCache>
                <c:ptCount val="1"/>
                <c:pt idx="0">
                  <c:v>5000</c:v>
                </c:pt>
              </c:strCache>
            </c:strRef>
          </c:tx>
          <c:spPr>
            <a:solidFill>
              <a:srgbClr val="80000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Cell'!$AB$67:$AT$67</c:f>
              <c:numCache>
                <c:formatCode>0</c:formatCode>
                <c:ptCount val="19"/>
                <c:pt idx="0">
                  <c:v>38</c:v>
                </c:pt>
                <c:pt idx="1">
                  <c:v>38</c:v>
                </c:pt>
                <c:pt idx="2">
                  <c:v>38</c:v>
                </c:pt>
                <c:pt idx="3">
                  <c:v>38</c:v>
                </c:pt>
                <c:pt idx="4">
                  <c:v>35</c:v>
                </c:pt>
                <c:pt idx="5">
                  <c:v>32</c:v>
                </c:pt>
                <c:pt idx="6">
                  <c:v>31</c:v>
                </c:pt>
                <c:pt idx="7">
                  <c:v>30</c:v>
                </c:pt>
                <c:pt idx="8">
                  <c:v>28</c:v>
                </c:pt>
                <c:pt idx="9">
                  <c:v>27</c:v>
                </c:pt>
                <c:pt idx="10">
                  <c:v>25</c:v>
                </c:pt>
                <c:pt idx="11">
                  <c:v>20</c:v>
                </c:pt>
                <c:pt idx="12">
                  <c:v>16</c:v>
                </c:pt>
                <c:pt idx="13">
                  <c:v>12</c:v>
                </c:pt>
                <c:pt idx="14">
                  <c:v>10</c:v>
                </c:pt>
                <c:pt idx="15">
                  <c:v>10</c:v>
                </c:pt>
                <c:pt idx="16">
                  <c:v>7</c:v>
                </c:pt>
                <c:pt idx="17">
                  <c:v>4</c:v>
                </c:pt>
                <c:pt idx="18">
                  <c:v>1</c:v>
                </c:pt>
              </c:numCache>
            </c:numRef>
          </c:val>
        </c:ser>
        <c:ser>
          <c:idx val="14"/>
          <c:order val="14"/>
          <c:tx>
            <c:strRef>
              <c:f>'Timing -19 Cell'!$AA$68</c:f>
              <c:strCache>
                <c:ptCount val="1"/>
                <c:pt idx="0">
                  <c:v>5500</c:v>
                </c:pt>
              </c:strCache>
            </c:strRef>
          </c:tx>
          <c:spPr>
            <a:solidFill>
              <a:srgbClr val="008080"/>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Cell'!$AB$68:$AT$68</c:f>
              <c:numCache>
                <c:formatCode>0</c:formatCode>
                <c:ptCount val="19"/>
                <c:pt idx="0">
                  <c:v>38</c:v>
                </c:pt>
                <c:pt idx="1">
                  <c:v>38</c:v>
                </c:pt>
                <c:pt idx="2">
                  <c:v>38</c:v>
                </c:pt>
                <c:pt idx="3">
                  <c:v>38</c:v>
                </c:pt>
                <c:pt idx="4">
                  <c:v>35</c:v>
                </c:pt>
                <c:pt idx="5">
                  <c:v>32</c:v>
                </c:pt>
                <c:pt idx="6">
                  <c:v>31</c:v>
                </c:pt>
                <c:pt idx="7">
                  <c:v>30</c:v>
                </c:pt>
                <c:pt idx="8">
                  <c:v>28</c:v>
                </c:pt>
                <c:pt idx="9">
                  <c:v>27</c:v>
                </c:pt>
                <c:pt idx="10">
                  <c:v>25</c:v>
                </c:pt>
                <c:pt idx="11">
                  <c:v>20</c:v>
                </c:pt>
                <c:pt idx="12">
                  <c:v>15</c:v>
                </c:pt>
                <c:pt idx="13">
                  <c:v>13</c:v>
                </c:pt>
                <c:pt idx="14">
                  <c:v>11</c:v>
                </c:pt>
                <c:pt idx="15">
                  <c:v>9</c:v>
                </c:pt>
                <c:pt idx="16">
                  <c:v>6</c:v>
                </c:pt>
                <c:pt idx="17">
                  <c:v>3</c:v>
                </c:pt>
                <c:pt idx="18">
                  <c:v>0</c:v>
                </c:pt>
              </c:numCache>
            </c:numRef>
          </c:val>
        </c:ser>
        <c:ser>
          <c:idx val="15"/>
          <c:order val="15"/>
          <c:tx>
            <c:strRef>
              <c:f>'Timing -19 Cell'!$AA$69</c:f>
              <c:strCache>
                <c:ptCount val="1"/>
                <c:pt idx="0">
                  <c:v>6000</c:v>
                </c:pt>
              </c:strCache>
            </c:strRef>
          </c:tx>
          <c:spPr>
            <a:solidFill>
              <a:srgbClr val="0000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Cell'!$AB$69:$AT$69</c:f>
              <c:numCache>
                <c:formatCode>0</c:formatCode>
                <c:ptCount val="19"/>
                <c:pt idx="0">
                  <c:v>38</c:v>
                </c:pt>
                <c:pt idx="1">
                  <c:v>38</c:v>
                </c:pt>
                <c:pt idx="2">
                  <c:v>38</c:v>
                </c:pt>
                <c:pt idx="3">
                  <c:v>38</c:v>
                </c:pt>
                <c:pt idx="4">
                  <c:v>35</c:v>
                </c:pt>
                <c:pt idx="5">
                  <c:v>34</c:v>
                </c:pt>
                <c:pt idx="6">
                  <c:v>32</c:v>
                </c:pt>
                <c:pt idx="7">
                  <c:v>31</c:v>
                </c:pt>
                <c:pt idx="8">
                  <c:v>30</c:v>
                </c:pt>
                <c:pt idx="9">
                  <c:v>28</c:v>
                </c:pt>
                <c:pt idx="10">
                  <c:v>26</c:v>
                </c:pt>
                <c:pt idx="11">
                  <c:v>23</c:v>
                </c:pt>
                <c:pt idx="12">
                  <c:v>18</c:v>
                </c:pt>
                <c:pt idx="13">
                  <c:v>16</c:v>
                </c:pt>
                <c:pt idx="14">
                  <c:v>14</c:v>
                </c:pt>
                <c:pt idx="15">
                  <c:v>13</c:v>
                </c:pt>
                <c:pt idx="16">
                  <c:v>10</c:v>
                </c:pt>
                <c:pt idx="17">
                  <c:v>7</c:v>
                </c:pt>
                <c:pt idx="18">
                  <c:v>4</c:v>
                </c:pt>
              </c:numCache>
            </c:numRef>
          </c:val>
        </c:ser>
        <c:ser>
          <c:idx val="16"/>
          <c:order val="16"/>
          <c:tx>
            <c:strRef>
              <c:f>'Timing -19 Cell'!$AA$70</c:f>
              <c:strCache>
                <c:ptCount val="1"/>
                <c:pt idx="0">
                  <c:v>6500</c:v>
                </c:pt>
              </c:strCache>
            </c:strRef>
          </c:tx>
          <c:spPr>
            <a:solidFill>
              <a:srgbClr val="00CC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Cell'!$AB$70:$AT$70</c:f>
              <c:numCache>
                <c:formatCode>0</c:formatCode>
                <c:ptCount val="19"/>
                <c:pt idx="0">
                  <c:v>38</c:v>
                </c:pt>
                <c:pt idx="1">
                  <c:v>38</c:v>
                </c:pt>
                <c:pt idx="2">
                  <c:v>38</c:v>
                </c:pt>
                <c:pt idx="3">
                  <c:v>38</c:v>
                </c:pt>
                <c:pt idx="4">
                  <c:v>38</c:v>
                </c:pt>
                <c:pt idx="5">
                  <c:v>37</c:v>
                </c:pt>
                <c:pt idx="6">
                  <c:v>35</c:v>
                </c:pt>
                <c:pt idx="7">
                  <c:v>34</c:v>
                </c:pt>
                <c:pt idx="8">
                  <c:v>34</c:v>
                </c:pt>
                <c:pt idx="9">
                  <c:v>32</c:v>
                </c:pt>
                <c:pt idx="10">
                  <c:v>30</c:v>
                </c:pt>
                <c:pt idx="11">
                  <c:v>27</c:v>
                </c:pt>
                <c:pt idx="12">
                  <c:v>22</c:v>
                </c:pt>
                <c:pt idx="13">
                  <c:v>20</c:v>
                </c:pt>
                <c:pt idx="14">
                  <c:v>18</c:v>
                </c:pt>
                <c:pt idx="15">
                  <c:v>15</c:v>
                </c:pt>
                <c:pt idx="16">
                  <c:v>12</c:v>
                </c:pt>
                <c:pt idx="17">
                  <c:v>9</c:v>
                </c:pt>
                <c:pt idx="18">
                  <c:v>6</c:v>
                </c:pt>
              </c:numCache>
            </c:numRef>
          </c:val>
        </c:ser>
        <c:ser>
          <c:idx val="17"/>
          <c:order val="17"/>
          <c:tx>
            <c:strRef>
              <c:f>'Timing -19 Cell'!$AA$71</c:f>
              <c:strCache>
                <c:ptCount val="1"/>
                <c:pt idx="0">
                  <c:v>7000</c:v>
                </c:pt>
              </c:strCache>
            </c:strRef>
          </c:tx>
          <c:spPr>
            <a:solidFill>
              <a:srgbClr val="CCFFFF"/>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Cell'!$AB$71:$AT$71</c:f>
              <c:numCache>
                <c:formatCode>0</c:formatCode>
                <c:ptCount val="19"/>
                <c:pt idx="0">
                  <c:v>38</c:v>
                </c:pt>
                <c:pt idx="1">
                  <c:v>38</c:v>
                </c:pt>
                <c:pt idx="2">
                  <c:v>38</c:v>
                </c:pt>
                <c:pt idx="3">
                  <c:v>38</c:v>
                </c:pt>
                <c:pt idx="4">
                  <c:v>38</c:v>
                </c:pt>
                <c:pt idx="5">
                  <c:v>37</c:v>
                </c:pt>
                <c:pt idx="6">
                  <c:v>36</c:v>
                </c:pt>
                <c:pt idx="7">
                  <c:v>35</c:v>
                </c:pt>
                <c:pt idx="8">
                  <c:v>35</c:v>
                </c:pt>
                <c:pt idx="9">
                  <c:v>34</c:v>
                </c:pt>
                <c:pt idx="10">
                  <c:v>34</c:v>
                </c:pt>
                <c:pt idx="11">
                  <c:v>31</c:v>
                </c:pt>
                <c:pt idx="12">
                  <c:v>26</c:v>
                </c:pt>
                <c:pt idx="13">
                  <c:v>24</c:v>
                </c:pt>
                <c:pt idx="14">
                  <c:v>21</c:v>
                </c:pt>
                <c:pt idx="15">
                  <c:v>18</c:v>
                </c:pt>
                <c:pt idx="16">
                  <c:v>15</c:v>
                </c:pt>
                <c:pt idx="17">
                  <c:v>12</c:v>
                </c:pt>
                <c:pt idx="18">
                  <c:v>9</c:v>
                </c:pt>
              </c:numCache>
            </c:numRef>
          </c:val>
        </c:ser>
        <c:ser>
          <c:idx val="18"/>
          <c:order val="18"/>
          <c:tx>
            <c:strRef>
              <c:f>'Timing -19 Cell'!$AA$72</c:f>
              <c:strCache>
                <c:ptCount val="1"/>
                <c:pt idx="0">
                  <c:v>7500</c:v>
                </c:pt>
              </c:strCache>
            </c:strRef>
          </c:tx>
          <c:spPr>
            <a:solidFill>
              <a:srgbClr val="CCFFCC"/>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Cell'!$AB$72:$AT$72</c:f>
              <c:numCache>
                <c:formatCode>0</c:formatCode>
                <c:ptCount val="19"/>
                <c:pt idx="0">
                  <c:v>38</c:v>
                </c:pt>
                <c:pt idx="1">
                  <c:v>38</c:v>
                </c:pt>
                <c:pt idx="2">
                  <c:v>38</c:v>
                </c:pt>
                <c:pt idx="3">
                  <c:v>38</c:v>
                </c:pt>
                <c:pt idx="4">
                  <c:v>38</c:v>
                </c:pt>
                <c:pt idx="5">
                  <c:v>37</c:v>
                </c:pt>
                <c:pt idx="6">
                  <c:v>36</c:v>
                </c:pt>
                <c:pt idx="7">
                  <c:v>35</c:v>
                </c:pt>
                <c:pt idx="8">
                  <c:v>35</c:v>
                </c:pt>
                <c:pt idx="9">
                  <c:v>34</c:v>
                </c:pt>
                <c:pt idx="10">
                  <c:v>34</c:v>
                </c:pt>
                <c:pt idx="11">
                  <c:v>31</c:v>
                </c:pt>
                <c:pt idx="12">
                  <c:v>26</c:v>
                </c:pt>
                <c:pt idx="13">
                  <c:v>24</c:v>
                </c:pt>
                <c:pt idx="14">
                  <c:v>21</c:v>
                </c:pt>
                <c:pt idx="15">
                  <c:v>18</c:v>
                </c:pt>
                <c:pt idx="16">
                  <c:v>15</c:v>
                </c:pt>
                <c:pt idx="17">
                  <c:v>12</c:v>
                </c:pt>
                <c:pt idx="18">
                  <c:v>9</c:v>
                </c:pt>
              </c:numCache>
            </c:numRef>
          </c:val>
        </c:ser>
        <c:ser>
          <c:idx val="19"/>
          <c:order val="19"/>
          <c:tx>
            <c:strRef>
              <c:f>'Timing -19 Cell'!$AA$73</c:f>
              <c:strCache>
                <c:ptCount val="1"/>
                <c:pt idx="0">
                  <c:v>11000</c:v>
                </c:pt>
              </c:strCache>
            </c:strRef>
          </c:tx>
          <c:spPr>
            <a:solidFill>
              <a:srgbClr val="FFFF99"/>
            </a:solidFill>
            <a:ln w="12700">
              <a:solidFill>
                <a:srgbClr val="000000"/>
              </a:solidFill>
              <a:prstDash val="solid"/>
            </a:ln>
            <a:sp3d prstMaterial="flat"/>
          </c:spPr>
          <c:cat>
            <c:numRef>
              <c:f>'Timing -19 Cell'!$AB$29:$AT$29</c:f>
              <c:numCache>
                <c:formatCode>General</c:formatCode>
                <c:ptCount val="19"/>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numCache>
            </c:numRef>
          </c:cat>
          <c:val>
            <c:numRef>
              <c:f>'Timing -19 Cell'!$AB$73:$AT$73</c:f>
              <c:numCache>
                <c:formatCode>0</c:formatCode>
                <c:ptCount val="19"/>
                <c:pt idx="0">
                  <c:v>38</c:v>
                </c:pt>
                <c:pt idx="1">
                  <c:v>38</c:v>
                </c:pt>
                <c:pt idx="2">
                  <c:v>38</c:v>
                </c:pt>
                <c:pt idx="3">
                  <c:v>38</c:v>
                </c:pt>
                <c:pt idx="4">
                  <c:v>38</c:v>
                </c:pt>
                <c:pt idx="5">
                  <c:v>37</c:v>
                </c:pt>
                <c:pt idx="6">
                  <c:v>36</c:v>
                </c:pt>
                <c:pt idx="7">
                  <c:v>35</c:v>
                </c:pt>
                <c:pt idx="8">
                  <c:v>35</c:v>
                </c:pt>
                <c:pt idx="9">
                  <c:v>34</c:v>
                </c:pt>
                <c:pt idx="10">
                  <c:v>34</c:v>
                </c:pt>
                <c:pt idx="11">
                  <c:v>31</c:v>
                </c:pt>
                <c:pt idx="12">
                  <c:v>26</c:v>
                </c:pt>
                <c:pt idx="13">
                  <c:v>24</c:v>
                </c:pt>
                <c:pt idx="14">
                  <c:v>21</c:v>
                </c:pt>
                <c:pt idx="15">
                  <c:v>18</c:v>
                </c:pt>
                <c:pt idx="16">
                  <c:v>15</c:v>
                </c:pt>
                <c:pt idx="17">
                  <c:v>12</c:v>
                </c:pt>
                <c:pt idx="18">
                  <c:v>9</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
            <c:idx val="40"/>
            <c:spPr>
              <a:solidFill>
                <a:srgbClr val="000000"/>
              </a:solidFill>
              <a:ln w="12700">
                <a:solidFill>
                  <a:srgbClr val="000000"/>
                </a:solidFill>
                <a:prstDash val="solid"/>
              </a:ln>
              <a:sp3d prstMaterial="flat"/>
            </c:spPr>
          </c:bandFmt>
          <c:bandFmt>
            <c:idx val="41"/>
            <c:spPr>
              <a:solidFill>
                <a:srgbClr val="FFFFFF"/>
              </a:solidFill>
              <a:ln w="12700">
                <a:solidFill>
                  <a:srgbClr val="000000"/>
                </a:solidFill>
                <a:prstDash val="solid"/>
              </a:ln>
              <a:sp3d prstMaterial="flat"/>
            </c:spPr>
          </c:bandFmt>
          <c:bandFmt>
            <c:idx val="42"/>
            <c:spPr>
              <a:solidFill>
                <a:srgbClr val="FF0000"/>
              </a:solidFill>
              <a:ln w="12700">
                <a:solidFill>
                  <a:srgbClr val="000000"/>
                </a:solidFill>
                <a:prstDash val="solid"/>
              </a:ln>
              <a:sp3d prstMaterial="flat"/>
            </c:spPr>
          </c:bandFmt>
          <c:bandFmt>
            <c:idx val="43"/>
            <c:spPr>
              <a:solidFill>
                <a:srgbClr val="00FF00"/>
              </a:solidFill>
              <a:ln w="12700">
                <a:solidFill>
                  <a:srgbClr val="000000"/>
                </a:solidFill>
                <a:prstDash val="solid"/>
              </a:ln>
              <a:sp3d prstMaterial="flat"/>
            </c:spPr>
          </c:bandFmt>
          <c:bandFmt>
            <c:idx val="44"/>
            <c:spPr>
              <a:solidFill>
                <a:srgbClr val="0000FF"/>
              </a:solidFill>
              <a:ln w="12700">
                <a:solidFill>
                  <a:srgbClr val="000000"/>
                </a:solidFill>
                <a:prstDash val="solid"/>
              </a:ln>
              <a:sp3d prstMaterial="flat"/>
            </c:spPr>
          </c:bandFmt>
          <c:bandFmt>
            <c:idx val="45"/>
            <c:spPr>
              <a:solidFill>
                <a:srgbClr val="FFFF00"/>
              </a:solidFill>
              <a:ln w="12700">
                <a:solidFill>
                  <a:srgbClr val="000000"/>
                </a:solidFill>
                <a:prstDash val="solid"/>
              </a:ln>
              <a:sp3d prstMaterial="flat"/>
            </c:spPr>
          </c:bandFmt>
          <c:bandFmt>
            <c:idx val="46"/>
            <c:spPr>
              <a:solidFill>
                <a:srgbClr val="FF00FF"/>
              </a:solidFill>
              <a:ln w="12700">
                <a:solidFill>
                  <a:srgbClr val="000000"/>
                </a:solidFill>
                <a:prstDash val="solid"/>
              </a:ln>
              <a:sp3d prstMaterial="flat"/>
            </c:spPr>
          </c:bandFmt>
          <c:bandFmt>
            <c:idx val="47"/>
            <c:spPr>
              <a:solidFill>
                <a:srgbClr val="00FFFF"/>
              </a:solidFill>
              <a:ln w="12700">
                <a:solidFill>
                  <a:srgbClr val="000000"/>
                </a:solidFill>
                <a:prstDash val="solid"/>
              </a:ln>
              <a:sp3d prstMaterial="flat"/>
            </c:spPr>
          </c:bandFmt>
        </c:bandFmts>
        <c:axId val="57395840"/>
        <c:axId val="57401728"/>
        <c:axId val="57244288"/>
      </c:surfaceChart>
      <c:catAx>
        <c:axId val="57395840"/>
        <c:scaling>
          <c:orientation val="minMax"/>
        </c:scaling>
        <c:axPos val="b"/>
        <c:numFmt formatCode="General" sourceLinked="1"/>
        <c:tickLblPos val="low"/>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57401728"/>
        <c:crosses val="autoZero"/>
        <c:auto val="1"/>
        <c:lblAlgn val="ctr"/>
        <c:lblOffset val="100"/>
        <c:tickLblSkip val="2"/>
        <c:tickMarkSkip val="1"/>
        <c:noMultiLvlLbl val="1"/>
      </c:catAx>
      <c:valAx>
        <c:axId val="57401728"/>
        <c:scaling>
          <c:orientation val="minMax"/>
          <c:min val="-10"/>
        </c:scaling>
        <c:axPos val="l"/>
        <c:majorGridlines>
          <c:spPr>
            <a:ln w="3175">
              <a:solidFill>
                <a:srgbClr val="C0C0C0"/>
              </a:solidFill>
              <a:prstDash val="solid"/>
            </a:ln>
          </c:spPr>
        </c:majorGridlines>
        <c:numFmt formatCode="0" sourceLinked="1"/>
        <c:majorTickMark val="none"/>
        <c:tickLblPos val="none"/>
        <c:spPr>
          <a:ln w="3175">
            <a:solidFill>
              <a:srgbClr val="000000"/>
            </a:solidFill>
            <a:prstDash val="solid"/>
          </a:ln>
        </c:spPr>
        <c:crossAx val="57395840"/>
        <c:crosses val="autoZero"/>
        <c:crossBetween val="midCat"/>
        <c:majorUnit val="1"/>
        <c:minorUnit val="0.5"/>
      </c:valAx>
      <c:serAx>
        <c:axId val="57244288"/>
        <c:scaling>
          <c:orientation val="maxMin"/>
        </c:scaling>
        <c:axPos val="b"/>
        <c:numFmt formatCode="General" sourceLinked="1"/>
        <c:tickLblPos val="low"/>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57401728"/>
        <c:crosses val="autoZero"/>
        <c:tickLblSkip val="2"/>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3.2586862233099596E-2"/>
          <c:y val="3.6585527947402358E-2"/>
          <c:w val="0.84986536703923754"/>
          <c:h val="0.82752979881029132"/>
        </c:manualLayout>
      </c:layout>
      <c:surface3DChart>
        <c:ser>
          <c:idx val="0"/>
          <c:order val="0"/>
          <c:tx>
            <c:strRef>
              <c:f>'Fuel - 18 Cell'!$W$52</c:f>
              <c:strCache>
                <c:ptCount val="1"/>
                <c:pt idx="0">
                  <c:v>10</c:v>
                </c:pt>
              </c:strCache>
            </c:strRef>
          </c:tx>
          <c:spPr>
            <a:solidFill>
              <a:srgbClr val="9999FF"/>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Cell'!$W$53:$W$67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14.2545</c:v>
                </c:pt>
                <c:pt idx="12">
                  <c:v>14.0418</c:v>
                </c:pt>
                <c:pt idx="13">
                  <c:v>13.8353</c:v>
                </c:pt>
                <c:pt idx="14">
                  <c:v>13.8353</c:v>
                </c:pt>
              </c:numCache>
            </c:numRef>
          </c:val>
        </c:ser>
        <c:ser>
          <c:idx val="1"/>
          <c:order val="1"/>
          <c:tx>
            <c:strRef>
              <c:f>'Fuel - 18 Cell'!$X$52</c:f>
              <c:strCache>
                <c:ptCount val="1"/>
                <c:pt idx="0">
                  <c:v>20</c:v>
                </c:pt>
              </c:strCache>
            </c:strRef>
          </c:tx>
          <c:spPr>
            <a:solidFill>
              <a:srgbClr val="993366"/>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Cell'!$X$53:$X$67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14.2545</c:v>
                </c:pt>
                <c:pt idx="12">
                  <c:v>14.0418</c:v>
                </c:pt>
                <c:pt idx="13">
                  <c:v>13.8353</c:v>
                </c:pt>
                <c:pt idx="14">
                  <c:v>13.8353</c:v>
                </c:pt>
              </c:numCache>
            </c:numRef>
          </c:val>
        </c:ser>
        <c:ser>
          <c:idx val="2"/>
          <c:order val="2"/>
          <c:tx>
            <c:strRef>
              <c:f>'Fuel - 18 Cell'!$Y$52</c:f>
              <c:strCache>
                <c:ptCount val="1"/>
                <c:pt idx="0">
                  <c:v>30</c:v>
                </c:pt>
              </c:strCache>
            </c:strRef>
          </c:tx>
          <c:spPr>
            <a:solidFill>
              <a:srgbClr val="FFFFCC"/>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Cell'!$Y$53:$Y$67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14.2545</c:v>
                </c:pt>
                <c:pt idx="12">
                  <c:v>14.0418</c:v>
                </c:pt>
                <c:pt idx="13">
                  <c:v>13.8353</c:v>
                </c:pt>
                <c:pt idx="14">
                  <c:v>13.8353</c:v>
                </c:pt>
              </c:numCache>
            </c:numRef>
          </c:val>
        </c:ser>
        <c:ser>
          <c:idx val="3"/>
          <c:order val="3"/>
          <c:tx>
            <c:strRef>
              <c:f>'Fuel - 18 Cell'!$Z$52</c:f>
              <c:strCache>
                <c:ptCount val="1"/>
                <c:pt idx="0">
                  <c:v>40</c:v>
                </c:pt>
              </c:strCache>
            </c:strRef>
          </c:tx>
          <c:spPr>
            <a:solidFill>
              <a:srgbClr val="CCFFFF"/>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Cell'!$Z$53:$Z$67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14.2545</c:v>
                </c:pt>
                <c:pt idx="12">
                  <c:v>13.3447</c:v>
                </c:pt>
                <c:pt idx="13">
                  <c:v>13.066700000000001</c:v>
                </c:pt>
                <c:pt idx="14">
                  <c:v>13.066700000000001</c:v>
                </c:pt>
              </c:numCache>
            </c:numRef>
          </c:val>
        </c:ser>
        <c:ser>
          <c:idx val="4"/>
          <c:order val="4"/>
          <c:tx>
            <c:strRef>
              <c:f>'Fuel - 18 Cell'!$AA$52</c:f>
              <c:strCache>
                <c:ptCount val="1"/>
                <c:pt idx="0">
                  <c:v>50</c:v>
                </c:pt>
              </c:strCache>
            </c:strRef>
          </c:tx>
          <c:spPr>
            <a:solidFill>
              <a:srgbClr val="660066"/>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Cell'!$AA$53:$AA$67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14.3634</c:v>
                </c:pt>
                <c:pt idx="11">
                  <c:v>13.734299999999999</c:v>
                </c:pt>
                <c:pt idx="12">
                  <c:v>12.887700000000001</c:v>
                </c:pt>
                <c:pt idx="13">
                  <c:v>12.544</c:v>
                </c:pt>
                <c:pt idx="14">
                  <c:v>12.544</c:v>
                </c:pt>
              </c:numCache>
            </c:numRef>
          </c:val>
        </c:ser>
        <c:ser>
          <c:idx val="5"/>
          <c:order val="5"/>
          <c:tx>
            <c:strRef>
              <c:f>'Fuel - 18 Cell'!$AB$52</c:f>
              <c:strCache>
                <c:ptCount val="1"/>
                <c:pt idx="0">
                  <c:v>60</c:v>
                </c:pt>
              </c:strCache>
            </c:strRef>
          </c:tx>
          <c:spPr>
            <a:solidFill>
              <a:srgbClr val="FF8080"/>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Cell'!$AB$53:$AB$67</c:f>
              <c:numCache>
                <c:formatCode>0.00</c:formatCode>
                <c:ptCount val="15"/>
                <c:pt idx="0">
                  <c:v>13.3447</c:v>
                </c:pt>
                <c:pt idx="1">
                  <c:v>14.7</c:v>
                </c:pt>
                <c:pt idx="2">
                  <c:v>14.7</c:v>
                </c:pt>
                <c:pt idx="3">
                  <c:v>14.7</c:v>
                </c:pt>
                <c:pt idx="4">
                  <c:v>14.7</c:v>
                </c:pt>
                <c:pt idx="5">
                  <c:v>14.7</c:v>
                </c:pt>
                <c:pt idx="6">
                  <c:v>14.7</c:v>
                </c:pt>
                <c:pt idx="7">
                  <c:v>14.7</c:v>
                </c:pt>
                <c:pt idx="8">
                  <c:v>14.7</c:v>
                </c:pt>
                <c:pt idx="9">
                  <c:v>14.473800000000001</c:v>
                </c:pt>
                <c:pt idx="10">
                  <c:v>13.8353</c:v>
                </c:pt>
                <c:pt idx="11">
                  <c:v>13.066700000000001</c:v>
                </c:pt>
                <c:pt idx="12">
                  <c:v>12.2182</c:v>
                </c:pt>
                <c:pt idx="13">
                  <c:v>11.614800000000001</c:v>
                </c:pt>
                <c:pt idx="14">
                  <c:v>11.614800000000001</c:v>
                </c:pt>
              </c:numCache>
            </c:numRef>
          </c:val>
        </c:ser>
        <c:ser>
          <c:idx val="6"/>
          <c:order val="6"/>
          <c:tx>
            <c:strRef>
              <c:f>'Fuel - 18 Cell'!$AC$52</c:f>
              <c:strCache>
                <c:ptCount val="1"/>
                <c:pt idx="0">
                  <c:v>70</c:v>
                </c:pt>
              </c:strCache>
            </c:strRef>
          </c:tx>
          <c:spPr>
            <a:solidFill>
              <a:srgbClr val="0066CC"/>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Cell'!$AC$53:$AC$67</c:f>
              <c:numCache>
                <c:formatCode>0.00</c:formatCode>
                <c:ptCount val="15"/>
                <c:pt idx="0">
                  <c:v>13.3447</c:v>
                </c:pt>
                <c:pt idx="1">
                  <c:v>14.7</c:v>
                </c:pt>
                <c:pt idx="2">
                  <c:v>14.7</c:v>
                </c:pt>
                <c:pt idx="3">
                  <c:v>14.7</c:v>
                </c:pt>
                <c:pt idx="4">
                  <c:v>14.7</c:v>
                </c:pt>
                <c:pt idx="5">
                  <c:v>14.7</c:v>
                </c:pt>
                <c:pt idx="6">
                  <c:v>14.7</c:v>
                </c:pt>
                <c:pt idx="7">
                  <c:v>14.7</c:v>
                </c:pt>
                <c:pt idx="8">
                  <c:v>14.0418</c:v>
                </c:pt>
                <c:pt idx="9">
                  <c:v>14.0418</c:v>
                </c:pt>
                <c:pt idx="10">
                  <c:v>13.3447</c:v>
                </c:pt>
                <c:pt idx="11">
                  <c:v>12.2182</c:v>
                </c:pt>
                <c:pt idx="12">
                  <c:v>11.403600000000001</c:v>
                </c:pt>
                <c:pt idx="13">
                  <c:v>10.876300000000001</c:v>
                </c:pt>
                <c:pt idx="14">
                  <c:v>10.876300000000001</c:v>
                </c:pt>
              </c:numCache>
            </c:numRef>
          </c:val>
        </c:ser>
        <c:ser>
          <c:idx val="7"/>
          <c:order val="7"/>
          <c:tx>
            <c:strRef>
              <c:f>'Fuel - 18 Cell'!$AD$52</c:f>
              <c:strCache>
                <c:ptCount val="1"/>
                <c:pt idx="0">
                  <c:v>80</c:v>
                </c:pt>
              </c:strCache>
            </c:strRef>
          </c:tx>
          <c:spPr>
            <a:solidFill>
              <a:srgbClr val="CCCCFF"/>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Cell'!$AD$53:$AD$67</c:f>
              <c:numCache>
                <c:formatCode>0.00</c:formatCode>
                <c:ptCount val="15"/>
                <c:pt idx="0">
                  <c:v>13.3447</c:v>
                </c:pt>
                <c:pt idx="1">
                  <c:v>14.7</c:v>
                </c:pt>
                <c:pt idx="2">
                  <c:v>14.7</c:v>
                </c:pt>
                <c:pt idx="3">
                  <c:v>14.7</c:v>
                </c:pt>
                <c:pt idx="4">
                  <c:v>14.7</c:v>
                </c:pt>
                <c:pt idx="5">
                  <c:v>14.7</c:v>
                </c:pt>
                <c:pt idx="6">
                  <c:v>14.7</c:v>
                </c:pt>
                <c:pt idx="7">
                  <c:v>14.7</c:v>
                </c:pt>
                <c:pt idx="8">
                  <c:v>13.5367</c:v>
                </c:pt>
                <c:pt idx="9">
                  <c:v>13.157999999999999</c:v>
                </c:pt>
                <c:pt idx="10">
                  <c:v>12.3789</c:v>
                </c:pt>
                <c:pt idx="11">
                  <c:v>11.2</c:v>
                </c:pt>
                <c:pt idx="12">
                  <c:v>10.752000000000001</c:v>
                </c:pt>
                <c:pt idx="13">
                  <c:v>10.5708</c:v>
                </c:pt>
                <c:pt idx="14">
                  <c:v>10.5708</c:v>
                </c:pt>
              </c:numCache>
            </c:numRef>
          </c:val>
        </c:ser>
        <c:ser>
          <c:idx val="8"/>
          <c:order val="8"/>
          <c:tx>
            <c:strRef>
              <c:f>'Fuel - 18 Cell'!$AE$52</c:f>
              <c:strCache>
                <c:ptCount val="1"/>
                <c:pt idx="0">
                  <c:v>90</c:v>
                </c:pt>
              </c:strCache>
            </c:strRef>
          </c:tx>
          <c:spPr>
            <a:solidFill>
              <a:srgbClr val="000080"/>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Cell'!$AE$53:$AE$67</c:f>
              <c:numCache>
                <c:formatCode>0.00</c:formatCode>
                <c:ptCount val="15"/>
                <c:pt idx="0">
                  <c:v>11.9847</c:v>
                </c:pt>
                <c:pt idx="1">
                  <c:v>13.066700000000001</c:v>
                </c:pt>
                <c:pt idx="2">
                  <c:v>14.147399999999999</c:v>
                </c:pt>
                <c:pt idx="3">
                  <c:v>14.147399999999999</c:v>
                </c:pt>
                <c:pt idx="4">
                  <c:v>14.2545</c:v>
                </c:pt>
                <c:pt idx="5">
                  <c:v>14.2545</c:v>
                </c:pt>
                <c:pt idx="6">
                  <c:v>14.2545</c:v>
                </c:pt>
                <c:pt idx="7">
                  <c:v>13.937799999999999</c:v>
                </c:pt>
                <c:pt idx="8">
                  <c:v>13.157999999999999</c:v>
                </c:pt>
                <c:pt idx="9">
                  <c:v>12.298</c:v>
                </c:pt>
                <c:pt idx="10">
                  <c:v>11.614800000000001</c:v>
                </c:pt>
                <c:pt idx="11">
                  <c:v>11.003500000000001</c:v>
                </c:pt>
                <c:pt idx="12">
                  <c:v>10.690899999999999</c:v>
                </c:pt>
                <c:pt idx="13">
                  <c:v>10.4533</c:v>
                </c:pt>
                <c:pt idx="14">
                  <c:v>10.4533</c:v>
                </c:pt>
              </c:numCache>
            </c:numRef>
          </c:val>
        </c:ser>
        <c:ser>
          <c:idx val="9"/>
          <c:order val="9"/>
          <c:tx>
            <c:strRef>
              <c:f>'Fuel - 18 Cell'!$AF$52</c:f>
              <c:strCache>
                <c:ptCount val="1"/>
                <c:pt idx="0">
                  <c:v>100</c:v>
                </c:pt>
              </c:strCache>
            </c:strRef>
          </c:tx>
          <c:spPr>
            <a:solidFill>
              <a:srgbClr val="FF00FF"/>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Cell'!$AF$53:$AF$67</c:f>
              <c:numCache>
                <c:formatCode>0.00</c:formatCode>
                <c:ptCount val="15"/>
                <c:pt idx="0">
                  <c:v>11.9847</c:v>
                </c:pt>
                <c:pt idx="1">
                  <c:v>13.066700000000001</c:v>
                </c:pt>
                <c:pt idx="2">
                  <c:v>13.6348</c:v>
                </c:pt>
                <c:pt idx="3">
                  <c:v>13.6348</c:v>
                </c:pt>
                <c:pt idx="4">
                  <c:v>13.937799999999999</c:v>
                </c:pt>
                <c:pt idx="5">
                  <c:v>14.0418</c:v>
                </c:pt>
                <c:pt idx="6">
                  <c:v>14.0418</c:v>
                </c:pt>
                <c:pt idx="7">
                  <c:v>13.3447</c:v>
                </c:pt>
                <c:pt idx="8">
                  <c:v>12.298</c:v>
                </c:pt>
                <c:pt idx="9">
                  <c:v>11.614800000000001</c:v>
                </c:pt>
                <c:pt idx="10">
                  <c:v>11.267099999999999</c:v>
                </c:pt>
                <c:pt idx="11">
                  <c:v>10.690899999999999</c:v>
                </c:pt>
                <c:pt idx="12">
                  <c:v>10.5708</c:v>
                </c:pt>
                <c:pt idx="13">
                  <c:v>10.3956</c:v>
                </c:pt>
                <c:pt idx="14">
                  <c:v>10.3956</c:v>
                </c:pt>
              </c:numCache>
            </c:numRef>
          </c:val>
        </c:ser>
        <c:ser>
          <c:idx val="10"/>
          <c:order val="10"/>
          <c:tx>
            <c:strRef>
              <c:f>'Fuel - 18 Cell'!$AG$52</c:f>
              <c:strCache>
                <c:ptCount val="1"/>
                <c:pt idx="0">
                  <c:v>120</c:v>
                </c:pt>
              </c:strCache>
            </c:strRef>
          </c:tx>
          <c:spPr>
            <a:solidFill>
              <a:srgbClr val="FFFF00"/>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Cell'!$AG$53:$AG$67</c:f>
              <c:numCache>
                <c:formatCode>0.00</c:formatCode>
                <c:ptCount val="15"/>
                <c:pt idx="0">
                  <c:v>11.686999999999999</c:v>
                </c:pt>
                <c:pt idx="1">
                  <c:v>12.7135</c:v>
                </c:pt>
                <c:pt idx="2">
                  <c:v>12.7135</c:v>
                </c:pt>
                <c:pt idx="3">
                  <c:v>13.066700000000001</c:v>
                </c:pt>
                <c:pt idx="4">
                  <c:v>13.6348</c:v>
                </c:pt>
                <c:pt idx="5">
                  <c:v>13.8353</c:v>
                </c:pt>
                <c:pt idx="6">
                  <c:v>13.066700000000001</c:v>
                </c:pt>
                <c:pt idx="7">
                  <c:v>11.908899999999999</c:v>
                </c:pt>
                <c:pt idx="8">
                  <c:v>11.403600000000001</c:v>
                </c:pt>
                <c:pt idx="9">
                  <c:v>11.133699999999999</c:v>
                </c:pt>
                <c:pt idx="10">
                  <c:v>10.876300000000001</c:v>
                </c:pt>
                <c:pt idx="11">
                  <c:v>10.511699999999999</c:v>
                </c:pt>
                <c:pt idx="12">
                  <c:v>10.226100000000001</c:v>
                </c:pt>
                <c:pt idx="13">
                  <c:v>10.061999999999999</c:v>
                </c:pt>
                <c:pt idx="14">
                  <c:v>10.061999999999999</c:v>
                </c:pt>
              </c:numCache>
            </c:numRef>
          </c:val>
        </c:ser>
        <c:ser>
          <c:idx val="11"/>
          <c:order val="11"/>
          <c:tx>
            <c:strRef>
              <c:f>'Fuel - 18 Cell'!$AH$52</c:f>
              <c:strCache>
                <c:ptCount val="1"/>
                <c:pt idx="0">
                  <c:v>140</c:v>
                </c:pt>
              </c:strCache>
            </c:strRef>
          </c:tx>
          <c:spPr>
            <a:solidFill>
              <a:srgbClr val="00FFFF"/>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Cell'!$AH$53:$AH$67</c:f>
              <c:numCache>
                <c:formatCode>0.00</c:formatCode>
                <c:ptCount val="15"/>
                <c:pt idx="0">
                  <c:v>11.403600000000001</c:v>
                </c:pt>
                <c:pt idx="1">
                  <c:v>12.3789</c:v>
                </c:pt>
                <c:pt idx="2">
                  <c:v>12.544</c:v>
                </c:pt>
                <c:pt idx="3">
                  <c:v>12.6282</c:v>
                </c:pt>
                <c:pt idx="4">
                  <c:v>13.066700000000001</c:v>
                </c:pt>
                <c:pt idx="5">
                  <c:v>12.887700000000001</c:v>
                </c:pt>
                <c:pt idx="6">
                  <c:v>11.614800000000001</c:v>
                </c:pt>
                <c:pt idx="7">
                  <c:v>10.939500000000001</c:v>
                </c:pt>
                <c:pt idx="8">
                  <c:v>10.690899999999999</c:v>
                </c:pt>
                <c:pt idx="9">
                  <c:v>10.752000000000001</c:v>
                </c:pt>
                <c:pt idx="10">
                  <c:v>10.116099999999999</c:v>
                </c:pt>
                <c:pt idx="11">
                  <c:v>10.0085</c:v>
                </c:pt>
                <c:pt idx="12">
                  <c:v>9.8000000000000007</c:v>
                </c:pt>
                <c:pt idx="13">
                  <c:v>9.6989699999999992</c:v>
                </c:pt>
                <c:pt idx="14">
                  <c:v>9.6989699999999992</c:v>
                </c:pt>
              </c:numCache>
            </c:numRef>
          </c:val>
        </c:ser>
        <c:ser>
          <c:idx val="12"/>
          <c:order val="12"/>
          <c:tx>
            <c:strRef>
              <c:f>'Fuel - 18 Cell'!$AI$52</c:f>
              <c:strCache>
                <c:ptCount val="1"/>
                <c:pt idx="0">
                  <c:v>160</c:v>
                </c:pt>
              </c:strCache>
            </c:strRef>
          </c:tx>
          <c:spPr>
            <a:solidFill>
              <a:srgbClr val="800080"/>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Cell'!$AI$53:$AI$67</c:f>
              <c:numCache>
                <c:formatCode>0.00</c:formatCode>
                <c:ptCount val="15"/>
                <c:pt idx="0">
                  <c:v>11.133699999999999</c:v>
                </c:pt>
                <c:pt idx="1">
                  <c:v>12.061500000000001</c:v>
                </c:pt>
                <c:pt idx="2">
                  <c:v>12.3789</c:v>
                </c:pt>
                <c:pt idx="3">
                  <c:v>12.298</c:v>
                </c:pt>
                <c:pt idx="4">
                  <c:v>12.8</c:v>
                </c:pt>
                <c:pt idx="5">
                  <c:v>11.068199999999999</c:v>
                </c:pt>
                <c:pt idx="6">
                  <c:v>10.752000000000001</c:v>
                </c:pt>
                <c:pt idx="7">
                  <c:v>10.3956</c:v>
                </c:pt>
                <c:pt idx="8">
                  <c:v>10.282</c:v>
                </c:pt>
                <c:pt idx="9">
                  <c:v>10.116099999999999</c:v>
                </c:pt>
                <c:pt idx="10">
                  <c:v>9.7492199999999993</c:v>
                </c:pt>
                <c:pt idx="11">
                  <c:v>9.6989699999999992</c:v>
                </c:pt>
                <c:pt idx="12">
                  <c:v>9.4552800000000001</c:v>
                </c:pt>
                <c:pt idx="13">
                  <c:v>9.3611900000000006</c:v>
                </c:pt>
                <c:pt idx="14">
                  <c:v>9.3611900000000006</c:v>
                </c:pt>
              </c:numCache>
            </c:numRef>
          </c:val>
        </c:ser>
        <c:ser>
          <c:idx val="13"/>
          <c:order val="13"/>
          <c:tx>
            <c:strRef>
              <c:f>'Fuel - 18 Cell'!$AJ$52</c:f>
              <c:strCache>
                <c:ptCount val="1"/>
                <c:pt idx="0">
                  <c:v>180</c:v>
                </c:pt>
              </c:strCache>
            </c:strRef>
          </c:tx>
          <c:spPr>
            <a:solidFill>
              <a:srgbClr val="800000"/>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Cell'!$AJ$53:$AJ$67</c:f>
              <c:numCache>
                <c:formatCode>0.00</c:formatCode>
                <c:ptCount val="15"/>
                <c:pt idx="0">
                  <c:v>10.876300000000001</c:v>
                </c:pt>
                <c:pt idx="1">
                  <c:v>11.76</c:v>
                </c:pt>
                <c:pt idx="2">
                  <c:v>12.061500000000001</c:v>
                </c:pt>
                <c:pt idx="3">
                  <c:v>12.1394</c:v>
                </c:pt>
                <c:pt idx="4">
                  <c:v>12.544</c:v>
                </c:pt>
                <c:pt idx="5">
                  <c:v>10.5708</c:v>
                </c:pt>
                <c:pt idx="6">
                  <c:v>10.0085</c:v>
                </c:pt>
                <c:pt idx="7">
                  <c:v>9.8513099999999998</c:v>
                </c:pt>
                <c:pt idx="8">
                  <c:v>9.9555600000000002</c:v>
                </c:pt>
                <c:pt idx="9">
                  <c:v>9.6492299999999993</c:v>
                </c:pt>
                <c:pt idx="10">
                  <c:v>9.4079999999999995</c:v>
                </c:pt>
                <c:pt idx="11">
                  <c:v>9.3148499999999999</c:v>
                </c:pt>
                <c:pt idx="12">
                  <c:v>9.1339799999999993</c:v>
                </c:pt>
                <c:pt idx="13">
                  <c:v>8.87547</c:v>
                </c:pt>
                <c:pt idx="14">
                  <c:v>8.87547</c:v>
                </c:pt>
              </c:numCache>
            </c:numRef>
          </c:val>
        </c:ser>
        <c:ser>
          <c:idx val="14"/>
          <c:order val="14"/>
          <c:tx>
            <c:strRef>
              <c:f>'Fuel - 18 Cell'!$AK$52</c:f>
              <c:strCache>
                <c:ptCount val="1"/>
                <c:pt idx="0">
                  <c:v>200</c:v>
                </c:pt>
              </c:strCache>
            </c:strRef>
          </c:tx>
          <c:spPr>
            <a:solidFill>
              <a:srgbClr val="008080"/>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Cell'!$AK$53:$AK$67</c:f>
              <c:numCache>
                <c:formatCode>0.00</c:formatCode>
                <c:ptCount val="15"/>
                <c:pt idx="0">
                  <c:v>10.6305</c:v>
                </c:pt>
                <c:pt idx="1">
                  <c:v>11.4732</c:v>
                </c:pt>
                <c:pt idx="2">
                  <c:v>11.76</c:v>
                </c:pt>
                <c:pt idx="3">
                  <c:v>11.834</c:v>
                </c:pt>
                <c:pt idx="4">
                  <c:v>12.2182</c:v>
                </c:pt>
                <c:pt idx="5">
                  <c:v>10.282</c:v>
                </c:pt>
                <c:pt idx="6">
                  <c:v>9.9555600000000002</c:v>
                </c:pt>
                <c:pt idx="7">
                  <c:v>9.7492199999999993</c:v>
                </c:pt>
                <c:pt idx="8">
                  <c:v>9.8513099999999998</c:v>
                </c:pt>
                <c:pt idx="9">
                  <c:v>9.5512700000000006</c:v>
                </c:pt>
                <c:pt idx="10">
                  <c:v>9.3148499999999999</c:v>
                </c:pt>
                <c:pt idx="11">
                  <c:v>9.0898599999999998</c:v>
                </c:pt>
                <c:pt idx="12">
                  <c:v>9.0461500000000008</c:v>
                </c:pt>
                <c:pt idx="13">
                  <c:v>8.6709700000000005</c:v>
                </c:pt>
                <c:pt idx="14">
                  <c:v>8.6709700000000005</c:v>
                </c:pt>
              </c:numCache>
            </c:numRef>
          </c:val>
        </c:ser>
        <c:ser>
          <c:idx val="15"/>
          <c:order val="15"/>
          <c:tx>
            <c:strRef>
              <c:f>'Fuel - 18 Cell'!$AL$52</c:f>
              <c:strCache>
                <c:ptCount val="1"/>
                <c:pt idx="0">
                  <c:v>220</c:v>
                </c:pt>
              </c:strCache>
            </c:strRef>
          </c:tx>
          <c:spPr>
            <a:solidFill>
              <a:srgbClr val="0000FF"/>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Cell'!$AL$53:$AL$67</c:f>
              <c:numCache>
                <c:formatCode>0.00</c:formatCode>
                <c:ptCount val="15"/>
                <c:pt idx="0">
                  <c:v>10.3956</c:v>
                </c:pt>
                <c:pt idx="1">
                  <c:v>11.2</c:v>
                </c:pt>
                <c:pt idx="2">
                  <c:v>11.4732</c:v>
                </c:pt>
                <c:pt idx="3">
                  <c:v>11.5436</c:v>
                </c:pt>
                <c:pt idx="4">
                  <c:v>11.908899999999999</c:v>
                </c:pt>
                <c:pt idx="5">
                  <c:v>10.061999999999999</c:v>
                </c:pt>
                <c:pt idx="6">
                  <c:v>9.9031599999999997</c:v>
                </c:pt>
                <c:pt idx="7">
                  <c:v>9.6492299999999993</c:v>
                </c:pt>
                <c:pt idx="8">
                  <c:v>9.6492299999999993</c:v>
                </c:pt>
                <c:pt idx="9">
                  <c:v>9.4552800000000001</c:v>
                </c:pt>
                <c:pt idx="10">
                  <c:v>9.2235300000000002</c:v>
                </c:pt>
                <c:pt idx="11">
                  <c:v>8.87547</c:v>
                </c:pt>
                <c:pt idx="12">
                  <c:v>8.87547</c:v>
                </c:pt>
                <c:pt idx="13">
                  <c:v>8.6709700000000005</c:v>
                </c:pt>
                <c:pt idx="14">
                  <c:v>8.6709700000000005</c:v>
                </c:pt>
              </c:numCache>
            </c:numRef>
          </c:val>
        </c:ser>
        <c:ser>
          <c:idx val="16"/>
          <c:order val="16"/>
          <c:tx>
            <c:strRef>
              <c:f>'Fuel - 18 Cell'!$AM$52</c:f>
              <c:strCache>
                <c:ptCount val="1"/>
                <c:pt idx="0">
                  <c:v>240</c:v>
                </c:pt>
              </c:strCache>
            </c:strRef>
          </c:tx>
          <c:spPr>
            <a:solidFill>
              <a:srgbClr val="00CCFF"/>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Cell'!$AM$53:$AM$67</c:f>
              <c:numCache>
                <c:formatCode>0.00</c:formatCode>
                <c:ptCount val="15"/>
                <c:pt idx="0">
                  <c:v>10.1708</c:v>
                </c:pt>
                <c:pt idx="1">
                  <c:v>10.939500000000001</c:v>
                </c:pt>
                <c:pt idx="2">
                  <c:v>11.2</c:v>
                </c:pt>
                <c:pt idx="3">
                  <c:v>11.267099999999999</c:v>
                </c:pt>
                <c:pt idx="4">
                  <c:v>11.614800000000001</c:v>
                </c:pt>
                <c:pt idx="5">
                  <c:v>9.8513099999999998</c:v>
                </c:pt>
                <c:pt idx="6">
                  <c:v>9.6989699999999992</c:v>
                </c:pt>
                <c:pt idx="7">
                  <c:v>9.4552800000000001</c:v>
                </c:pt>
                <c:pt idx="8">
                  <c:v>9.4552800000000001</c:v>
                </c:pt>
                <c:pt idx="9">
                  <c:v>9.2689699999999995</c:v>
                </c:pt>
                <c:pt idx="10">
                  <c:v>9.0461500000000008</c:v>
                </c:pt>
                <c:pt idx="11">
                  <c:v>8.7111099999999997</c:v>
                </c:pt>
                <c:pt idx="12">
                  <c:v>8.7111099999999997</c:v>
                </c:pt>
                <c:pt idx="13">
                  <c:v>8.6709700000000005</c:v>
                </c:pt>
                <c:pt idx="14">
                  <c:v>8.6709700000000005</c:v>
                </c:pt>
              </c:numCache>
            </c:numRef>
          </c:val>
        </c:ser>
        <c:ser>
          <c:idx val="17"/>
          <c:order val="17"/>
          <c:tx>
            <c:strRef>
              <c:f>'Fuel - 18 Cell'!$AN$52</c:f>
              <c:strCache>
                <c:ptCount val="1"/>
                <c:pt idx="0">
                  <c:v>260</c:v>
                </c:pt>
              </c:strCache>
            </c:strRef>
          </c:tx>
          <c:spPr>
            <a:solidFill>
              <a:srgbClr val="CCFFFF"/>
            </a:solidFill>
            <a:ln w="12700">
              <a:solidFill>
                <a:srgbClr val="000000"/>
              </a:solidFill>
              <a:prstDash val="solid"/>
            </a:ln>
            <a:sp3d prstMaterial="flat"/>
          </c:spPr>
          <c:cat>
            <c:numRef>
              <c:f>'Fuel - 18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Cell'!$AN$53:$AN$67</c:f>
              <c:numCache>
                <c:formatCode>0.00</c:formatCode>
                <c:ptCount val="15"/>
                <c:pt idx="0">
                  <c:v>9.9555600000000002</c:v>
                </c:pt>
                <c:pt idx="1">
                  <c:v>10.690899999999999</c:v>
                </c:pt>
                <c:pt idx="2">
                  <c:v>10.939500000000001</c:v>
                </c:pt>
                <c:pt idx="3">
                  <c:v>11.003500000000001</c:v>
                </c:pt>
                <c:pt idx="4">
                  <c:v>11.334899999999999</c:v>
                </c:pt>
                <c:pt idx="5">
                  <c:v>9.6492299999999993</c:v>
                </c:pt>
                <c:pt idx="6">
                  <c:v>9.6</c:v>
                </c:pt>
                <c:pt idx="7">
                  <c:v>9.2689699999999995</c:v>
                </c:pt>
                <c:pt idx="8">
                  <c:v>9.2689699999999995</c:v>
                </c:pt>
                <c:pt idx="9">
                  <c:v>9.0898599999999998</c:v>
                </c:pt>
                <c:pt idx="10">
                  <c:v>8.87547</c:v>
                </c:pt>
                <c:pt idx="11">
                  <c:v>8.6709700000000005</c:v>
                </c:pt>
                <c:pt idx="12">
                  <c:v>8.6709700000000005</c:v>
                </c:pt>
                <c:pt idx="13">
                  <c:v>8.6709700000000005</c:v>
                </c:pt>
                <c:pt idx="14">
                  <c:v>8.6709700000000005</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59624064"/>
        <c:axId val="59966592"/>
        <c:axId val="59951744"/>
      </c:surface3DChart>
      <c:catAx>
        <c:axId val="59624064"/>
        <c:scaling>
          <c:orientation val="maxMin"/>
        </c:scaling>
        <c:axPos val="b"/>
        <c:title>
          <c:tx>
            <c:rich>
              <a:bodyPr rot="5400000" vert="horz"/>
              <a:lstStyle/>
              <a:p>
                <a:pPr algn="ctr">
                  <a:defRPr sz="1025" b="1" i="0" u="none" strike="noStrike" baseline="0">
                    <a:solidFill>
                      <a:srgbClr val="000000"/>
                    </a:solidFill>
                    <a:latin typeface="Arial"/>
                    <a:ea typeface="Arial"/>
                    <a:cs typeface="Arial"/>
                  </a:defRPr>
                </a:pPr>
                <a:r>
                  <a:rPr lang="en-US"/>
                  <a:t>RPM</a:t>
                </a:r>
              </a:p>
            </c:rich>
          </c:tx>
          <c:layout>
            <c:manualLayout>
              <c:xMode val="edge"/>
              <c:yMode val="edge"/>
              <c:x val="0.89288010812692609"/>
              <c:y val="0.41463598776041327"/>
            </c:manualLayout>
          </c:layout>
          <c:spPr>
            <a:noFill/>
            <a:ln w="25400">
              <a:noFill/>
            </a:ln>
          </c:spPr>
        </c:title>
        <c:numFmt formatCode="General" sourceLinked="1"/>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9966592"/>
        <c:crosses val="autoZero"/>
        <c:auto val="1"/>
        <c:lblAlgn val="ctr"/>
        <c:lblOffset val="100"/>
        <c:tickLblSkip val="1"/>
        <c:tickMarkSkip val="1"/>
        <c:noMultiLvlLbl val="1"/>
      </c:catAx>
      <c:valAx>
        <c:axId val="59966592"/>
        <c:scaling>
          <c:orientation val="minMax"/>
          <c:max val="15"/>
          <c:min val="8"/>
        </c:scaling>
        <c:delete val="1"/>
        <c:axPos val="r"/>
        <c:majorGridlines>
          <c:spPr>
            <a:ln w="3175">
              <a:solidFill>
                <a:srgbClr val="000000"/>
              </a:solidFill>
              <a:prstDash val="solid"/>
            </a:ln>
          </c:spPr>
        </c:majorGridlines>
        <c:title>
          <c:tx>
            <c:rich>
              <a:bodyPr rot="0" vert="horz"/>
              <a:lstStyle/>
              <a:p>
                <a:pPr algn="ctr">
                  <a:defRPr sz="1025" b="1" i="0" u="none" strike="noStrike" baseline="0">
                    <a:solidFill>
                      <a:srgbClr val="000000"/>
                    </a:solidFill>
                    <a:latin typeface="Arial"/>
                    <a:ea typeface="Arial"/>
                    <a:cs typeface="Arial"/>
                  </a:defRPr>
                </a:pPr>
                <a:r>
                  <a:rPr lang="en-US"/>
                  <a:t>Trim</a:t>
                </a:r>
              </a:p>
            </c:rich>
          </c:tx>
          <c:layout>
            <c:manualLayout>
              <c:xMode val="edge"/>
              <c:yMode val="edge"/>
              <c:x val="2.7373041308718083E-2"/>
              <c:y val="0.8362406793059497"/>
            </c:manualLayout>
          </c:layout>
          <c:spPr>
            <a:noFill/>
            <a:ln w="25400">
              <a:noFill/>
            </a:ln>
          </c:spPr>
        </c:title>
        <c:numFmt formatCode="0.00" sourceLinked="1"/>
        <c:tickLblPos val="none"/>
        <c:crossAx val="59624064"/>
        <c:crosses val="autoZero"/>
        <c:crossBetween val="midCat"/>
        <c:majorUnit val="0.25"/>
        <c:minorUnit val="0.1"/>
      </c:valAx>
      <c:serAx>
        <c:axId val="59951744"/>
        <c:scaling>
          <c:orientation val="maxMin"/>
        </c:scaling>
        <c:axPos val="b"/>
        <c:title>
          <c:tx>
            <c:rich>
              <a:bodyPr/>
              <a:lstStyle/>
              <a:p>
                <a:pPr>
                  <a:defRPr sz="1025" b="1" i="0" u="none" strike="noStrike" baseline="0">
                    <a:solidFill>
                      <a:srgbClr val="000000"/>
                    </a:solidFill>
                    <a:latin typeface="Arial"/>
                    <a:ea typeface="Arial"/>
                    <a:cs typeface="Arial"/>
                  </a:defRPr>
                </a:pPr>
                <a:r>
                  <a:rPr lang="en-US"/>
                  <a:t>Load</a:t>
                </a:r>
              </a:p>
            </c:rich>
          </c:tx>
          <c:layout>
            <c:manualLayout>
              <c:xMode val="edge"/>
              <c:yMode val="edge"/>
              <c:x val="0.4262525449505728"/>
              <c:y val="0.89743340573132291"/>
            </c:manualLayout>
          </c:layout>
          <c:spPr>
            <a:noFill/>
            <a:ln w="25400">
              <a:noFill/>
            </a:ln>
          </c:spPr>
        </c:title>
        <c:numFmt formatCode="General" sourceLinked="1"/>
        <c:tickLblPos val="low"/>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en-US"/>
          </a:p>
        </c:txPr>
        <c:crossAx val="59966592"/>
        <c:crosses val="autoZero"/>
        <c:tickLblSkip val="1"/>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3.6497285701071566E-2"/>
          <c:y val="3.5598783630971645E-2"/>
          <c:w val="0.84595494357126555"/>
          <c:h val="0.83233346489557503"/>
        </c:manualLayout>
      </c:layout>
      <c:surface3DChart>
        <c:ser>
          <c:idx val="0"/>
          <c:order val="0"/>
          <c:tx>
            <c:strRef>
              <c:f>'Fuel - 18 Cell'!$W$28</c:f>
              <c:strCache>
                <c:ptCount val="1"/>
                <c:pt idx="0">
                  <c:v>10</c:v>
                </c:pt>
              </c:strCache>
            </c:strRef>
          </c:tx>
          <c:spPr>
            <a:solidFill>
              <a:srgbClr val="9999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Cell'!$W$29:$W$43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1"/>
          <c:order val="1"/>
          <c:tx>
            <c:strRef>
              <c:f>'Fuel - 18 Cell'!$X$28</c:f>
              <c:strCache>
                <c:ptCount val="1"/>
                <c:pt idx="0">
                  <c:v>20</c:v>
                </c:pt>
              </c:strCache>
            </c:strRef>
          </c:tx>
          <c:spPr>
            <a:solidFill>
              <a:srgbClr val="993366"/>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Cell'!$X$29:$X$43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2"/>
          <c:order val="2"/>
          <c:tx>
            <c:strRef>
              <c:f>'Fuel - 18 Cell'!$Y$28</c:f>
              <c:strCache>
                <c:ptCount val="1"/>
                <c:pt idx="0">
                  <c:v>30</c:v>
                </c:pt>
              </c:strCache>
            </c:strRef>
          </c:tx>
          <c:spPr>
            <a:solidFill>
              <a:srgbClr val="FFFFCC"/>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Cell'!$Y$29:$Y$43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3"/>
          <c:order val="3"/>
          <c:tx>
            <c:strRef>
              <c:f>'Fuel - 18 Cell'!$Z$28</c:f>
              <c:strCache>
                <c:ptCount val="1"/>
                <c:pt idx="0">
                  <c:v>40</c:v>
                </c:pt>
              </c:strCache>
            </c:strRef>
          </c:tx>
          <c:spPr>
            <a:solidFill>
              <a:srgbClr val="CCFF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Cell'!$Z$29:$Z$43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13.6348</c:v>
                </c:pt>
                <c:pt idx="13">
                  <c:v>13.44</c:v>
                </c:pt>
                <c:pt idx="14">
                  <c:v>13.44</c:v>
                </c:pt>
              </c:numCache>
            </c:numRef>
          </c:val>
        </c:ser>
        <c:ser>
          <c:idx val="4"/>
          <c:order val="4"/>
          <c:tx>
            <c:strRef>
              <c:f>'Fuel - 18 Cell'!$AA$28</c:f>
              <c:strCache>
                <c:ptCount val="1"/>
                <c:pt idx="0">
                  <c:v>50</c:v>
                </c:pt>
              </c:strCache>
            </c:strRef>
          </c:tx>
          <c:spPr>
            <a:solidFill>
              <a:srgbClr val="660066"/>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Cell'!$AA$29:$AA$43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14.473800000000001</c:v>
                </c:pt>
                <c:pt idx="11">
                  <c:v>13.937799999999999</c:v>
                </c:pt>
                <c:pt idx="12">
                  <c:v>13.2507</c:v>
                </c:pt>
                <c:pt idx="13">
                  <c:v>12.976599999999999</c:v>
                </c:pt>
                <c:pt idx="14">
                  <c:v>12.976599999999999</c:v>
                </c:pt>
              </c:numCache>
            </c:numRef>
          </c:val>
        </c:ser>
        <c:ser>
          <c:idx val="5"/>
          <c:order val="5"/>
          <c:tx>
            <c:strRef>
              <c:f>'Fuel - 18 Cell'!$AB$28</c:f>
              <c:strCache>
                <c:ptCount val="1"/>
                <c:pt idx="0">
                  <c:v>60</c:v>
                </c:pt>
              </c:strCache>
            </c:strRef>
          </c:tx>
          <c:spPr>
            <a:solidFill>
              <a:srgbClr val="FF808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Cell'!$AB$29:$AB$43</c:f>
              <c:numCache>
                <c:formatCode>0.00</c:formatCode>
                <c:ptCount val="15"/>
                <c:pt idx="0">
                  <c:v>13.3447</c:v>
                </c:pt>
                <c:pt idx="1">
                  <c:v>14.7</c:v>
                </c:pt>
                <c:pt idx="2">
                  <c:v>14.7</c:v>
                </c:pt>
                <c:pt idx="3">
                  <c:v>14.7</c:v>
                </c:pt>
                <c:pt idx="4">
                  <c:v>14.7</c:v>
                </c:pt>
                <c:pt idx="5">
                  <c:v>14.7</c:v>
                </c:pt>
                <c:pt idx="6">
                  <c:v>14.7</c:v>
                </c:pt>
                <c:pt idx="7">
                  <c:v>14.7</c:v>
                </c:pt>
                <c:pt idx="8">
                  <c:v>14.7</c:v>
                </c:pt>
                <c:pt idx="9">
                  <c:v>14.473800000000001</c:v>
                </c:pt>
                <c:pt idx="10">
                  <c:v>14.0418</c:v>
                </c:pt>
                <c:pt idx="11">
                  <c:v>13.44</c:v>
                </c:pt>
                <c:pt idx="12">
                  <c:v>12.7135</c:v>
                </c:pt>
                <c:pt idx="13">
                  <c:v>12.2182</c:v>
                </c:pt>
                <c:pt idx="14">
                  <c:v>12.2182</c:v>
                </c:pt>
              </c:numCache>
            </c:numRef>
          </c:val>
        </c:ser>
        <c:ser>
          <c:idx val="6"/>
          <c:order val="6"/>
          <c:tx>
            <c:strRef>
              <c:f>'Fuel - 18 Cell'!$AC$28</c:f>
              <c:strCache>
                <c:ptCount val="1"/>
                <c:pt idx="0">
                  <c:v>70</c:v>
                </c:pt>
              </c:strCache>
            </c:strRef>
          </c:tx>
          <c:spPr>
            <a:solidFill>
              <a:srgbClr val="0066CC"/>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Cell'!$AC$29:$AC$43</c:f>
              <c:numCache>
                <c:formatCode>0.00</c:formatCode>
                <c:ptCount val="15"/>
                <c:pt idx="0">
                  <c:v>13.3447</c:v>
                </c:pt>
                <c:pt idx="1">
                  <c:v>14.7</c:v>
                </c:pt>
                <c:pt idx="2">
                  <c:v>14.7</c:v>
                </c:pt>
                <c:pt idx="3">
                  <c:v>14.7</c:v>
                </c:pt>
                <c:pt idx="4">
                  <c:v>14.7</c:v>
                </c:pt>
                <c:pt idx="5">
                  <c:v>14.7</c:v>
                </c:pt>
                <c:pt idx="6">
                  <c:v>14.7</c:v>
                </c:pt>
                <c:pt idx="7">
                  <c:v>14.7</c:v>
                </c:pt>
                <c:pt idx="8">
                  <c:v>14.147399999999999</c:v>
                </c:pt>
                <c:pt idx="9">
                  <c:v>14.147399999999999</c:v>
                </c:pt>
                <c:pt idx="10">
                  <c:v>13.6348</c:v>
                </c:pt>
                <c:pt idx="11">
                  <c:v>12.7135</c:v>
                </c:pt>
                <c:pt idx="12">
                  <c:v>12.061500000000001</c:v>
                </c:pt>
                <c:pt idx="13">
                  <c:v>11.614800000000001</c:v>
                </c:pt>
                <c:pt idx="14">
                  <c:v>11.614800000000001</c:v>
                </c:pt>
              </c:numCache>
            </c:numRef>
          </c:val>
        </c:ser>
        <c:ser>
          <c:idx val="7"/>
          <c:order val="7"/>
          <c:tx>
            <c:strRef>
              <c:f>'Fuel - 18 Cell'!$AD$28</c:f>
              <c:strCache>
                <c:ptCount val="1"/>
                <c:pt idx="0">
                  <c:v>80</c:v>
                </c:pt>
              </c:strCache>
            </c:strRef>
          </c:tx>
          <c:spPr>
            <a:solidFill>
              <a:srgbClr val="CCCC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Cell'!$AD$29:$AD$43</c:f>
              <c:numCache>
                <c:formatCode>0.00</c:formatCode>
                <c:ptCount val="15"/>
                <c:pt idx="0">
                  <c:v>13.3447</c:v>
                </c:pt>
                <c:pt idx="1">
                  <c:v>14.7</c:v>
                </c:pt>
                <c:pt idx="2">
                  <c:v>14.7</c:v>
                </c:pt>
                <c:pt idx="3">
                  <c:v>14.7</c:v>
                </c:pt>
                <c:pt idx="4">
                  <c:v>14.7</c:v>
                </c:pt>
                <c:pt idx="5">
                  <c:v>14.7</c:v>
                </c:pt>
                <c:pt idx="6">
                  <c:v>14.7</c:v>
                </c:pt>
                <c:pt idx="7">
                  <c:v>14.7</c:v>
                </c:pt>
                <c:pt idx="8">
                  <c:v>13.734299999999999</c:v>
                </c:pt>
                <c:pt idx="9">
                  <c:v>13.44</c:v>
                </c:pt>
                <c:pt idx="10">
                  <c:v>12.8</c:v>
                </c:pt>
                <c:pt idx="11">
                  <c:v>11.834</c:v>
                </c:pt>
                <c:pt idx="12">
                  <c:v>11.4732</c:v>
                </c:pt>
                <c:pt idx="13">
                  <c:v>11.334899999999999</c:v>
                </c:pt>
                <c:pt idx="14">
                  <c:v>11.334899999999999</c:v>
                </c:pt>
              </c:numCache>
            </c:numRef>
          </c:val>
        </c:ser>
        <c:ser>
          <c:idx val="8"/>
          <c:order val="8"/>
          <c:tx>
            <c:strRef>
              <c:f>'Fuel - 18 Cell'!$AE$28</c:f>
              <c:strCache>
                <c:ptCount val="1"/>
                <c:pt idx="0">
                  <c:v>90</c:v>
                </c:pt>
              </c:strCache>
            </c:strRef>
          </c:tx>
          <c:spPr>
            <a:solidFill>
              <a:srgbClr val="00008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Cell'!$AE$29:$AE$43</c:f>
              <c:numCache>
                <c:formatCode>0.00</c:formatCode>
                <c:ptCount val="15"/>
                <c:pt idx="0">
                  <c:v>12.544</c:v>
                </c:pt>
                <c:pt idx="1">
                  <c:v>13.44</c:v>
                </c:pt>
                <c:pt idx="2">
                  <c:v>14.2545</c:v>
                </c:pt>
                <c:pt idx="3">
                  <c:v>14.2545</c:v>
                </c:pt>
                <c:pt idx="4">
                  <c:v>14.3634</c:v>
                </c:pt>
                <c:pt idx="5">
                  <c:v>14.3634</c:v>
                </c:pt>
                <c:pt idx="6">
                  <c:v>14.3634</c:v>
                </c:pt>
                <c:pt idx="7">
                  <c:v>14.147399999999999</c:v>
                </c:pt>
                <c:pt idx="8">
                  <c:v>13.44</c:v>
                </c:pt>
                <c:pt idx="9">
                  <c:v>12.8</c:v>
                </c:pt>
                <c:pt idx="10">
                  <c:v>12.2182</c:v>
                </c:pt>
                <c:pt idx="11">
                  <c:v>11.686999999999999</c:v>
                </c:pt>
                <c:pt idx="12">
                  <c:v>11.4732</c:v>
                </c:pt>
                <c:pt idx="13">
                  <c:v>11.267099999999999</c:v>
                </c:pt>
                <c:pt idx="14">
                  <c:v>11.267099999999999</c:v>
                </c:pt>
              </c:numCache>
            </c:numRef>
          </c:val>
        </c:ser>
        <c:ser>
          <c:idx val="9"/>
          <c:order val="9"/>
          <c:tx>
            <c:strRef>
              <c:f>'Fuel - 18 Cell'!$AF$28</c:f>
              <c:strCache>
                <c:ptCount val="1"/>
                <c:pt idx="0">
                  <c:v>100</c:v>
                </c:pt>
              </c:strCache>
            </c:strRef>
          </c:tx>
          <c:spPr>
            <a:solidFill>
              <a:srgbClr val="FF00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Cell'!$AF$29:$AF$43</c:f>
              <c:numCache>
                <c:formatCode>0.00</c:formatCode>
                <c:ptCount val="15"/>
                <c:pt idx="0">
                  <c:v>12.544</c:v>
                </c:pt>
                <c:pt idx="1">
                  <c:v>13.44</c:v>
                </c:pt>
                <c:pt idx="2">
                  <c:v>13.8353</c:v>
                </c:pt>
                <c:pt idx="3">
                  <c:v>13.8353</c:v>
                </c:pt>
                <c:pt idx="4">
                  <c:v>14.147399999999999</c:v>
                </c:pt>
                <c:pt idx="5">
                  <c:v>14.147399999999999</c:v>
                </c:pt>
                <c:pt idx="6">
                  <c:v>14.147399999999999</c:v>
                </c:pt>
                <c:pt idx="7">
                  <c:v>13.6348</c:v>
                </c:pt>
                <c:pt idx="8">
                  <c:v>12.8</c:v>
                </c:pt>
                <c:pt idx="9">
                  <c:v>12.2182</c:v>
                </c:pt>
                <c:pt idx="10">
                  <c:v>11.908899999999999</c:v>
                </c:pt>
                <c:pt idx="11">
                  <c:v>11.4732</c:v>
                </c:pt>
                <c:pt idx="12">
                  <c:v>11.334899999999999</c:v>
                </c:pt>
                <c:pt idx="13">
                  <c:v>11.2</c:v>
                </c:pt>
                <c:pt idx="14">
                  <c:v>11.2</c:v>
                </c:pt>
              </c:numCache>
            </c:numRef>
          </c:val>
        </c:ser>
        <c:ser>
          <c:idx val="10"/>
          <c:order val="10"/>
          <c:tx>
            <c:strRef>
              <c:f>'Fuel - 18 Cell'!$AG$28</c:f>
              <c:strCache>
                <c:ptCount val="1"/>
                <c:pt idx="0">
                  <c:v>120</c:v>
                </c:pt>
              </c:strCache>
            </c:strRef>
          </c:tx>
          <c:spPr>
            <a:solidFill>
              <a:srgbClr val="FFFF0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Cell'!$AG$29:$AG$43</c:f>
              <c:numCache>
                <c:formatCode>0.00</c:formatCode>
                <c:ptCount val="15"/>
                <c:pt idx="0">
                  <c:v>12.298</c:v>
                </c:pt>
                <c:pt idx="1">
                  <c:v>13.157999999999999</c:v>
                </c:pt>
                <c:pt idx="2">
                  <c:v>13.157999999999999</c:v>
                </c:pt>
                <c:pt idx="3">
                  <c:v>13.44</c:v>
                </c:pt>
                <c:pt idx="4">
                  <c:v>13.8353</c:v>
                </c:pt>
                <c:pt idx="5">
                  <c:v>14.0418</c:v>
                </c:pt>
                <c:pt idx="6">
                  <c:v>13.44</c:v>
                </c:pt>
                <c:pt idx="7">
                  <c:v>12.460900000000001</c:v>
                </c:pt>
                <c:pt idx="8">
                  <c:v>12.061500000000001</c:v>
                </c:pt>
                <c:pt idx="9">
                  <c:v>11.834</c:v>
                </c:pt>
                <c:pt idx="10">
                  <c:v>11.614800000000001</c:v>
                </c:pt>
                <c:pt idx="11">
                  <c:v>11.267099999999999</c:v>
                </c:pt>
                <c:pt idx="12">
                  <c:v>11.068199999999999</c:v>
                </c:pt>
                <c:pt idx="13">
                  <c:v>10.939500000000001</c:v>
                </c:pt>
                <c:pt idx="14">
                  <c:v>10.939500000000001</c:v>
                </c:pt>
              </c:numCache>
            </c:numRef>
          </c:val>
        </c:ser>
        <c:ser>
          <c:idx val="11"/>
          <c:order val="11"/>
          <c:tx>
            <c:strRef>
              <c:f>'Fuel - 18 Cell'!$AH$28</c:f>
              <c:strCache>
                <c:ptCount val="1"/>
                <c:pt idx="0">
                  <c:v>140</c:v>
                </c:pt>
              </c:strCache>
            </c:strRef>
          </c:tx>
          <c:spPr>
            <a:solidFill>
              <a:srgbClr val="00FF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Cell'!$AH$29:$AH$43</c:f>
              <c:numCache>
                <c:formatCode>0.00</c:formatCode>
                <c:ptCount val="15"/>
                <c:pt idx="0">
                  <c:v>12.061500000000001</c:v>
                </c:pt>
                <c:pt idx="1">
                  <c:v>12.8</c:v>
                </c:pt>
                <c:pt idx="2">
                  <c:v>12.976599999999999</c:v>
                </c:pt>
                <c:pt idx="3">
                  <c:v>13.066700000000001</c:v>
                </c:pt>
                <c:pt idx="4">
                  <c:v>13.44</c:v>
                </c:pt>
                <c:pt idx="5">
                  <c:v>13.2507</c:v>
                </c:pt>
                <c:pt idx="6">
                  <c:v>12.2182</c:v>
                </c:pt>
                <c:pt idx="7">
                  <c:v>11.614800000000001</c:v>
                </c:pt>
                <c:pt idx="8">
                  <c:v>11.4732</c:v>
                </c:pt>
                <c:pt idx="9">
                  <c:v>11.4732</c:v>
                </c:pt>
                <c:pt idx="10">
                  <c:v>10.939500000000001</c:v>
                </c:pt>
                <c:pt idx="11">
                  <c:v>10.876300000000001</c:v>
                </c:pt>
                <c:pt idx="12">
                  <c:v>10.690899999999999</c:v>
                </c:pt>
                <c:pt idx="13">
                  <c:v>10.5708</c:v>
                </c:pt>
                <c:pt idx="14">
                  <c:v>10.5708</c:v>
                </c:pt>
              </c:numCache>
            </c:numRef>
          </c:val>
        </c:ser>
        <c:ser>
          <c:idx val="12"/>
          <c:order val="12"/>
          <c:tx>
            <c:strRef>
              <c:f>'Fuel - 18 Cell'!$AI$28</c:f>
              <c:strCache>
                <c:ptCount val="1"/>
                <c:pt idx="0">
                  <c:v>160</c:v>
                </c:pt>
              </c:strCache>
            </c:strRef>
          </c:tx>
          <c:spPr>
            <a:solidFill>
              <a:srgbClr val="80008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Cell'!$AI$29:$AI$43</c:f>
              <c:numCache>
                <c:formatCode>0.00</c:formatCode>
                <c:ptCount val="15"/>
                <c:pt idx="0">
                  <c:v>11.834</c:v>
                </c:pt>
                <c:pt idx="1">
                  <c:v>12.544</c:v>
                </c:pt>
                <c:pt idx="2">
                  <c:v>12.8</c:v>
                </c:pt>
                <c:pt idx="3">
                  <c:v>12.8</c:v>
                </c:pt>
                <c:pt idx="4">
                  <c:v>13.157999999999999</c:v>
                </c:pt>
                <c:pt idx="5">
                  <c:v>11.76</c:v>
                </c:pt>
                <c:pt idx="6">
                  <c:v>11.4732</c:v>
                </c:pt>
                <c:pt idx="7">
                  <c:v>11.2</c:v>
                </c:pt>
                <c:pt idx="8">
                  <c:v>11.068199999999999</c:v>
                </c:pt>
                <c:pt idx="9">
                  <c:v>10.939500000000001</c:v>
                </c:pt>
                <c:pt idx="10">
                  <c:v>10.6305</c:v>
                </c:pt>
                <c:pt idx="11">
                  <c:v>10.5708</c:v>
                </c:pt>
                <c:pt idx="12">
                  <c:v>10.3956</c:v>
                </c:pt>
                <c:pt idx="13">
                  <c:v>10.282</c:v>
                </c:pt>
                <c:pt idx="14">
                  <c:v>10.282</c:v>
                </c:pt>
              </c:numCache>
            </c:numRef>
          </c:val>
        </c:ser>
        <c:ser>
          <c:idx val="13"/>
          <c:order val="13"/>
          <c:tx>
            <c:strRef>
              <c:f>'Fuel - 18 Cell'!$AJ$28</c:f>
              <c:strCache>
                <c:ptCount val="1"/>
                <c:pt idx="0">
                  <c:v>180</c:v>
                </c:pt>
              </c:strCache>
            </c:strRef>
          </c:tx>
          <c:spPr>
            <a:solidFill>
              <a:srgbClr val="80000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Cell'!$AJ$29:$AJ$43</c:f>
              <c:numCache>
                <c:formatCode>0.00</c:formatCode>
                <c:ptCount val="15"/>
                <c:pt idx="0">
                  <c:v>11.614800000000001</c:v>
                </c:pt>
                <c:pt idx="1">
                  <c:v>12.298</c:v>
                </c:pt>
                <c:pt idx="2">
                  <c:v>12.544</c:v>
                </c:pt>
                <c:pt idx="3">
                  <c:v>12.6282</c:v>
                </c:pt>
                <c:pt idx="4">
                  <c:v>12.976599999999999</c:v>
                </c:pt>
                <c:pt idx="5">
                  <c:v>11.334899999999999</c:v>
                </c:pt>
                <c:pt idx="6">
                  <c:v>10.876300000000001</c:v>
                </c:pt>
                <c:pt idx="7">
                  <c:v>10.752000000000001</c:v>
                </c:pt>
                <c:pt idx="8">
                  <c:v>10.813800000000001</c:v>
                </c:pt>
                <c:pt idx="9">
                  <c:v>10.5708</c:v>
                </c:pt>
                <c:pt idx="10">
                  <c:v>10.3385</c:v>
                </c:pt>
                <c:pt idx="11">
                  <c:v>10.282</c:v>
                </c:pt>
                <c:pt idx="12">
                  <c:v>10.116099999999999</c:v>
                </c:pt>
                <c:pt idx="13">
                  <c:v>9.9031599999999997</c:v>
                </c:pt>
                <c:pt idx="14">
                  <c:v>9.9031599999999997</c:v>
                </c:pt>
              </c:numCache>
            </c:numRef>
          </c:val>
        </c:ser>
        <c:ser>
          <c:idx val="14"/>
          <c:order val="14"/>
          <c:tx>
            <c:strRef>
              <c:f>'Fuel - 18 Cell'!$AK$28</c:f>
              <c:strCache>
                <c:ptCount val="1"/>
                <c:pt idx="0">
                  <c:v>200</c:v>
                </c:pt>
              </c:strCache>
            </c:strRef>
          </c:tx>
          <c:spPr>
            <a:solidFill>
              <a:srgbClr val="00808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Cell'!$AK$29:$AK$43</c:f>
              <c:numCache>
                <c:formatCode>0.00</c:formatCode>
                <c:ptCount val="15"/>
                <c:pt idx="0">
                  <c:v>11.403600000000001</c:v>
                </c:pt>
                <c:pt idx="1">
                  <c:v>12.061500000000001</c:v>
                </c:pt>
                <c:pt idx="2">
                  <c:v>12.298</c:v>
                </c:pt>
                <c:pt idx="3">
                  <c:v>12.3789</c:v>
                </c:pt>
                <c:pt idx="4">
                  <c:v>12.7135</c:v>
                </c:pt>
                <c:pt idx="5">
                  <c:v>11.068199999999999</c:v>
                </c:pt>
                <c:pt idx="6">
                  <c:v>10.813800000000001</c:v>
                </c:pt>
                <c:pt idx="7">
                  <c:v>10.6305</c:v>
                </c:pt>
                <c:pt idx="8">
                  <c:v>10.752000000000001</c:v>
                </c:pt>
                <c:pt idx="9">
                  <c:v>10.4533</c:v>
                </c:pt>
                <c:pt idx="10">
                  <c:v>10.1708</c:v>
                </c:pt>
                <c:pt idx="11">
                  <c:v>9.9555600000000002</c:v>
                </c:pt>
                <c:pt idx="12">
                  <c:v>9.9031599999999997</c:v>
                </c:pt>
                <c:pt idx="13">
                  <c:v>9.6</c:v>
                </c:pt>
                <c:pt idx="14">
                  <c:v>9.6</c:v>
                </c:pt>
              </c:numCache>
            </c:numRef>
          </c:val>
        </c:ser>
        <c:ser>
          <c:idx val="15"/>
          <c:order val="15"/>
          <c:tx>
            <c:strRef>
              <c:f>'Fuel - 18 Cell'!$AL$28</c:f>
              <c:strCache>
                <c:ptCount val="1"/>
                <c:pt idx="0">
                  <c:v>220</c:v>
                </c:pt>
              </c:strCache>
            </c:strRef>
          </c:tx>
          <c:spPr>
            <a:solidFill>
              <a:srgbClr val="0000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Cell'!$AL$29:$AL$43</c:f>
              <c:numCache>
                <c:formatCode>0.00</c:formatCode>
                <c:ptCount val="15"/>
                <c:pt idx="0">
                  <c:v>11.2</c:v>
                </c:pt>
                <c:pt idx="1">
                  <c:v>11.834</c:v>
                </c:pt>
                <c:pt idx="2">
                  <c:v>12.061500000000001</c:v>
                </c:pt>
                <c:pt idx="3">
                  <c:v>12.1394</c:v>
                </c:pt>
                <c:pt idx="4">
                  <c:v>12.460900000000001</c:v>
                </c:pt>
                <c:pt idx="5">
                  <c:v>10.939500000000001</c:v>
                </c:pt>
                <c:pt idx="6">
                  <c:v>10.752000000000001</c:v>
                </c:pt>
                <c:pt idx="7">
                  <c:v>10.5708</c:v>
                </c:pt>
                <c:pt idx="8">
                  <c:v>10.5708</c:v>
                </c:pt>
                <c:pt idx="9">
                  <c:v>10.3956</c:v>
                </c:pt>
                <c:pt idx="10">
                  <c:v>10.061999999999999</c:v>
                </c:pt>
                <c:pt idx="11">
                  <c:v>9.8000000000000007</c:v>
                </c:pt>
                <c:pt idx="12">
                  <c:v>9.8000000000000007</c:v>
                </c:pt>
                <c:pt idx="13">
                  <c:v>9.6</c:v>
                </c:pt>
                <c:pt idx="14">
                  <c:v>9.6</c:v>
                </c:pt>
              </c:numCache>
            </c:numRef>
          </c:val>
        </c:ser>
        <c:ser>
          <c:idx val="16"/>
          <c:order val="16"/>
          <c:tx>
            <c:strRef>
              <c:f>'Fuel - 18 Cell'!$AM$28</c:f>
              <c:strCache>
                <c:ptCount val="1"/>
                <c:pt idx="0">
                  <c:v>240</c:v>
                </c:pt>
              </c:strCache>
            </c:strRef>
          </c:tx>
          <c:spPr>
            <a:solidFill>
              <a:srgbClr val="00CC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Cell'!$AM$29:$AM$43</c:f>
              <c:numCache>
                <c:formatCode>0.00</c:formatCode>
                <c:ptCount val="15"/>
                <c:pt idx="0">
                  <c:v>11.003500000000001</c:v>
                </c:pt>
                <c:pt idx="1">
                  <c:v>11.614800000000001</c:v>
                </c:pt>
                <c:pt idx="2">
                  <c:v>11.834</c:v>
                </c:pt>
                <c:pt idx="3">
                  <c:v>11.908899999999999</c:v>
                </c:pt>
                <c:pt idx="4">
                  <c:v>12.2182</c:v>
                </c:pt>
                <c:pt idx="5">
                  <c:v>10.752000000000001</c:v>
                </c:pt>
                <c:pt idx="6">
                  <c:v>10.5708</c:v>
                </c:pt>
                <c:pt idx="7">
                  <c:v>10.3956</c:v>
                </c:pt>
                <c:pt idx="8">
                  <c:v>10.3956</c:v>
                </c:pt>
                <c:pt idx="9">
                  <c:v>10.226100000000001</c:v>
                </c:pt>
                <c:pt idx="10">
                  <c:v>9.9031599999999997</c:v>
                </c:pt>
                <c:pt idx="11">
                  <c:v>9.6492299999999993</c:v>
                </c:pt>
                <c:pt idx="12">
                  <c:v>9.6492299999999993</c:v>
                </c:pt>
                <c:pt idx="13">
                  <c:v>9.6</c:v>
                </c:pt>
                <c:pt idx="14">
                  <c:v>9.6</c:v>
                </c:pt>
              </c:numCache>
            </c:numRef>
          </c:val>
        </c:ser>
        <c:ser>
          <c:idx val="17"/>
          <c:order val="17"/>
          <c:tx>
            <c:strRef>
              <c:f>'Fuel - 18 Cell'!$AN$28</c:f>
              <c:strCache>
                <c:ptCount val="1"/>
                <c:pt idx="0">
                  <c:v>260</c:v>
                </c:pt>
              </c:strCache>
            </c:strRef>
          </c:tx>
          <c:spPr>
            <a:solidFill>
              <a:srgbClr val="CCFF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Cell'!$AN$29:$AN$43</c:f>
              <c:numCache>
                <c:formatCode>0.00</c:formatCode>
                <c:ptCount val="15"/>
                <c:pt idx="0">
                  <c:v>10.813800000000001</c:v>
                </c:pt>
                <c:pt idx="1">
                  <c:v>11.4732</c:v>
                </c:pt>
                <c:pt idx="2">
                  <c:v>11.614800000000001</c:v>
                </c:pt>
                <c:pt idx="3">
                  <c:v>11.686999999999999</c:v>
                </c:pt>
                <c:pt idx="4">
                  <c:v>11.9847</c:v>
                </c:pt>
                <c:pt idx="5">
                  <c:v>10.5708</c:v>
                </c:pt>
                <c:pt idx="6">
                  <c:v>10.511699999999999</c:v>
                </c:pt>
                <c:pt idx="7">
                  <c:v>10.226100000000001</c:v>
                </c:pt>
                <c:pt idx="8">
                  <c:v>10.226100000000001</c:v>
                </c:pt>
                <c:pt idx="9">
                  <c:v>10.061999999999999</c:v>
                </c:pt>
                <c:pt idx="10">
                  <c:v>9.8000000000000007</c:v>
                </c:pt>
                <c:pt idx="11">
                  <c:v>9.6</c:v>
                </c:pt>
                <c:pt idx="12">
                  <c:v>9.6</c:v>
                </c:pt>
                <c:pt idx="13">
                  <c:v>9.6</c:v>
                </c:pt>
                <c:pt idx="14">
                  <c:v>9.6</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66092416"/>
        <c:axId val="66098688"/>
        <c:axId val="66068480"/>
      </c:surface3DChart>
      <c:catAx>
        <c:axId val="66092416"/>
        <c:scaling>
          <c:orientation val="maxMin"/>
        </c:scaling>
        <c:axPos val="b"/>
        <c:title>
          <c:tx>
            <c:rich>
              <a:bodyPr rot="5400000" vert="horz"/>
              <a:lstStyle/>
              <a:p>
                <a:pPr algn="ctr">
                  <a:defRPr sz="1025" b="1" i="0" u="none" strike="noStrike" baseline="0">
                    <a:solidFill>
                      <a:srgbClr val="000000"/>
                    </a:solidFill>
                    <a:latin typeface="Arial"/>
                    <a:ea typeface="Arial"/>
                    <a:cs typeface="Arial"/>
                  </a:defRPr>
                </a:pPr>
                <a:r>
                  <a:rPr lang="en-US"/>
                  <a:t>RPM</a:t>
                </a:r>
              </a:p>
            </c:rich>
          </c:tx>
          <c:layout>
            <c:manualLayout>
              <c:xMode val="edge"/>
              <c:yMode val="edge"/>
              <c:x val="0.92143822781994111"/>
              <c:y val="0.41170629240278361"/>
            </c:manualLayout>
          </c:layout>
          <c:spPr>
            <a:noFill/>
            <a:ln w="25400">
              <a:noFill/>
            </a:ln>
          </c:spPr>
        </c:title>
        <c:numFmt formatCode="General" sourceLinked="1"/>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6098688"/>
        <c:crosses val="autoZero"/>
        <c:auto val="1"/>
        <c:lblAlgn val="ctr"/>
        <c:lblOffset val="100"/>
        <c:tickLblSkip val="1"/>
        <c:tickMarkSkip val="1"/>
        <c:noMultiLvlLbl val="1"/>
      </c:catAx>
      <c:valAx>
        <c:axId val="66098688"/>
        <c:scaling>
          <c:orientation val="minMax"/>
          <c:max val="15"/>
          <c:min val="8"/>
        </c:scaling>
        <c:delete val="1"/>
        <c:axPos val="r"/>
        <c:majorGridlines>
          <c:spPr>
            <a:ln w="3175">
              <a:solidFill>
                <a:srgbClr val="000000"/>
              </a:solidFill>
              <a:prstDash val="solid"/>
            </a:ln>
          </c:spPr>
        </c:majorGridlines>
        <c:title>
          <c:tx>
            <c:rich>
              <a:bodyPr rot="0" vert="horz"/>
              <a:lstStyle/>
              <a:p>
                <a:pPr algn="ctr">
                  <a:defRPr sz="1025" b="1" i="0" u="none" strike="noStrike" baseline="0">
                    <a:solidFill>
                      <a:srgbClr val="000000"/>
                    </a:solidFill>
                    <a:latin typeface="Arial"/>
                    <a:ea typeface="Arial"/>
                    <a:cs typeface="Arial"/>
                  </a:defRPr>
                </a:pPr>
                <a:r>
                  <a:rPr lang="en-US"/>
                  <a:t>Trim</a:t>
                </a:r>
              </a:p>
            </c:rich>
          </c:tx>
          <c:layout>
            <c:manualLayout>
              <c:xMode val="edge"/>
              <c:yMode val="edge"/>
              <c:x val="1.6945217245497513E-2"/>
              <c:y val="0.84080942212731913"/>
            </c:manualLayout>
          </c:layout>
          <c:spPr>
            <a:noFill/>
            <a:ln w="25400">
              <a:noFill/>
            </a:ln>
          </c:spPr>
        </c:title>
        <c:numFmt formatCode="0.00" sourceLinked="1"/>
        <c:tickLblPos val="none"/>
        <c:crossAx val="66092416"/>
        <c:crosses val="autoZero"/>
        <c:crossBetween val="midCat"/>
        <c:majorUnit val="0.25"/>
        <c:minorUnit val="0.1"/>
      </c:valAx>
      <c:serAx>
        <c:axId val="66068480"/>
        <c:scaling>
          <c:orientation val="maxMin"/>
        </c:scaling>
        <c:axPos val="b"/>
        <c:title>
          <c:tx>
            <c:rich>
              <a:bodyPr/>
              <a:lstStyle/>
              <a:p>
                <a:pPr>
                  <a:defRPr sz="1025" b="1" i="0" u="none" strike="noStrike" baseline="0">
                    <a:solidFill>
                      <a:srgbClr val="000000"/>
                    </a:solidFill>
                    <a:latin typeface="Arial"/>
                    <a:ea typeface="Arial"/>
                    <a:cs typeface="Arial"/>
                  </a:defRPr>
                </a:pPr>
                <a:r>
                  <a:rPr lang="en-US"/>
                  <a:t>Load</a:t>
                </a:r>
              </a:p>
            </c:rich>
          </c:tx>
          <c:layout>
            <c:manualLayout>
              <c:xMode val="edge"/>
              <c:yMode val="edge"/>
              <c:x val="0.43145003712867075"/>
              <c:y val="0.92387317051470264"/>
            </c:manualLayout>
          </c:layout>
          <c:spPr>
            <a:noFill/>
            <a:ln w="25400">
              <a:noFill/>
            </a:ln>
          </c:spPr>
        </c:title>
        <c:numFmt formatCode="General" sourceLinked="1"/>
        <c:tickLblPos val="low"/>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en-US"/>
          </a:p>
        </c:txPr>
        <c:crossAx val="66098688"/>
        <c:crosses val="autoZero"/>
        <c:tickLblSkip val="1"/>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2.8676438765127651E-2"/>
          <c:y val="3.601504437034124E-2"/>
          <c:w val="0.85377579050720964"/>
          <c:h val="0.8300610226307219"/>
        </c:manualLayout>
      </c:layout>
      <c:surface3DChart>
        <c:ser>
          <c:idx val="0"/>
          <c:order val="0"/>
          <c:tx>
            <c:strRef>
              <c:f>'Fuel - 18 Cell'!$W$5</c:f>
              <c:strCache>
                <c:ptCount val="1"/>
                <c:pt idx="0">
                  <c:v>10</c:v>
                </c:pt>
              </c:strCache>
            </c:strRef>
          </c:tx>
          <c:spPr>
            <a:solidFill>
              <a:srgbClr val="9999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Cell'!$W$6:$W$20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14.7</c:v>
                </c:pt>
                <c:pt idx="11">
                  <c:v>14.363358778625953</c:v>
                </c:pt>
                <c:pt idx="12">
                  <c:v>14.147368421052631</c:v>
                </c:pt>
                <c:pt idx="13">
                  <c:v>14.041791044776119</c:v>
                </c:pt>
                <c:pt idx="14">
                  <c:v>14.041791044776119</c:v>
                </c:pt>
              </c:numCache>
            </c:numRef>
          </c:val>
        </c:ser>
        <c:ser>
          <c:idx val="1"/>
          <c:order val="1"/>
          <c:tx>
            <c:strRef>
              <c:f>'Fuel - 18 Cell'!$X$5</c:f>
              <c:strCache>
                <c:ptCount val="1"/>
                <c:pt idx="0">
                  <c:v>20</c:v>
                </c:pt>
              </c:strCache>
            </c:strRef>
          </c:tx>
          <c:spPr>
            <a:solidFill>
              <a:srgbClr val="993366"/>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Cell'!$X$6:$X$20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14.7</c:v>
                </c:pt>
                <c:pt idx="11">
                  <c:v>14.363358778625953</c:v>
                </c:pt>
                <c:pt idx="12">
                  <c:v>14.147368421052631</c:v>
                </c:pt>
                <c:pt idx="13">
                  <c:v>14.041791044776119</c:v>
                </c:pt>
                <c:pt idx="14">
                  <c:v>14.041791044776119</c:v>
                </c:pt>
              </c:numCache>
            </c:numRef>
          </c:val>
        </c:ser>
        <c:ser>
          <c:idx val="2"/>
          <c:order val="2"/>
          <c:tx>
            <c:strRef>
              <c:f>'Fuel - 18 Cell'!$Y$5</c:f>
              <c:strCache>
                <c:ptCount val="1"/>
                <c:pt idx="0">
                  <c:v>30</c:v>
                </c:pt>
              </c:strCache>
            </c:strRef>
          </c:tx>
          <c:spPr>
            <a:solidFill>
              <a:srgbClr val="FFFFCC"/>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Cell'!$Y$6:$Y$20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14.7</c:v>
                </c:pt>
                <c:pt idx="11">
                  <c:v>14.363358778625953</c:v>
                </c:pt>
                <c:pt idx="12">
                  <c:v>14.041791044776119</c:v>
                </c:pt>
                <c:pt idx="13">
                  <c:v>13.937777777777777</c:v>
                </c:pt>
                <c:pt idx="14">
                  <c:v>13.937777777777777</c:v>
                </c:pt>
              </c:numCache>
            </c:numRef>
          </c:val>
        </c:ser>
        <c:ser>
          <c:idx val="3"/>
          <c:order val="3"/>
          <c:tx>
            <c:strRef>
              <c:f>'Fuel - 18 Cell'!$Z$5</c:f>
              <c:strCache>
                <c:ptCount val="1"/>
                <c:pt idx="0">
                  <c:v>40</c:v>
                </c:pt>
              </c:strCache>
            </c:strRef>
          </c:tx>
          <c:spPr>
            <a:solidFill>
              <a:srgbClr val="CCFF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Cell'!$Z$6:$Z$20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14.7</c:v>
                </c:pt>
                <c:pt idx="11">
                  <c:v>14.254545454545454</c:v>
                </c:pt>
                <c:pt idx="12">
                  <c:v>13.734306569343065</c:v>
                </c:pt>
                <c:pt idx="13">
                  <c:v>13.536690647482013</c:v>
                </c:pt>
                <c:pt idx="14">
                  <c:v>13.44</c:v>
                </c:pt>
              </c:numCache>
            </c:numRef>
          </c:val>
        </c:ser>
        <c:ser>
          <c:idx val="4"/>
          <c:order val="4"/>
          <c:tx>
            <c:strRef>
              <c:f>'Fuel - 18 Cell'!$AA$5</c:f>
              <c:strCache>
                <c:ptCount val="1"/>
                <c:pt idx="0">
                  <c:v>50</c:v>
                </c:pt>
              </c:strCache>
            </c:strRef>
          </c:tx>
          <c:spPr>
            <a:solidFill>
              <a:srgbClr val="660066"/>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Cell'!$AA$6:$AA$20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14.363358778625953</c:v>
                </c:pt>
                <c:pt idx="11">
                  <c:v>13.835294117647058</c:v>
                </c:pt>
                <c:pt idx="12">
                  <c:v>13.250704225352113</c:v>
                </c:pt>
                <c:pt idx="13">
                  <c:v>12.976551724137931</c:v>
                </c:pt>
                <c:pt idx="14">
                  <c:v>12.887671232876711</c:v>
                </c:pt>
              </c:numCache>
            </c:numRef>
          </c:val>
        </c:ser>
        <c:ser>
          <c:idx val="5"/>
          <c:order val="5"/>
          <c:tx>
            <c:strRef>
              <c:f>'Fuel - 18 Cell'!$AB$5</c:f>
              <c:strCache>
                <c:ptCount val="1"/>
                <c:pt idx="0">
                  <c:v>60</c:v>
                </c:pt>
              </c:strCache>
            </c:strRef>
          </c:tx>
          <c:spPr>
            <a:solidFill>
              <a:srgbClr val="FF808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Cell'!$AB$6:$AB$20</c:f>
              <c:numCache>
                <c:formatCode>0.00</c:formatCode>
                <c:ptCount val="15"/>
                <c:pt idx="0">
                  <c:v>13.634782608695652</c:v>
                </c:pt>
                <c:pt idx="1">
                  <c:v>14.7</c:v>
                </c:pt>
                <c:pt idx="2">
                  <c:v>14.7</c:v>
                </c:pt>
                <c:pt idx="3">
                  <c:v>14.7</c:v>
                </c:pt>
                <c:pt idx="4">
                  <c:v>14.7</c:v>
                </c:pt>
                <c:pt idx="5">
                  <c:v>14.7</c:v>
                </c:pt>
                <c:pt idx="6">
                  <c:v>14.7</c:v>
                </c:pt>
                <c:pt idx="7">
                  <c:v>14.7</c:v>
                </c:pt>
                <c:pt idx="8">
                  <c:v>14.7</c:v>
                </c:pt>
                <c:pt idx="9">
                  <c:v>14.363358778625953</c:v>
                </c:pt>
                <c:pt idx="10">
                  <c:v>13.937777777777777</c:v>
                </c:pt>
                <c:pt idx="11">
                  <c:v>13.34468085106383</c:v>
                </c:pt>
                <c:pt idx="12">
                  <c:v>12.713513513513513</c:v>
                </c:pt>
                <c:pt idx="13">
                  <c:v>12.298039215686273</c:v>
                </c:pt>
                <c:pt idx="14">
                  <c:v>12.218181818181817</c:v>
                </c:pt>
              </c:numCache>
            </c:numRef>
          </c:val>
        </c:ser>
        <c:ser>
          <c:idx val="6"/>
          <c:order val="6"/>
          <c:tx>
            <c:strRef>
              <c:f>'Fuel - 18 Cell'!$AC$5</c:f>
              <c:strCache>
                <c:ptCount val="1"/>
                <c:pt idx="0">
                  <c:v>70</c:v>
                </c:pt>
              </c:strCache>
            </c:strRef>
          </c:tx>
          <c:spPr>
            <a:solidFill>
              <a:srgbClr val="0066CC"/>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Cell'!$AC$6:$AC$20</c:f>
              <c:numCache>
                <c:formatCode>0.00</c:formatCode>
                <c:ptCount val="15"/>
                <c:pt idx="0">
                  <c:v>13.634782608695652</c:v>
                </c:pt>
                <c:pt idx="1">
                  <c:v>14.7</c:v>
                </c:pt>
                <c:pt idx="2">
                  <c:v>14.7</c:v>
                </c:pt>
                <c:pt idx="3">
                  <c:v>14.7</c:v>
                </c:pt>
                <c:pt idx="4">
                  <c:v>14.7</c:v>
                </c:pt>
                <c:pt idx="5">
                  <c:v>14.7</c:v>
                </c:pt>
                <c:pt idx="6">
                  <c:v>14.7</c:v>
                </c:pt>
                <c:pt idx="7">
                  <c:v>14.7</c:v>
                </c:pt>
                <c:pt idx="8">
                  <c:v>14.254545454545454</c:v>
                </c:pt>
                <c:pt idx="9">
                  <c:v>13.937777777777777</c:v>
                </c:pt>
                <c:pt idx="10">
                  <c:v>13.44</c:v>
                </c:pt>
                <c:pt idx="11">
                  <c:v>12.713513513513513</c:v>
                </c:pt>
                <c:pt idx="12">
                  <c:v>12.139354838709677</c:v>
                </c:pt>
                <c:pt idx="13">
                  <c:v>11.76</c:v>
                </c:pt>
                <c:pt idx="14">
                  <c:v>11.68695652173913</c:v>
                </c:pt>
              </c:numCache>
            </c:numRef>
          </c:val>
        </c:ser>
        <c:ser>
          <c:idx val="7"/>
          <c:order val="7"/>
          <c:tx>
            <c:strRef>
              <c:f>'Fuel - 18 Cell'!$AD$5</c:f>
              <c:strCache>
                <c:ptCount val="1"/>
                <c:pt idx="0">
                  <c:v>80</c:v>
                </c:pt>
              </c:strCache>
            </c:strRef>
          </c:tx>
          <c:spPr>
            <a:solidFill>
              <a:srgbClr val="CCCC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Cell'!$AD$6:$AD$20</c:f>
              <c:numCache>
                <c:formatCode>0.00</c:formatCode>
                <c:ptCount val="15"/>
                <c:pt idx="0">
                  <c:v>13.536690647482013</c:v>
                </c:pt>
                <c:pt idx="1">
                  <c:v>14.7</c:v>
                </c:pt>
                <c:pt idx="2">
                  <c:v>14.7</c:v>
                </c:pt>
                <c:pt idx="3">
                  <c:v>14.7</c:v>
                </c:pt>
                <c:pt idx="4">
                  <c:v>14.7</c:v>
                </c:pt>
                <c:pt idx="5">
                  <c:v>14.7</c:v>
                </c:pt>
                <c:pt idx="6">
                  <c:v>14.7</c:v>
                </c:pt>
                <c:pt idx="7">
                  <c:v>14.7</c:v>
                </c:pt>
                <c:pt idx="8">
                  <c:v>13.835294117647058</c:v>
                </c:pt>
                <c:pt idx="9">
                  <c:v>13.34468085106383</c:v>
                </c:pt>
                <c:pt idx="10">
                  <c:v>12.799999999999999</c:v>
                </c:pt>
                <c:pt idx="11">
                  <c:v>12.061538461538461</c:v>
                </c:pt>
                <c:pt idx="12">
                  <c:v>11.614814814814814</c:v>
                </c:pt>
                <c:pt idx="13">
                  <c:v>11.473170731707317</c:v>
                </c:pt>
                <c:pt idx="14">
                  <c:v>11.403636363636362</c:v>
                </c:pt>
              </c:numCache>
            </c:numRef>
          </c:val>
        </c:ser>
        <c:ser>
          <c:idx val="8"/>
          <c:order val="8"/>
          <c:tx>
            <c:strRef>
              <c:f>'Fuel - 18 Cell'!$AE$5</c:f>
              <c:strCache>
                <c:ptCount val="1"/>
                <c:pt idx="0">
                  <c:v>90</c:v>
                </c:pt>
              </c:strCache>
            </c:strRef>
          </c:tx>
          <c:spPr>
            <a:solidFill>
              <a:srgbClr val="00008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Cell'!$AE$6:$AE$20</c:f>
              <c:numCache>
                <c:formatCode>0.00</c:formatCode>
                <c:ptCount val="15"/>
                <c:pt idx="0">
                  <c:v>12.799999999999999</c:v>
                </c:pt>
                <c:pt idx="1">
                  <c:v>13.536690647482013</c:v>
                </c:pt>
                <c:pt idx="2">
                  <c:v>14.147368421052631</c:v>
                </c:pt>
                <c:pt idx="3">
                  <c:v>14.254545454545454</c:v>
                </c:pt>
                <c:pt idx="4">
                  <c:v>14.363358778625953</c:v>
                </c:pt>
                <c:pt idx="5">
                  <c:v>14.363358778625953</c:v>
                </c:pt>
                <c:pt idx="6">
                  <c:v>14.363358778625953</c:v>
                </c:pt>
                <c:pt idx="7">
                  <c:v>14.041791044776119</c:v>
                </c:pt>
                <c:pt idx="8">
                  <c:v>13.44</c:v>
                </c:pt>
                <c:pt idx="9">
                  <c:v>12.799999999999999</c:v>
                </c:pt>
                <c:pt idx="10">
                  <c:v>12.218181818181817</c:v>
                </c:pt>
                <c:pt idx="11">
                  <c:v>11.76</c:v>
                </c:pt>
                <c:pt idx="12">
                  <c:v>11.473170731707317</c:v>
                </c:pt>
                <c:pt idx="13">
                  <c:v>11.334939759036144</c:v>
                </c:pt>
                <c:pt idx="14">
                  <c:v>11.267065868263472</c:v>
                </c:pt>
              </c:numCache>
            </c:numRef>
          </c:val>
        </c:ser>
        <c:ser>
          <c:idx val="9"/>
          <c:order val="9"/>
          <c:tx>
            <c:strRef>
              <c:f>'Fuel - 18 Cell'!$AF$5</c:f>
              <c:strCache>
                <c:ptCount val="1"/>
                <c:pt idx="0">
                  <c:v>100</c:v>
                </c:pt>
              </c:strCache>
            </c:strRef>
          </c:tx>
          <c:spPr>
            <a:solidFill>
              <a:srgbClr val="FF00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Cell'!$AF$6:$AF$20</c:f>
              <c:numCache>
                <c:formatCode>0.00</c:formatCode>
                <c:ptCount val="15"/>
                <c:pt idx="0">
                  <c:v>12.713513513513513</c:v>
                </c:pt>
                <c:pt idx="1">
                  <c:v>13.250704225352113</c:v>
                </c:pt>
                <c:pt idx="2">
                  <c:v>13.734306569343065</c:v>
                </c:pt>
                <c:pt idx="3">
                  <c:v>13.835294117647058</c:v>
                </c:pt>
                <c:pt idx="4">
                  <c:v>14.041791044776119</c:v>
                </c:pt>
                <c:pt idx="5">
                  <c:v>14.147368421052631</c:v>
                </c:pt>
                <c:pt idx="6">
                  <c:v>13.937777777777777</c:v>
                </c:pt>
                <c:pt idx="7">
                  <c:v>13.44</c:v>
                </c:pt>
                <c:pt idx="8">
                  <c:v>12.799999999999999</c:v>
                </c:pt>
                <c:pt idx="9">
                  <c:v>12.298039215686273</c:v>
                </c:pt>
                <c:pt idx="10">
                  <c:v>11.90886075949367</c:v>
                </c:pt>
                <c:pt idx="11">
                  <c:v>11.543558282208588</c:v>
                </c:pt>
                <c:pt idx="12">
                  <c:v>11.334939759036144</c:v>
                </c:pt>
                <c:pt idx="13">
                  <c:v>11.2</c:v>
                </c:pt>
                <c:pt idx="14">
                  <c:v>11.133727810650887</c:v>
                </c:pt>
              </c:numCache>
            </c:numRef>
          </c:val>
        </c:ser>
        <c:ser>
          <c:idx val="10"/>
          <c:order val="10"/>
          <c:tx>
            <c:strRef>
              <c:f>'Fuel - 18 Cell'!$AG$5</c:f>
              <c:strCache>
                <c:ptCount val="1"/>
                <c:pt idx="0">
                  <c:v>120</c:v>
                </c:pt>
              </c:strCache>
            </c:strRef>
          </c:tx>
          <c:spPr>
            <a:solidFill>
              <a:srgbClr val="FFFF0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Cell'!$AG$6:$AG$20</c:f>
              <c:numCache>
                <c:formatCode>0.00</c:formatCode>
                <c:ptCount val="15"/>
                <c:pt idx="0">
                  <c:v>12.543999999999999</c:v>
                </c:pt>
                <c:pt idx="1">
                  <c:v>12.976551724137931</c:v>
                </c:pt>
                <c:pt idx="2">
                  <c:v>13.250704225352113</c:v>
                </c:pt>
                <c:pt idx="3">
                  <c:v>13.536690647482013</c:v>
                </c:pt>
                <c:pt idx="4">
                  <c:v>13.734306569343065</c:v>
                </c:pt>
                <c:pt idx="5">
                  <c:v>13.835294117647058</c:v>
                </c:pt>
                <c:pt idx="6">
                  <c:v>13.250704225352113</c:v>
                </c:pt>
                <c:pt idx="7">
                  <c:v>12.543999999999999</c:v>
                </c:pt>
                <c:pt idx="8">
                  <c:v>12.139354838709677</c:v>
                </c:pt>
                <c:pt idx="9">
                  <c:v>11.833962264150943</c:v>
                </c:pt>
                <c:pt idx="10">
                  <c:v>11.543558282208588</c:v>
                </c:pt>
                <c:pt idx="11">
                  <c:v>11.267065868263472</c:v>
                </c:pt>
                <c:pt idx="12">
                  <c:v>11.068235294117647</c:v>
                </c:pt>
                <c:pt idx="13">
                  <c:v>10.939534883720929</c:v>
                </c:pt>
                <c:pt idx="14">
                  <c:v>10.939534883720929</c:v>
                </c:pt>
              </c:numCache>
            </c:numRef>
          </c:val>
        </c:ser>
        <c:ser>
          <c:idx val="11"/>
          <c:order val="11"/>
          <c:tx>
            <c:strRef>
              <c:f>'Fuel - 18 Cell'!$AH$5</c:f>
              <c:strCache>
                <c:ptCount val="1"/>
                <c:pt idx="0">
                  <c:v>140</c:v>
                </c:pt>
              </c:strCache>
            </c:strRef>
          </c:tx>
          <c:spPr>
            <a:solidFill>
              <a:srgbClr val="00FF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Cell'!$AH$6:$AH$20</c:f>
              <c:numCache>
                <c:formatCode>0.00</c:formatCode>
                <c:ptCount val="15"/>
                <c:pt idx="0">
                  <c:v>12.298039215686273</c:v>
                </c:pt>
                <c:pt idx="1">
                  <c:v>12.628187919463087</c:v>
                </c:pt>
                <c:pt idx="2">
                  <c:v>12.976551724137931</c:v>
                </c:pt>
                <c:pt idx="3">
                  <c:v>13.158041958041958</c:v>
                </c:pt>
                <c:pt idx="4">
                  <c:v>13.250704225352113</c:v>
                </c:pt>
                <c:pt idx="5">
                  <c:v>13.066666666666666</c:v>
                </c:pt>
                <c:pt idx="6">
                  <c:v>12.298039215686273</c:v>
                </c:pt>
                <c:pt idx="7">
                  <c:v>11.76</c:v>
                </c:pt>
                <c:pt idx="8">
                  <c:v>11.543558282208588</c:v>
                </c:pt>
                <c:pt idx="9">
                  <c:v>11.334939759036144</c:v>
                </c:pt>
                <c:pt idx="10">
                  <c:v>11.068235294117647</c:v>
                </c:pt>
                <c:pt idx="11">
                  <c:v>10.876300578034682</c:v>
                </c:pt>
                <c:pt idx="12">
                  <c:v>10.69090909090909</c:v>
                </c:pt>
                <c:pt idx="13">
                  <c:v>10.630508474576271</c:v>
                </c:pt>
                <c:pt idx="14">
                  <c:v>10.570786516853932</c:v>
                </c:pt>
              </c:numCache>
            </c:numRef>
          </c:val>
        </c:ser>
        <c:ser>
          <c:idx val="12"/>
          <c:order val="12"/>
          <c:tx>
            <c:strRef>
              <c:f>'Fuel - 18 Cell'!$AI$5</c:f>
              <c:strCache>
                <c:ptCount val="1"/>
                <c:pt idx="0">
                  <c:v>160</c:v>
                </c:pt>
              </c:strCache>
            </c:strRef>
          </c:tx>
          <c:spPr>
            <a:solidFill>
              <a:srgbClr val="80008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Cell'!$AI$6:$AI$20</c:f>
              <c:numCache>
                <c:formatCode>0.00</c:formatCode>
                <c:ptCount val="15"/>
                <c:pt idx="0">
                  <c:v>12.061538461538461</c:v>
                </c:pt>
                <c:pt idx="1">
                  <c:v>12.460927152317881</c:v>
                </c:pt>
                <c:pt idx="2">
                  <c:v>12.713513513513513</c:v>
                </c:pt>
                <c:pt idx="3">
                  <c:v>12.887671232876711</c:v>
                </c:pt>
                <c:pt idx="4">
                  <c:v>12.976551724137931</c:v>
                </c:pt>
                <c:pt idx="5">
                  <c:v>11.984713375796177</c:v>
                </c:pt>
                <c:pt idx="6">
                  <c:v>11.543558282208588</c:v>
                </c:pt>
                <c:pt idx="7">
                  <c:v>11.267065868263472</c:v>
                </c:pt>
                <c:pt idx="8">
                  <c:v>11.068235294117647</c:v>
                </c:pt>
                <c:pt idx="9">
                  <c:v>10.939534883720929</c:v>
                </c:pt>
                <c:pt idx="10">
                  <c:v>10.69090909090909</c:v>
                </c:pt>
                <c:pt idx="11">
                  <c:v>10.570786516853932</c:v>
                </c:pt>
                <c:pt idx="12">
                  <c:v>10.395580110497237</c:v>
                </c:pt>
                <c:pt idx="13">
                  <c:v>10.281967213114754</c:v>
                </c:pt>
                <c:pt idx="14">
                  <c:v>10.281967213114754</c:v>
                </c:pt>
              </c:numCache>
            </c:numRef>
          </c:val>
        </c:ser>
        <c:ser>
          <c:idx val="13"/>
          <c:order val="13"/>
          <c:tx>
            <c:strRef>
              <c:f>'Fuel - 18 Cell'!$AJ$5</c:f>
              <c:strCache>
                <c:ptCount val="1"/>
                <c:pt idx="0">
                  <c:v>180</c:v>
                </c:pt>
              </c:strCache>
            </c:strRef>
          </c:tx>
          <c:spPr>
            <a:solidFill>
              <a:srgbClr val="80000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Cell'!$AJ$6:$AJ$20</c:f>
              <c:numCache>
                <c:formatCode>0.00</c:formatCode>
                <c:ptCount val="15"/>
                <c:pt idx="0">
                  <c:v>11.833962264150943</c:v>
                </c:pt>
                <c:pt idx="1">
                  <c:v>12.218181818181817</c:v>
                </c:pt>
                <c:pt idx="2">
                  <c:v>12.460927152317881</c:v>
                </c:pt>
                <c:pt idx="3">
                  <c:v>12.713513513513513</c:v>
                </c:pt>
                <c:pt idx="4">
                  <c:v>12.799999999999999</c:v>
                </c:pt>
                <c:pt idx="5">
                  <c:v>11.543558282208588</c:v>
                </c:pt>
                <c:pt idx="6">
                  <c:v>11.003508771929823</c:v>
                </c:pt>
                <c:pt idx="7">
                  <c:v>10.876300578034682</c:v>
                </c:pt>
                <c:pt idx="8">
                  <c:v>10.813793103448276</c:v>
                </c:pt>
                <c:pt idx="9">
                  <c:v>10.630508474576271</c:v>
                </c:pt>
                <c:pt idx="10">
                  <c:v>10.395580110497237</c:v>
                </c:pt>
                <c:pt idx="11">
                  <c:v>10.281967213114754</c:v>
                </c:pt>
                <c:pt idx="12">
                  <c:v>10.116129032258064</c:v>
                </c:pt>
                <c:pt idx="13">
                  <c:v>9.9555555555555557</c:v>
                </c:pt>
                <c:pt idx="14">
                  <c:v>9.9031578947368413</c:v>
                </c:pt>
              </c:numCache>
            </c:numRef>
          </c:val>
        </c:ser>
        <c:ser>
          <c:idx val="14"/>
          <c:order val="14"/>
          <c:tx>
            <c:strRef>
              <c:f>'Fuel - 18 Cell'!$AK$5</c:f>
              <c:strCache>
                <c:ptCount val="1"/>
                <c:pt idx="0">
                  <c:v>200</c:v>
                </c:pt>
              </c:strCache>
            </c:strRef>
          </c:tx>
          <c:spPr>
            <a:solidFill>
              <a:srgbClr val="00808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Cell'!$AK$6:$AK$20</c:f>
              <c:numCache>
                <c:formatCode>0.00</c:formatCode>
                <c:ptCount val="15"/>
                <c:pt idx="0">
                  <c:v>11.614814814814814</c:v>
                </c:pt>
                <c:pt idx="1">
                  <c:v>11.984713375796177</c:v>
                </c:pt>
                <c:pt idx="2">
                  <c:v>12.298039215686273</c:v>
                </c:pt>
                <c:pt idx="3">
                  <c:v>12.460927152317881</c:v>
                </c:pt>
                <c:pt idx="4">
                  <c:v>12.543999999999999</c:v>
                </c:pt>
                <c:pt idx="5">
                  <c:v>11.267065868263472</c:v>
                </c:pt>
                <c:pt idx="6">
                  <c:v>10.813793103448276</c:v>
                </c:pt>
                <c:pt idx="7">
                  <c:v>10.69090909090909</c:v>
                </c:pt>
                <c:pt idx="8">
                  <c:v>10.630508474576271</c:v>
                </c:pt>
                <c:pt idx="9">
                  <c:v>10.453333333333333</c:v>
                </c:pt>
                <c:pt idx="10">
                  <c:v>10.226086956521739</c:v>
                </c:pt>
                <c:pt idx="11">
                  <c:v>10.008510638297873</c:v>
                </c:pt>
                <c:pt idx="12">
                  <c:v>9.9031578947368413</c:v>
                </c:pt>
                <c:pt idx="13">
                  <c:v>9.6989690721649477</c:v>
                </c:pt>
                <c:pt idx="14">
                  <c:v>9.6492307692307691</c:v>
                </c:pt>
              </c:numCache>
            </c:numRef>
          </c:val>
        </c:ser>
        <c:ser>
          <c:idx val="15"/>
          <c:order val="15"/>
          <c:tx>
            <c:strRef>
              <c:f>'Fuel - 18 Cell'!$AL$5</c:f>
              <c:strCache>
                <c:ptCount val="1"/>
                <c:pt idx="0">
                  <c:v>220</c:v>
                </c:pt>
              </c:strCache>
            </c:strRef>
          </c:tx>
          <c:spPr>
            <a:solidFill>
              <a:srgbClr val="0000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Cell'!$AL$6:$AL$20</c:f>
              <c:numCache>
                <c:formatCode>0.00</c:formatCode>
                <c:ptCount val="15"/>
                <c:pt idx="0">
                  <c:v>11.403636363636362</c:v>
                </c:pt>
                <c:pt idx="1">
                  <c:v>11.76</c:v>
                </c:pt>
                <c:pt idx="2">
                  <c:v>12.061538461538461</c:v>
                </c:pt>
                <c:pt idx="3">
                  <c:v>12.218181818181817</c:v>
                </c:pt>
                <c:pt idx="4">
                  <c:v>12.298039215686273</c:v>
                </c:pt>
                <c:pt idx="5">
                  <c:v>11.133727810650887</c:v>
                </c:pt>
                <c:pt idx="6">
                  <c:v>10.751999999999999</c:v>
                </c:pt>
                <c:pt idx="7">
                  <c:v>10.570786516853932</c:v>
                </c:pt>
                <c:pt idx="8">
                  <c:v>10.511731843575419</c:v>
                </c:pt>
                <c:pt idx="9">
                  <c:v>10.338461538461537</c:v>
                </c:pt>
                <c:pt idx="10">
                  <c:v>10.062032085561496</c:v>
                </c:pt>
                <c:pt idx="11">
                  <c:v>9.8513089005235592</c:v>
                </c:pt>
                <c:pt idx="12">
                  <c:v>9.7492227979274606</c:v>
                </c:pt>
                <c:pt idx="13">
                  <c:v>9.6492307692307691</c:v>
                </c:pt>
                <c:pt idx="14">
                  <c:v>9.6</c:v>
                </c:pt>
              </c:numCache>
            </c:numRef>
          </c:val>
        </c:ser>
        <c:ser>
          <c:idx val="16"/>
          <c:order val="16"/>
          <c:tx>
            <c:strRef>
              <c:f>'Fuel - 18 Cell'!$AM$5</c:f>
              <c:strCache>
                <c:ptCount val="1"/>
                <c:pt idx="0">
                  <c:v>240</c:v>
                </c:pt>
              </c:strCache>
            </c:strRef>
          </c:tx>
          <c:spPr>
            <a:solidFill>
              <a:srgbClr val="00CC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Cell'!$AM$6:$AM$20</c:f>
              <c:numCache>
                <c:formatCode>0.00</c:formatCode>
                <c:ptCount val="15"/>
                <c:pt idx="0">
                  <c:v>11.2</c:v>
                </c:pt>
                <c:pt idx="1">
                  <c:v>11.543558282208588</c:v>
                </c:pt>
                <c:pt idx="2">
                  <c:v>11.833962264150943</c:v>
                </c:pt>
                <c:pt idx="3">
                  <c:v>11.984713375796177</c:v>
                </c:pt>
                <c:pt idx="4">
                  <c:v>12.061538461538461</c:v>
                </c:pt>
                <c:pt idx="5">
                  <c:v>10.939534883720929</c:v>
                </c:pt>
                <c:pt idx="6">
                  <c:v>10.570786516853932</c:v>
                </c:pt>
                <c:pt idx="7">
                  <c:v>10.453333333333333</c:v>
                </c:pt>
                <c:pt idx="8">
                  <c:v>10.338461538461537</c:v>
                </c:pt>
                <c:pt idx="9">
                  <c:v>10.17081081081081</c:v>
                </c:pt>
                <c:pt idx="10">
                  <c:v>9.9031578947368413</c:v>
                </c:pt>
                <c:pt idx="11">
                  <c:v>9.7492227979274606</c:v>
                </c:pt>
                <c:pt idx="12">
                  <c:v>9.6492307692307691</c:v>
                </c:pt>
                <c:pt idx="13">
                  <c:v>9.6</c:v>
                </c:pt>
                <c:pt idx="14">
                  <c:v>9.6</c:v>
                </c:pt>
              </c:numCache>
            </c:numRef>
          </c:val>
        </c:ser>
        <c:ser>
          <c:idx val="17"/>
          <c:order val="17"/>
          <c:tx>
            <c:strRef>
              <c:f>'Fuel - 18 Cell'!$AN$5</c:f>
              <c:strCache>
                <c:ptCount val="1"/>
                <c:pt idx="0">
                  <c:v>260</c:v>
                </c:pt>
              </c:strCache>
            </c:strRef>
          </c:tx>
          <c:spPr>
            <a:solidFill>
              <a:srgbClr val="CCFF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Cell'!$AN$6:$AN$20</c:f>
              <c:numCache>
                <c:formatCode>0.00</c:formatCode>
                <c:ptCount val="15"/>
                <c:pt idx="0">
                  <c:v>11.003508771929823</c:v>
                </c:pt>
                <c:pt idx="1">
                  <c:v>11.403636363636362</c:v>
                </c:pt>
                <c:pt idx="2">
                  <c:v>11.68695652173913</c:v>
                </c:pt>
                <c:pt idx="3">
                  <c:v>11.76</c:v>
                </c:pt>
                <c:pt idx="4">
                  <c:v>11.833962264150943</c:v>
                </c:pt>
                <c:pt idx="5">
                  <c:v>10.751999999999999</c:v>
                </c:pt>
                <c:pt idx="6">
                  <c:v>10.511731843575419</c:v>
                </c:pt>
                <c:pt idx="7">
                  <c:v>10.338461538461537</c:v>
                </c:pt>
                <c:pt idx="8">
                  <c:v>10.226086956521739</c:v>
                </c:pt>
                <c:pt idx="9">
                  <c:v>10.062032085561496</c:v>
                </c:pt>
                <c:pt idx="10">
                  <c:v>9.8513089005235592</c:v>
                </c:pt>
                <c:pt idx="11">
                  <c:v>9.6492307692307691</c:v>
                </c:pt>
                <c:pt idx="12">
                  <c:v>9.6</c:v>
                </c:pt>
                <c:pt idx="13">
                  <c:v>9.6</c:v>
                </c:pt>
                <c:pt idx="14">
                  <c:v>9.6</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s>
        <c:axId val="71594752"/>
        <c:axId val="71596672"/>
        <c:axId val="71464704"/>
      </c:surface3DChart>
      <c:catAx>
        <c:axId val="71594752"/>
        <c:scaling>
          <c:orientation val="maxMin"/>
        </c:scaling>
        <c:axPos val="b"/>
        <c:title>
          <c:tx>
            <c:rich>
              <a:bodyPr rot="5400000" vert="horz"/>
              <a:lstStyle/>
              <a:p>
                <a:pPr algn="ctr">
                  <a:defRPr sz="1000" b="1" i="0" u="none" strike="noStrike" baseline="0">
                    <a:solidFill>
                      <a:srgbClr val="000000"/>
                    </a:solidFill>
                    <a:latin typeface="Arial"/>
                    <a:ea typeface="Arial"/>
                    <a:cs typeface="Arial"/>
                  </a:defRPr>
                </a:pPr>
                <a:r>
                  <a:rPr lang="en-US"/>
                  <a:t>RPM</a:t>
                </a:r>
              </a:p>
            </c:rich>
          </c:tx>
          <c:layout>
            <c:manualLayout>
              <c:xMode val="edge"/>
              <c:yMode val="edge"/>
              <c:x val="0.93559950911306655"/>
              <c:y val="0.41674557294262277"/>
            </c:manualLayout>
          </c:layout>
          <c:spPr>
            <a:noFill/>
            <a:ln w="25400">
              <a:noFill/>
            </a:ln>
          </c:spPr>
        </c:title>
        <c:numFmt formatCode="General" sourceLinked="1"/>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596672"/>
        <c:crosses val="autoZero"/>
        <c:auto val="1"/>
        <c:lblAlgn val="ctr"/>
        <c:lblOffset val="100"/>
        <c:tickLblSkip val="1"/>
        <c:tickMarkSkip val="1"/>
        <c:noMultiLvlLbl val="1"/>
      </c:catAx>
      <c:valAx>
        <c:axId val="71596672"/>
        <c:scaling>
          <c:orientation val="minMax"/>
          <c:max val="18"/>
          <c:min val="8"/>
        </c:scaling>
        <c:axPos val="r"/>
        <c:majorGridlines>
          <c:spPr>
            <a:ln w="3175">
              <a:solidFill>
                <a:srgbClr val="000000"/>
              </a:solidFill>
              <a:prstDash val="solid"/>
            </a:ln>
          </c:spPr>
        </c:majorGridlines>
        <c:numFmt formatCode="0.00" sourceLinked="1"/>
        <c:majorTickMark val="none"/>
        <c:tickLblPos val="none"/>
        <c:spPr>
          <a:ln w="3175">
            <a:solidFill>
              <a:srgbClr val="000000"/>
            </a:solidFill>
            <a:prstDash val="solid"/>
          </a:ln>
        </c:spPr>
        <c:crossAx val="71594752"/>
        <c:crosses val="autoZero"/>
        <c:crossBetween val="midCat"/>
        <c:majorUnit val="0.25"/>
        <c:minorUnit val="0.1"/>
      </c:valAx>
      <c:serAx>
        <c:axId val="71464704"/>
        <c:scaling>
          <c:orientation val="maxMin"/>
        </c:scaling>
        <c:axPos val="b"/>
        <c:title>
          <c:tx>
            <c:rich>
              <a:bodyPr/>
              <a:lstStyle/>
              <a:p>
                <a:pPr>
                  <a:defRPr sz="1000" b="1" i="0" u="none" strike="noStrike" baseline="0">
                    <a:solidFill>
                      <a:srgbClr val="000000"/>
                    </a:solidFill>
                    <a:latin typeface="Arial"/>
                    <a:ea typeface="Arial"/>
                    <a:cs typeface="Arial"/>
                  </a:defRPr>
                </a:pPr>
                <a:r>
                  <a:rPr lang="en-US"/>
                  <a:t>Load</a:t>
                </a:r>
              </a:p>
            </c:rich>
          </c:tx>
          <c:layout>
            <c:manualLayout>
              <c:xMode val="edge"/>
              <c:yMode val="edge"/>
              <c:x val="0.43142036960754743"/>
              <c:y val="0.89102544935047701"/>
            </c:manualLayout>
          </c:layout>
          <c:spPr>
            <a:noFill/>
            <a:ln w="25400">
              <a:noFill/>
            </a:ln>
          </c:spPr>
        </c:title>
        <c:numFmt formatCode="General" sourceLinked="1"/>
        <c:tickLblPos val="low"/>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en-US"/>
          </a:p>
        </c:txPr>
        <c:crossAx val="71596672"/>
        <c:crosses val="autoZero"/>
        <c:tickLblSkip val="1"/>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view3D>
      <c:rotX val="5"/>
      <c:hPercent val="100"/>
      <c:rotY val="358"/>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0.12727658135491568"/>
          <c:y val="1.055285561884358E-2"/>
          <c:w val="0.73488391321447044"/>
          <c:h val="0.8508239842692632"/>
        </c:manualLayout>
      </c:layout>
      <c:surface3DChart>
        <c:ser>
          <c:idx val="0"/>
          <c:order val="0"/>
          <c:tx>
            <c:strRef>
              <c:f>'Fuel - 18 Cell'!$W$5</c:f>
              <c:strCache>
                <c:ptCount val="1"/>
                <c:pt idx="0">
                  <c:v>10</c:v>
                </c:pt>
              </c:strCache>
            </c:strRef>
          </c:tx>
          <c:spPr>
            <a:solidFill>
              <a:srgbClr val="9999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Cell'!$W$6:$W$20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14.7</c:v>
                </c:pt>
                <c:pt idx="11">
                  <c:v>14.363358778625953</c:v>
                </c:pt>
                <c:pt idx="12">
                  <c:v>14.147368421052631</c:v>
                </c:pt>
                <c:pt idx="13">
                  <c:v>14.041791044776119</c:v>
                </c:pt>
                <c:pt idx="14">
                  <c:v>14.041791044776119</c:v>
                </c:pt>
              </c:numCache>
            </c:numRef>
          </c:val>
        </c:ser>
        <c:ser>
          <c:idx val="1"/>
          <c:order val="1"/>
          <c:tx>
            <c:strRef>
              <c:f>'Fuel - 18 Cell'!$X$5</c:f>
              <c:strCache>
                <c:ptCount val="1"/>
                <c:pt idx="0">
                  <c:v>20</c:v>
                </c:pt>
              </c:strCache>
            </c:strRef>
          </c:tx>
          <c:spPr>
            <a:solidFill>
              <a:srgbClr val="993366"/>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Cell'!$X$6:$X$20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14.7</c:v>
                </c:pt>
                <c:pt idx="11">
                  <c:v>14.363358778625953</c:v>
                </c:pt>
                <c:pt idx="12">
                  <c:v>14.147368421052631</c:v>
                </c:pt>
                <c:pt idx="13">
                  <c:v>14.041791044776119</c:v>
                </c:pt>
                <c:pt idx="14">
                  <c:v>14.041791044776119</c:v>
                </c:pt>
              </c:numCache>
            </c:numRef>
          </c:val>
        </c:ser>
        <c:ser>
          <c:idx val="2"/>
          <c:order val="2"/>
          <c:tx>
            <c:strRef>
              <c:f>'Fuel - 18 Cell'!$Y$5</c:f>
              <c:strCache>
                <c:ptCount val="1"/>
                <c:pt idx="0">
                  <c:v>30</c:v>
                </c:pt>
              </c:strCache>
            </c:strRef>
          </c:tx>
          <c:spPr>
            <a:solidFill>
              <a:srgbClr val="FFFFCC"/>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Cell'!$Y$6:$Y$20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14.7</c:v>
                </c:pt>
                <c:pt idx="11">
                  <c:v>14.363358778625953</c:v>
                </c:pt>
                <c:pt idx="12">
                  <c:v>14.041791044776119</c:v>
                </c:pt>
                <c:pt idx="13">
                  <c:v>13.937777777777777</c:v>
                </c:pt>
                <c:pt idx="14">
                  <c:v>13.937777777777777</c:v>
                </c:pt>
              </c:numCache>
            </c:numRef>
          </c:val>
        </c:ser>
        <c:ser>
          <c:idx val="3"/>
          <c:order val="3"/>
          <c:tx>
            <c:strRef>
              <c:f>'Fuel - 18 Cell'!$Z$5</c:f>
              <c:strCache>
                <c:ptCount val="1"/>
                <c:pt idx="0">
                  <c:v>40</c:v>
                </c:pt>
              </c:strCache>
            </c:strRef>
          </c:tx>
          <c:spPr>
            <a:solidFill>
              <a:srgbClr val="CCFF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Cell'!$Z$6:$Z$20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14.7</c:v>
                </c:pt>
                <c:pt idx="11">
                  <c:v>14.254545454545454</c:v>
                </c:pt>
                <c:pt idx="12">
                  <c:v>13.734306569343065</c:v>
                </c:pt>
                <c:pt idx="13">
                  <c:v>13.536690647482013</c:v>
                </c:pt>
                <c:pt idx="14">
                  <c:v>13.44</c:v>
                </c:pt>
              </c:numCache>
            </c:numRef>
          </c:val>
        </c:ser>
        <c:ser>
          <c:idx val="4"/>
          <c:order val="4"/>
          <c:tx>
            <c:strRef>
              <c:f>'Fuel - 18 Cell'!$AA$5</c:f>
              <c:strCache>
                <c:ptCount val="1"/>
                <c:pt idx="0">
                  <c:v>50</c:v>
                </c:pt>
              </c:strCache>
            </c:strRef>
          </c:tx>
          <c:spPr>
            <a:solidFill>
              <a:srgbClr val="660066"/>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Cell'!$AA$6:$AA$20</c:f>
              <c:numCache>
                <c:formatCode>0.00</c:formatCode>
                <c:ptCount val="15"/>
                <c:pt idx="0">
                  <c:v>13.634782608695652</c:v>
                </c:pt>
                <c:pt idx="1">
                  <c:v>14.7</c:v>
                </c:pt>
                <c:pt idx="2">
                  <c:v>14.7</c:v>
                </c:pt>
                <c:pt idx="3">
                  <c:v>14.7</c:v>
                </c:pt>
                <c:pt idx="4">
                  <c:v>14.7</c:v>
                </c:pt>
                <c:pt idx="5">
                  <c:v>14.7</c:v>
                </c:pt>
                <c:pt idx="6">
                  <c:v>14.7</c:v>
                </c:pt>
                <c:pt idx="7">
                  <c:v>14.7</c:v>
                </c:pt>
                <c:pt idx="8">
                  <c:v>14.7</c:v>
                </c:pt>
                <c:pt idx="9">
                  <c:v>14.7</c:v>
                </c:pt>
                <c:pt idx="10">
                  <c:v>14.363358778625953</c:v>
                </c:pt>
                <c:pt idx="11">
                  <c:v>13.835294117647058</c:v>
                </c:pt>
                <c:pt idx="12">
                  <c:v>13.250704225352113</c:v>
                </c:pt>
                <c:pt idx="13">
                  <c:v>12.976551724137931</c:v>
                </c:pt>
                <c:pt idx="14">
                  <c:v>12.887671232876711</c:v>
                </c:pt>
              </c:numCache>
            </c:numRef>
          </c:val>
        </c:ser>
        <c:ser>
          <c:idx val="5"/>
          <c:order val="5"/>
          <c:tx>
            <c:strRef>
              <c:f>'Fuel - 18 Cell'!$AB$5</c:f>
              <c:strCache>
                <c:ptCount val="1"/>
                <c:pt idx="0">
                  <c:v>60</c:v>
                </c:pt>
              </c:strCache>
            </c:strRef>
          </c:tx>
          <c:spPr>
            <a:solidFill>
              <a:srgbClr val="FF808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Cell'!$AB$6:$AB$20</c:f>
              <c:numCache>
                <c:formatCode>0.00</c:formatCode>
                <c:ptCount val="15"/>
                <c:pt idx="0">
                  <c:v>13.634782608695652</c:v>
                </c:pt>
                <c:pt idx="1">
                  <c:v>14.7</c:v>
                </c:pt>
                <c:pt idx="2">
                  <c:v>14.7</c:v>
                </c:pt>
                <c:pt idx="3">
                  <c:v>14.7</c:v>
                </c:pt>
                <c:pt idx="4">
                  <c:v>14.7</c:v>
                </c:pt>
                <c:pt idx="5">
                  <c:v>14.7</c:v>
                </c:pt>
                <c:pt idx="6">
                  <c:v>14.7</c:v>
                </c:pt>
                <c:pt idx="7">
                  <c:v>14.7</c:v>
                </c:pt>
                <c:pt idx="8">
                  <c:v>14.7</c:v>
                </c:pt>
                <c:pt idx="9">
                  <c:v>14.363358778625953</c:v>
                </c:pt>
                <c:pt idx="10">
                  <c:v>13.937777777777777</c:v>
                </c:pt>
                <c:pt idx="11">
                  <c:v>13.34468085106383</c:v>
                </c:pt>
                <c:pt idx="12">
                  <c:v>12.713513513513513</c:v>
                </c:pt>
                <c:pt idx="13">
                  <c:v>12.298039215686273</c:v>
                </c:pt>
                <c:pt idx="14">
                  <c:v>12.218181818181817</c:v>
                </c:pt>
              </c:numCache>
            </c:numRef>
          </c:val>
        </c:ser>
        <c:ser>
          <c:idx val="6"/>
          <c:order val="6"/>
          <c:tx>
            <c:strRef>
              <c:f>'Fuel - 18 Cell'!$AC$5</c:f>
              <c:strCache>
                <c:ptCount val="1"/>
                <c:pt idx="0">
                  <c:v>70</c:v>
                </c:pt>
              </c:strCache>
            </c:strRef>
          </c:tx>
          <c:spPr>
            <a:solidFill>
              <a:srgbClr val="0066CC"/>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Cell'!$AC$6:$AC$20</c:f>
              <c:numCache>
                <c:formatCode>0.00</c:formatCode>
                <c:ptCount val="15"/>
                <c:pt idx="0">
                  <c:v>13.634782608695652</c:v>
                </c:pt>
                <c:pt idx="1">
                  <c:v>14.7</c:v>
                </c:pt>
                <c:pt idx="2">
                  <c:v>14.7</c:v>
                </c:pt>
                <c:pt idx="3">
                  <c:v>14.7</c:v>
                </c:pt>
                <c:pt idx="4">
                  <c:v>14.7</c:v>
                </c:pt>
                <c:pt idx="5">
                  <c:v>14.7</c:v>
                </c:pt>
                <c:pt idx="6">
                  <c:v>14.7</c:v>
                </c:pt>
                <c:pt idx="7">
                  <c:v>14.7</c:v>
                </c:pt>
                <c:pt idx="8">
                  <c:v>14.254545454545454</c:v>
                </c:pt>
                <c:pt idx="9">
                  <c:v>13.937777777777777</c:v>
                </c:pt>
                <c:pt idx="10">
                  <c:v>13.44</c:v>
                </c:pt>
                <c:pt idx="11">
                  <c:v>12.713513513513513</c:v>
                </c:pt>
                <c:pt idx="12">
                  <c:v>12.139354838709677</c:v>
                </c:pt>
                <c:pt idx="13">
                  <c:v>11.76</c:v>
                </c:pt>
                <c:pt idx="14">
                  <c:v>11.68695652173913</c:v>
                </c:pt>
              </c:numCache>
            </c:numRef>
          </c:val>
        </c:ser>
        <c:ser>
          <c:idx val="7"/>
          <c:order val="7"/>
          <c:tx>
            <c:strRef>
              <c:f>'Fuel - 18 Cell'!$AD$5</c:f>
              <c:strCache>
                <c:ptCount val="1"/>
                <c:pt idx="0">
                  <c:v>80</c:v>
                </c:pt>
              </c:strCache>
            </c:strRef>
          </c:tx>
          <c:spPr>
            <a:solidFill>
              <a:srgbClr val="CCCC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Cell'!$AD$6:$AD$20</c:f>
              <c:numCache>
                <c:formatCode>0.00</c:formatCode>
                <c:ptCount val="15"/>
                <c:pt idx="0">
                  <c:v>13.536690647482013</c:v>
                </c:pt>
                <c:pt idx="1">
                  <c:v>14.7</c:v>
                </c:pt>
                <c:pt idx="2">
                  <c:v>14.7</c:v>
                </c:pt>
                <c:pt idx="3">
                  <c:v>14.7</c:v>
                </c:pt>
                <c:pt idx="4">
                  <c:v>14.7</c:v>
                </c:pt>
                <c:pt idx="5">
                  <c:v>14.7</c:v>
                </c:pt>
                <c:pt idx="6">
                  <c:v>14.7</c:v>
                </c:pt>
                <c:pt idx="7">
                  <c:v>14.7</c:v>
                </c:pt>
                <c:pt idx="8">
                  <c:v>13.835294117647058</c:v>
                </c:pt>
                <c:pt idx="9">
                  <c:v>13.34468085106383</c:v>
                </c:pt>
                <c:pt idx="10">
                  <c:v>12.799999999999999</c:v>
                </c:pt>
                <c:pt idx="11">
                  <c:v>12.061538461538461</c:v>
                </c:pt>
                <c:pt idx="12">
                  <c:v>11.614814814814814</c:v>
                </c:pt>
                <c:pt idx="13">
                  <c:v>11.473170731707317</c:v>
                </c:pt>
                <c:pt idx="14">
                  <c:v>11.403636363636362</c:v>
                </c:pt>
              </c:numCache>
            </c:numRef>
          </c:val>
        </c:ser>
        <c:ser>
          <c:idx val="8"/>
          <c:order val="8"/>
          <c:tx>
            <c:strRef>
              <c:f>'Fuel - 18 Cell'!$AE$5</c:f>
              <c:strCache>
                <c:ptCount val="1"/>
                <c:pt idx="0">
                  <c:v>90</c:v>
                </c:pt>
              </c:strCache>
            </c:strRef>
          </c:tx>
          <c:spPr>
            <a:solidFill>
              <a:srgbClr val="00008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Cell'!$AE$6:$AE$20</c:f>
              <c:numCache>
                <c:formatCode>0.00</c:formatCode>
                <c:ptCount val="15"/>
                <c:pt idx="0">
                  <c:v>12.799999999999999</c:v>
                </c:pt>
                <c:pt idx="1">
                  <c:v>13.536690647482013</c:v>
                </c:pt>
                <c:pt idx="2">
                  <c:v>14.147368421052631</c:v>
                </c:pt>
                <c:pt idx="3">
                  <c:v>14.254545454545454</c:v>
                </c:pt>
                <c:pt idx="4">
                  <c:v>14.363358778625953</c:v>
                </c:pt>
                <c:pt idx="5">
                  <c:v>14.363358778625953</c:v>
                </c:pt>
                <c:pt idx="6">
                  <c:v>14.363358778625953</c:v>
                </c:pt>
                <c:pt idx="7">
                  <c:v>14.041791044776119</c:v>
                </c:pt>
                <c:pt idx="8">
                  <c:v>13.44</c:v>
                </c:pt>
                <c:pt idx="9">
                  <c:v>12.799999999999999</c:v>
                </c:pt>
                <c:pt idx="10">
                  <c:v>12.218181818181817</c:v>
                </c:pt>
                <c:pt idx="11">
                  <c:v>11.76</c:v>
                </c:pt>
                <c:pt idx="12">
                  <c:v>11.473170731707317</c:v>
                </c:pt>
                <c:pt idx="13">
                  <c:v>11.334939759036144</c:v>
                </c:pt>
                <c:pt idx="14">
                  <c:v>11.267065868263472</c:v>
                </c:pt>
              </c:numCache>
            </c:numRef>
          </c:val>
        </c:ser>
        <c:ser>
          <c:idx val="9"/>
          <c:order val="9"/>
          <c:tx>
            <c:strRef>
              <c:f>'Fuel - 18 Cell'!$AF$5</c:f>
              <c:strCache>
                <c:ptCount val="1"/>
                <c:pt idx="0">
                  <c:v>100</c:v>
                </c:pt>
              </c:strCache>
            </c:strRef>
          </c:tx>
          <c:spPr>
            <a:solidFill>
              <a:srgbClr val="FF00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Cell'!$AF$6:$AF$20</c:f>
              <c:numCache>
                <c:formatCode>0.00</c:formatCode>
                <c:ptCount val="15"/>
                <c:pt idx="0">
                  <c:v>12.713513513513513</c:v>
                </c:pt>
                <c:pt idx="1">
                  <c:v>13.250704225352113</c:v>
                </c:pt>
                <c:pt idx="2">
                  <c:v>13.734306569343065</c:v>
                </c:pt>
                <c:pt idx="3">
                  <c:v>13.835294117647058</c:v>
                </c:pt>
                <c:pt idx="4">
                  <c:v>14.041791044776119</c:v>
                </c:pt>
                <c:pt idx="5">
                  <c:v>14.147368421052631</c:v>
                </c:pt>
                <c:pt idx="6">
                  <c:v>13.937777777777777</c:v>
                </c:pt>
                <c:pt idx="7">
                  <c:v>13.44</c:v>
                </c:pt>
                <c:pt idx="8">
                  <c:v>12.799999999999999</c:v>
                </c:pt>
                <c:pt idx="9">
                  <c:v>12.298039215686273</c:v>
                </c:pt>
                <c:pt idx="10">
                  <c:v>11.90886075949367</c:v>
                </c:pt>
                <c:pt idx="11">
                  <c:v>11.543558282208588</c:v>
                </c:pt>
                <c:pt idx="12">
                  <c:v>11.334939759036144</c:v>
                </c:pt>
                <c:pt idx="13">
                  <c:v>11.2</c:v>
                </c:pt>
                <c:pt idx="14">
                  <c:v>11.133727810650887</c:v>
                </c:pt>
              </c:numCache>
            </c:numRef>
          </c:val>
        </c:ser>
        <c:ser>
          <c:idx val="10"/>
          <c:order val="10"/>
          <c:tx>
            <c:strRef>
              <c:f>'Fuel - 18 Cell'!$AG$5</c:f>
              <c:strCache>
                <c:ptCount val="1"/>
                <c:pt idx="0">
                  <c:v>120</c:v>
                </c:pt>
              </c:strCache>
            </c:strRef>
          </c:tx>
          <c:spPr>
            <a:solidFill>
              <a:srgbClr val="FFFF0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Cell'!$AG$6:$AG$20</c:f>
              <c:numCache>
                <c:formatCode>0.00</c:formatCode>
                <c:ptCount val="15"/>
                <c:pt idx="0">
                  <c:v>12.543999999999999</c:v>
                </c:pt>
                <c:pt idx="1">
                  <c:v>12.976551724137931</c:v>
                </c:pt>
                <c:pt idx="2">
                  <c:v>13.250704225352113</c:v>
                </c:pt>
                <c:pt idx="3">
                  <c:v>13.536690647482013</c:v>
                </c:pt>
                <c:pt idx="4">
                  <c:v>13.734306569343065</c:v>
                </c:pt>
                <c:pt idx="5">
                  <c:v>13.835294117647058</c:v>
                </c:pt>
                <c:pt idx="6">
                  <c:v>13.250704225352113</c:v>
                </c:pt>
                <c:pt idx="7">
                  <c:v>12.543999999999999</c:v>
                </c:pt>
                <c:pt idx="8">
                  <c:v>12.139354838709677</c:v>
                </c:pt>
                <c:pt idx="9">
                  <c:v>11.833962264150943</c:v>
                </c:pt>
                <c:pt idx="10">
                  <c:v>11.543558282208588</c:v>
                </c:pt>
                <c:pt idx="11">
                  <c:v>11.267065868263472</c:v>
                </c:pt>
                <c:pt idx="12">
                  <c:v>11.068235294117647</c:v>
                </c:pt>
                <c:pt idx="13">
                  <c:v>10.939534883720929</c:v>
                </c:pt>
                <c:pt idx="14">
                  <c:v>10.939534883720929</c:v>
                </c:pt>
              </c:numCache>
            </c:numRef>
          </c:val>
        </c:ser>
        <c:ser>
          <c:idx val="11"/>
          <c:order val="11"/>
          <c:tx>
            <c:strRef>
              <c:f>'Fuel - 18 Cell'!$AH$5</c:f>
              <c:strCache>
                <c:ptCount val="1"/>
                <c:pt idx="0">
                  <c:v>140</c:v>
                </c:pt>
              </c:strCache>
            </c:strRef>
          </c:tx>
          <c:spPr>
            <a:solidFill>
              <a:srgbClr val="00FF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Cell'!$AH$6:$AH$20</c:f>
              <c:numCache>
                <c:formatCode>0.00</c:formatCode>
                <c:ptCount val="15"/>
                <c:pt idx="0">
                  <c:v>12.298039215686273</c:v>
                </c:pt>
                <c:pt idx="1">
                  <c:v>12.628187919463087</c:v>
                </c:pt>
                <c:pt idx="2">
                  <c:v>12.976551724137931</c:v>
                </c:pt>
                <c:pt idx="3">
                  <c:v>13.158041958041958</c:v>
                </c:pt>
                <c:pt idx="4">
                  <c:v>13.250704225352113</c:v>
                </c:pt>
                <c:pt idx="5">
                  <c:v>13.066666666666666</c:v>
                </c:pt>
                <c:pt idx="6">
                  <c:v>12.298039215686273</c:v>
                </c:pt>
                <c:pt idx="7">
                  <c:v>11.76</c:v>
                </c:pt>
                <c:pt idx="8">
                  <c:v>11.543558282208588</c:v>
                </c:pt>
                <c:pt idx="9">
                  <c:v>11.334939759036144</c:v>
                </c:pt>
                <c:pt idx="10">
                  <c:v>11.068235294117647</c:v>
                </c:pt>
                <c:pt idx="11">
                  <c:v>10.876300578034682</c:v>
                </c:pt>
                <c:pt idx="12">
                  <c:v>10.69090909090909</c:v>
                </c:pt>
                <c:pt idx="13">
                  <c:v>10.630508474576271</c:v>
                </c:pt>
                <c:pt idx="14">
                  <c:v>10.570786516853932</c:v>
                </c:pt>
              </c:numCache>
            </c:numRef>
          </c:val>
        </c:ser>
        <c:ser>
          <c:idx val="12"/>
          <c:order val="12"/>
          <c:tx>
            <c:strRef>
              <c:f>'Fuel - 18 Cell'!$AI$5</c:f>
              <c:strCache>
                <c:ptCount val="1"/>
                <c:pt idx="0">
                  <c:v>160</c:v>
                </c:pt>
              </c:strCache>
            </c:strRef>
          </c:tx>
          <c:spPr>
            <a:solidFill>
              <a:srgbClr val="80008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Cell'!$AI$6:$AI$20</c:f>
              <c:numCache>
                <c:formatCode>0.00</c:formatCode>
                <c:ptCount val="15"/>
                <c:pt idx="0">
                  <c:v>12.061538461538461</c:v>
                </c:pt>
                <c:pt idx="1">
                  <c:v>12.460927152317881</c:v>
                </c:pt>
                <c:pt idx="2">
                  <c:v>12.713513513513513</c:v>
                </c:pt>
                <c:pt idx="3">
                  <c:v>12.887671232876711</c:v>
                </c:pt>
                <c:pt idx="4">
                  <c:v>12.976551724137931</c:v>
                </c:pt>
                <c:pt idx="5">
                  <c:v>11.984713375796177</c:v>
                </c:pt>
                <c:pt idx="6">
                  <c:v>11.543558282208588</c:v>
                </c:pt>
                <c:pt idx="7">
                  <c:v>11.267065868263472</c:v>
                </c:pt>
                <c:pt idx="8">
                  <c:v>11.068235294117647</c:v>
                </c:pt>
                <c:pt idx="9">
                  <c:v>10.939534883720929</c:v>
                </c:pt>
                <c:pt idx="10">
                  <c:v>10.69090909090909</c:v>
                </c:pt>
                <c:pt idx="11">
                  <c:v>10.570786516853932</c:v>
                </c:pt>
                <c:pt idx="12">
                  <c:v>10.395580110497237</c:v>
                </c:pt>
                <c:pt idx="13">
                  <c:v>10.281967213114754</c:v>
                </c:pt>
                <c:pt idx="14">
                  <c:v>10.281967213114754</c:v>
                </c:pt>
              </c:numCache>
            </c:numRef>
          </c:val>
        </c:ser>
        <c:ser>
          <c:idx val="13"/>
          <c:order val="13"/>
          <c:tx>
            <c:strRef>
              <c:f>'Fuel - 18 Cell'!$AJ$5</c:f>
              <c:strCache>
                <c:ptCount val="1"/>
                <c:pt idx="0">
                  <c:v>180</c:v>
                </c:pt>
              </c:strCache>
            </c:strRef>
          </c:tx>
          <c:spPr>
            <a:solidFill>
              <a:srgbClr val="80000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Cell'!$AJ$6:$AJ$20</c:f>
              <c:numCache>
                <c:formatCode>0.00</c:formatCode>
                <c:ptCount val="15"/>
                <c:pt idx="0">
                  <c:v>11.833962264150943</c:v>
                </c:pt>
                <c:pt idx="1">
                  <c:v>12.218181818181817</c:v>
                </c:pt>
                <c:pt idx="2">
                  <c:v>12.460927152317881</c:v>
                </c:pt>
                <c:pt idx="3">
                  <c:v>12.713513513513513</c:v>
                </c:pt>
                <c:pt idx="4">
                  <c:v>12.799999999999999</c:v>
                </c:pt>
                <c:pt idx="5">
                  <c:v>11.543558282208588</c:v>
                </c:pt>
                <c:pt idx="6">
                  <c:v>11.003508771929823</c:v>
                </c:pt>
                <c:pt idx="7">
                  <c:v>10.876300578034682</c:v>
                </c:pt>
                <c:pt idx="8">
                  <c:v>10.813793103448276</c:v>
                </c:pt>
                <c:pt idx="9">
                  <c:v>10.630508474576271</c:v>
                </c:pt>
                <c:pt idx="10">
                  <c:v>10.395580110497237</c:v>
                </c:pt>
                <c:pt idx="11">
                  <c:v>10.281967213114754</c:v>
                </c:pt>
                <c:pt idx="12">
                  <c:v>10.116129032258064</c:v>
                </c:pt>
                <c:pt idx="13">
                  <c:v>9.9555555555555557</c:v>
                </c:pt>
                <c:pt idx="14">
                  <c:v>9.9031578947368413</c:v>
                </c:pt>
              </c:numCache>
            </c:numRef>
          </c:val>
        </c:ser>
        <c:ser>
          <c:idx val="14"/>
          <c:order val="14"/>
          <c:tx>
            <c:strRef>
              <c:f>'Fuel - 18 Cell'!$AK$5</c:f>
              <c:strCache>
                <c:ptCount val="1"/>
                <c:pt idx="0">
                  <c:v>200</c:v>
                </c:pt>
              </c:strCache>
            </c:strRef>
          </c:tx>
          <c:spPr>
            <a:solidFill>
              <a:srgbClr val="008080"/>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Cell'!$AK$6:$AK$20</c:f>
              <c:numCache>
                <c:formatCode>0.00</c:formatCode>
                <c:ptCount val="15"/>
                <c:pt idx="0">
                  <c:v>11.614814814814814</c:v>
                </c:pt>
                <c:pt idx="1">
                  <c:v>11.984713375796177</c:v>
                </c:pt>
                <c:pt idx="2">
                  <c:v>12.298039215686273</c:v>
                </c:pt>
                <c:pt idx="3">
                  <c:v>12.460927152317881</c:v>
                </c:pt>
                <c:pt idx="4">
                  <c:v>12.543999999999999</c:v>
                </c:pt>
                <c:pt idx="5">
                  <c:v>11.267065868263472</c:v>
                </c:pt>
                <c:pt idx="6">
                  <c:v>10.813793103448276</c:v>
                </c:pt>
                <c:pt idx="7">
                  <c:v>10.69090909090909</c:v>
                </c:pt>
                <c:pt idx="8">
                  <c:v>10.630508474576271</c:v>
                </c:pt>
                <c:pt idx="9">
                  <c:v>10.453333333333333</c:v>
                </c:pt>
                <c:pt idx="10">
                  <c:v>10.226086956521739</c:v>
                </c:pt>
                <c:pt idx="11">
                  <c:v>10.008510638297873</c:v>
                </c:pt>
                <c:pt idx="12">
                  <c:v>9.9031578947368413</c:v>
                </c:pt>
                <c:pt idx="13">
                  <c:v>9.6989690721649477</c:v>
                </c:pt>
                <c:pt idx="14">
                  <c:v>9.6492307692307691</c:v>
                </c:pt>
              </c:numCache>
            </c:numRef>
          </c:val>
        </c:ser>
        <c:ser>
          <c:idx val="15"/>
          <c:order val="15"/>
          <c:tx>
            <c:strRef>
              <c:f>'Fuel - 18 Cell'!$AL$5</c:f>
              <c:strCache>
                <c:ptCount val="1"/>
                <c:pt idx="0">
                  <c:v>220</c:v>
                </c:pt>
              </c:strCache>
            </c:strRef>
          </c:tx>
          <c:spPr>
            <a:solidFill>
              <a:srgbClr val="0000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Cell'!$AL$6:$AL$20</c:f>
              <c:numCache>
                <c:formatCode>0.00</c:formatCode>
                <c:ptCount val="15"/>
                <c:pt idx="0">
                  <c:v>11.403636363636362</c:v>
                </c:pt>
                <c:pt idx="1">
                  <c:v>11.76</c:v>
                </c:pt>
                <c:pt idx="2">
                  <c:v>12.061538461538461</c:v>
                </c:pt>
                <c:pt idx="3">
                  <c:v>12.218181818181817</c:v>
                </c:pt>
                <c:pt idx="4">
                  <c:v>12.298039215686273</c:v>
                </c:pt>
                <c:pt idx="5">
                  <c:v>11.133727810650887</c:v>
                </c:pt>
                <c:pt idx="6">
                  <c:v>10.751999999999999</c:v>
                </c:pt>
                <c:pt idx="7">
                  <c:v>10.570786516853932</c:v>
                </c:pt>
                <c:pt idx="8">
                  <c:v>10.511731843575419</c:v>
                </c:pt>
                <c:pt idx="9">
                  <c:v>10.338461538461537</c:v>
                </c:pt>
                <c:pt idx="10">
                  <c:v>10.062032085561496</c:v>
                </c:pt>
                <c:pt idx="11">
                  <c:v>9.8513089005235592</c:v>
                </c:pt>
                <c:pt idx="12">
                  <c:v>9.7492227979274606</c:v>
                </c:pt>
                <c:pt idx="13">
                  <c:v>9.6492307692307691</c:v>
                </c:pt>
                <c:pt idx="14">
                  <c:v>9.6</c:v>
                </c:pt>
              </c:numCache>
            </c:numRef>
          </c:val>
        </c:ser>
        <c:ser>
          <c:idx val="16"/>
          <c:order val="16"/>
          <c:tx>
            <c:strRef>
              <c:f>'Fuel - 18 Cell'!$AM$5</c:f>
              <c:strCache>
                <c:ptCount val="1"/>
                <c:pt idx="0">
                  <c:v>240</c:v>
                </c:pt>
              </c:strCache>
            </c:strRef>
          </c:tx>
          <c:spPr>
            <a:solidFill>
              <a:srgbClr val="00CC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Cell'!$AM$6:$AM$20</c:f>
              <c:numCache>
                <c:formatCode>0.00</c:formatCode>
                <c:ptCount val="15"/>
                <c:pt idx="0">
                  <c:v>11.2</c:v>
                </c:pt>
                <c:pt idx="1">
                  <c:v>11.543558282208588</c:v>
                </c:pt>
                <c:pt idx="2">
                  <c:v>11.833962264150943</c:v>
                </c:pt>
                <c:pt idx="3">
                  <c:v>11.984713375796177</c:v>
                </c:pt>
                <c:pt idx="4">
                  <c:v>12.061538461538461</c:v>
                </c:pt>
                <c:pt idx="5">
                  <c:v>10.939534883720929</c:v>
                </c:pt>
                <c:pt idx="6">
                  <c:v>10.570786516853932</c:v>
                </c:pt>
                <c:pt idx="7">
                  <c:v>10.453333333333333</c:v>
                </c:pt>
                <c:pt idx="8">
                  <c:v>10.338461538461537</c:v>
                </c:pt>
                <c:pt idx="9">
                  <c:v>10.17081081081081</c:v>
                </c:pt>
                <c:pt idx="10">
                  <c:v>9.9031578947368413</c:v>
                </c:pt>
                <c:pt idx="11">
                  <c:v>9.7492227979274606</c:v>
                </c:pt>
                <c:pt idx="12">
                  <c:v>9.6492307692307691</c:v>
                </c:pt>
                <c:pt idx="13">
                  <c:v>9.6</c:v>
                </c:pt>
                <c:pt idx="14">
                  <c:v>9.6</c:v>
                </c:pt>
              </c:numCache>
            </c:numRef>
          </c:val>
        </c:ser>
        <c:ser>
          <c:idx val="17"/>
          <c:order val="17"/>
          <c:tx>
            <c:strRef>
              <c:f>'Fuel - 18 Cell'!$AN$5</c:f>
              <c:strCache>
                <c:ptCount val="1"/>
                <c:pt idx="0">
                  <c:v>260</c:v>
                </c:pt>
              </c:strCache>
            </c:strRef>
          </c:tx>
          <c:spPr>
            <a:solidFill>
              <a:srgbClr val="CCFFFF"/>
            </a:solidFill>
            <a:ln w="12700">
              <a:solidFill>
                <a:srgbClr val="000000"/>
              </a:solidFill>
              <a:prstDash val="solid"/>
            </a:ln>
            <a:sp3d prstMaterial="flat"/>
          </c:spPr>
          <c:cat>
            <c:numRef>
              <c:f>'Fuel - 18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Cell'!$AN$6:$AN$20</c:f>
              <c:numCache>
                <c:formatCode>0.00</c:formatCode>
                <c:ptCount val="15"/>
                <c:pt idx="0">
                  <c:v>11.003508771929823</c:v>
                </c:pt>
                <c:pt idx="1">
                  <c:v>11.403636363636362</c:v>
                </c:pt>
                <c:pt idx="2">
                  <c:v>11.68695652173913</c:v>
                </c:pt>
                <c:pt idx="3">
                  <c:v>11.76</c:v>
                </c:pt>
                <c:pt idx="4">
                  <c:v>11.833962264150943</c:v>
                </c:pt>
                <c:pt idx="5">
                  <c:v>10.751999999999999</c:v>
                </c:pt>
                <c:pt idx="6">
                  <c:v>10.511731843575419</c:v>
                </c:pt>
                <c:pt idx="7">
                  <c:v>10.338461538461537</c:v>
                </c:pt>
                <c:pt idx="8">
                  <c:v>10.226086956521739</c:v>
                </c:pt>
                <c:pt idx="9">
                  <c:v>10.062032085561496</c:v>
                </c:pt>
                <c:pt idx="10">
                  <c:v>9.8513089005235592</c:v>
                </c:pt>
                <c:pt idx="11">
                  <c:v>9.6492307692307691</c:v>
                </c:pt>
                <c:pt idx="12">
                  <c:v>9.6</c:v>
                </c:pt>
                <c:pt idx="13">
                  <c:v>9.6</c:v>
                </c:pt>
                <c:pt idx="14">
                  <c:v>9.6</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71771264"/>
        <c:axId val="71773184"/>
        <c:axId val="71637632"/>
      </c:surface3DChart>
      <c:catAx>
        <c:axId val="71771264"/>
        <c:scaling>
          <c:orientation val="maxMin"/>
        </c:scaling>
        <c:axPos val="b"/>
        <c:title>
          <c:tx>
            <c:rich>
              <a:bodyPr/>
              <a:lstStyle/>
              <a:p>
                <a:pPr>
                  <a:defRPr sz="1200" b="1" i="0" u="none" strike="noStrike" baseline="0">
                    <a:solidFill>
                      <a:srgbClr val="000000"/>
                    </a:solidFill>
                    <a:latin typeface="Arial"/>
                    <a:ea typeface="Arial"/>
                    <a:cs typeface="Arial"/>
                  </a:defRPr>
                </a:pPr>
                <a:r>
                  <a:rPr lang="en-US"/>
                  <a:t>RPM</a:t>
                </a:r>
              </a:p>
            </c:rich>
          </c:tx>
          <c:layout>
            <c:manualLayout>
              <c:xMode val="edge"/>
              <c:yMode val="edge"/>
              <c:x val="0.51131979014048701"/>
              <c:y val="0.92997032075085728"/>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71773184"/>
        <c:crosses val="autoZero"/>
        <c:auto val="1"/>
        <c:lblAlgn val="ctr"/>
        <c:lblOffset val="100"/>
        <c:tickLblSkip val="1"/>
        <c:tickMarkSkip val="1"/>
        <c:noMultiLvlLbl val="1"/>
      </c:catAx>
      <c:valAx>
        <c:axId val="71773184"/>
        <c:scaling>
          <c:orientation val="minMax"/>
          <c:max val="15"/>
          <c:min val="8"/>
        </c:scaling>
        <c:axPos val="r"/>
        <c:majorGridlines>
          <c:spPr>
            <a:ln w="3175">
              <a:solidFill>
                <a:srgbClr val="000000"/>
              </a:solidFill>
              <a:prstDash val="solid"/>
            </a:ln>
          </c:spPr>
        </c:majorGridlines>
        <c:title>
          <c:tx>
            <c:rich>
              <a:bodyPr rot="0" vert="horz"/>
              <a:lstStyle/>
              <a:p>
                <a:pPr algn="ctr">
                  <a:defRPr sz="1200" b="1" i="0" u="none" strike="noStrike" baseline="0">
                    <a:solidFill>
                      <a:srgbClr val="000000"/>
                    </a:solidFill>
                    <a:latin typeface="Arial"/>
                    <a:ea typeface="Arial"/>
                    <a:cs typeface="Arial"/>
                  </a:defRPr>
                </a:pPr>
                <a:r>
                  <a:rPr lang="en-US"/>
                  <a:t>Trim</a:t>
                </a:r>
              </a:p>
            </c:rich>
          </c:tx>
          <c:layout>
            <c:manualLayout>
              <c:xMode val="edge"/>
              <c:yMode val="edge"/>
              <c:x val="0.88761577544917902"/>
              <c:y val="0.44981554485345882"/>
            </c:manualLayout>
          </c:layout>
          <c:spPr>
            <a:noFill/>
            <a:ln w="25400">
              <a:noFill/>
            </a:ln>
          </c:spPr>
        </c:title>
        <c:numFmt formatCode="0.00" sourceLinked="1"/>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71771264"/>
        <c:crosses val="min"/>
        <c:crossBetween val="midCat"/>
        <c:majorUnit val="0.25"/>
        <c:minorUnit val="0.1"/>
      </c:valAx>
      <c:serAx>
        <c:axId val="71637632"/>
        <c:scaling>
          <c:orientation val="maxMin"/>
        </c:scaling>
        <c:axPos val="b"/>
        <c:title>
          <c:tx>
            <c:rich>
              <a:bodyPr/>
              <a:lstStyle/>
              <a:p>
                <a:pPr>
                  <a:defRPr sz="1200" b="1" i="0" u="none" strike="noStrike" baseline="0">
                    <a:solidFill>
                      <a:srgbClr val="000000"/>
                    </a:solidFill>
                    <a:latin typeface="Arial"/>
                    <a:ea typeface="Arial"/>
                    <a:cs typeface="Arial"/>
                  </a:defRPr>
                </a:pPr>
                <a:r>
                  <a:rPr lang="en-US"/>
                  <a:t>Load</a:t>
                </a:r>
              </a:p>
            </c:rich>
          </c:tx>
          <c:layout>
            <c:manualLayout>
              <c:xMode val="edge"/>
              <c:yMode val="edge"/>
              <c:x val="6.4191649602015233E-2"/>
              <c:y val="0.79805975375931382"/>
            </c:manualLayout>
          </c:layout>
          <c:spPr>
            <a:noFill/>
            <a:ln w="25400">
              <a:noFill/>
            </a:ln>
          </c:spPr>
        </c:title>
        <c:numFmt formatCode="General" sourceLinked="1"/>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773184"/>
        <c:crosses val="autoZero"/>
        <c:tickLblSkip val="13"/>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view3D>
      <c:rotX val="7"/>
      <c:hPercent val="100"/>
      <c:rotY val="356"/>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0.1219796526492879"/>
          <c:y val="4.5271998894874974E-2"/>
          <c:w val="0.74962684166856586"/>
          <c:h val="0.76516065754938567"/>
        </c:manualLayout>
      </c:layout>
      <c:surface3DChart>
        <c:ser>
          <c:idx val="0"/>
          <c:order val="0"/>
          <c:tx>
            <c:strRef>
              <c:f>'Fuel - 18 Cell'!$W$28</c:f>
              <c:strCache>
                <c:ptCount val="1"/>
                <c:pt idx="0">
                  <c:v>10</c:v>
                </c:pt>
              </c:strCache>
            </c:strRef>
          </c:tx>
          <c:spPr>
            <a:solidFill>
              <a:srgbClr val="9999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Cell'!$W$29:$W$43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1"/>
          <c:order val="1"/>
          <c:tx>
            <c:strRef>
              <c:f>'Fuel - 18 Cell'!$X$28</c:f>
              <c:strCache>
                <c:ptCount val="1"/>
                <c:pt idx="0">
                  <c:v>20</c:v>
                </c:pt>
              </c:strCache>
            </c:strRef>
          </c:tx>
          <c:spPr>
            <a:solidFill>
              <a:srgbClr val="993366"/>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Cell'!$X$29:$X$43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2"/>
          <c:order val="2"/>
          <c:tx>
            <c:strRef>
              <c:f>'Fuel - 18 Cell'!$Y$28</c:f>
              <c:strCache>
                <c:ptCount val="1"/>
                <c:pt idx="0">
                  <c:v>30</c:v>
                </c:pt>
              </c:strCache>
            </c:strRef>
          </c:tx>
          <c:spPr>
            <a:solidFill>
              <a:srgbClr val="FFFFCC"/>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Cell'!$Y$29:$Y$43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3"/>
          <c:order val="3"/>
          <c:tx>
            <c:strRef>
              <c:f>'Fuel - 18 Cell'!$Z$28</c:f>
              <c:strCache>
                <c:ptCount val="1"/>
                <c:pt idx="0">
                  <c:v>40</c:v>
                </c:pt>
              </c:strCache>
            </c:strRef>
          </c:tx>
          <c:spPr>
            <a:solidFill>
              <a:srgbClr val="CCFF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Cell'!$Z$29:$Z$43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13.6348</c:v>
                </c:pt>
                <c:pt idx="13">
                  <c:v>13.44</c:v>
                </c:pt>
                <c:pt idx="14">
                  <c:v>13.44</c:v>
                </c:pt>
              </c:numCache>
            </c:numRef>
          </c:val>
        </c:ser>
        <c:ser>
          <c:idx val="4"/>
          <c:order val="4"/>
          <c:tx>
            <c:strRef>
              <c:f>'Fuel - 18 Cell'!$AA$28</c:f>
              <c:strCache>
                <c:ptCount val="1"/>
                <c:pt idx="0">
                  <c:v>50</c:v>
                </c:pt>
              </c:strCache>
            </c:strRef>
          </c:tx>
          <c:spPr>
            <a:solidFill>
              <a:srgbClr val="660066"/>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Cell'!$AA$29:$AA$43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14.473800000000001</c:v>
                </c:pt>
                <c:pt idx="11">
                  <c:v>13.937799999999999</c:v>
                </c:pt>
                <c:pt idx="12">
                  <c:v>13.2507</c:v>
                </c:pt>
                <c:pt idx="13">
                  <c:v>12.976599999999999</c:v>
                </c:pt>
                <c:pt idx="14">
                  <c:v>12.976599999999999</c:v>
                </c:pt>
              </c:numCache>
            </c:numRef>
          </c:val>
        </c:ser>
        <c:ser>
          <c:idx val="5"/>
          <c:order val="5"/>
          <c:tx>
            <c:strRef>
              <c:f>'Fuel - 18 Cell'!$AB$28</c:f>
              <c:strCache>
                <c:ptCount val="1"/>
                <c:pt idx="0">
                  <c:v>60</c:v>
                </c:pt>
              </c:strCache>
            </c:strRef>
          </c:tx>
          <c:spPr>
            <a:solidFill>
              <a:srgbClr val="FF808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Cell'!$AB$29:$AB$43</c:f>
              <c:numCache>
                <c:formatCode>0.00</c:formatCode>
                <c:ptCount val="15"/>
                <c:pt idx="0">
                  <c:v>13.3447</c:v>
                </c:pt>
                <c:pt idx="1">
                  <c:v>14.7</c:v>
                </c:pt>
                <c:pt idx="2">
                  <c:v>14.7</c:v>
                </c:pt>
                <c:pt idx="3">
                  <c:v>14.7</c:v>
                </c:pt>
                <c:pt idx="4">
                  <c:v>14.7</c:v>
                </c:pt>
                <c:pt idx="5">
                  <c:v>14.7</c:v>
                </c:pt>
                <c:pt idx="6">
                  <c:v>14.7</c:v>
                </c:pt>
                <c:pt idx="7">
                  <c:v>14.7</c:v>
                </c:pt>
                <c:pt idx="8">
                  <c:v>14.7</c:v>
                </c:pt>
                <c:pt idx="9">
                  <c:v>14.473800000000001</c:v>
                </c:pt>
                <c:pt idx="10">
                  <c:v>14.0418</c:v>
                </c:pt>
                <c:pt idx="11">
                  <c:v>13.44</c:v>
                </c:pt>
                <c:pt idx="12">
                  <c:v>12.7135</c:v>
                </c:pt>
                <c:pt idx="13">
                  <c:v>12.2182</c:v>
                </c:pt>
                <c:pt idx="14">
                  <c:v>12.2182</c:v>
                </c:pt>
              </c:numCache>
            </c:numRef>
          </c:val>
        </c:ser>
        <c:ser>
          <c:idx val="6"/>
          <c:order val="6"/>
          <c:tx>
            <c:strRef>
              <c:f>'Fuel - 18 Cell'!$AC$28</c:f>
              <c:strCache>
                <c:ptCount val="1"/>
                <c:pt idx="0">
                  <c:v>70</c:v>
                </c:pt>
              </c:strCache>
            </c:strRef>
          </c:tx>
          <c:spPr>
            <a:solidFill>
              <a:srgbClr val="0066CC"/>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Cell'!$AC$29:$AC$43</c:f>
              <c:numCache>
                <c:formatCode>0.00</c:formatCode>
                <c:ptCount val="15"/>
                <c:pt idx="0">
                  <c:v>13.3447</c:v>
                </c:pt>
                <c:pt idx="1">
                  <c:v>14.7</c:v>
                </c:pt>
                <c:pt idx="2">
                  <c:v>14.7</c:v>
                </c:pt>
                <c:pt idx="3">
                  <c:v>14.7</c:v>
                </c:pt>
                <c:pt idx="4">
                  <c:v>14.7</c:v>
                </c:pt>
                <c:pt idx="5">
                  <c:v>14.7</c:v>
                </c:pt>
                <c:pt idx="6">
                  <c:v>14.7</c:v>
                </c:pt>
                <c:pt idx="7">
                  <c:v>14.7</c:v>
                </c:pt>
                <c:pt idx="8">
                  <c:v>14.147399999999999</c:v>
                </c:pt>
                <c:pt idx="9">
                  <c:v>14.147399999999999</c:v>
                </c:pt>
                <c:pt idx="10">
                  <c:v>13.6348</c:v>
                </c:pt>
                <c:pt idx="11">
                  <c:v>12.7135</c:v>
                </c:pt>
                <c:pt idx="12">
                  <c:v>12.061500000000001</c:v>
                </c:pt>
                <c:pt idx="13">
                  <c:v>11.614800000000001</c:v>
                </c:pt>
                <c:pt idx="14">
                  <c:v>11.614800000000001</c:v>
                </c:pt>
              </c:numCache>
            </c:numRef>
          </c:val>
        </c:ser>
        <c:ser>
          <c:idx val="7"/>
          <c:order val="7"/>
          <c:tx>
            <c:strRef>
              <c:f>'Fuel - 18 Cell'!$AD$28</c:f>
              <c:strCache>
                <c:ptCount val="1"/>
                <c:pt idx="0">
                  <c:v>80</c:v>
                </c:pt>
              </c:strCache>
            </c:strRef>
          </c:tx>
          <c:spPr>
            <a:solidFill>
              <a:srgbClr val="CCCC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Cell'!$AD$29:$AD$43</c:f>
              <c:numCache>
                <c:formatCode>0.00</c:formatCode>
                <c:ptCount val="15"/>
                <c:pt idx="0">
                  <c:v>13.3447</c:v>
                </c:pt>
                <c:pt idx="1">
                  <c:v>14.7</c:v>
                </c:pt>
                <c:pt idx="2">
                  <c:v>14.7</c:v>
                </c:pt>
                <c:pt idx="3">
                  <c:v>14.7</c:v>
                </c:pt>
                <c:pt idx="4">
                  <c:v>14.7</c:v>
                </c:pt>
                <c:pt idx="5">
                  <c:v>14.7</c:v>
                </c:pt>
                <c:pt idx="6">
                  <c:v>14.7</c:v>
                </c:pt>
                <c:pt idx="7">
                  <c:v>14.7</c:v>
                </c:pt>
                <c:pt idx="8">
                  <c:v>13.734299999999999</c:v>
                </c:pt>
                <c:pt idx="9">
                  <c:v>13.44</c:v>
                </c:pt>
                <c:pt idx="10">
                  <c:v>12.8</c:v>
                </c:pt>
                <c:pt idx="11">
                  <c:v>11.834</c:v>
                </c:pt>
                <c:pt idx="12">
                  <c:v>11.4732</c:v>
                </c:pt>
                <c:pt idx="13">
                  <c:v>11.334899999999999</c:v>
                </c:pt>
                <c:pt idx="14">
                  <c:v>11.334899999999999</c:v>
                </c:pt>
              </c:numCache>
            </c:numRef>
          </c:val>
        </c:ser>
        <c:ser>
          <c:idx val="8"/>
          <c:order val="8"/>
          <c:tx>
            <c:strRef>
              <c:f>'Fuel - 18 Cell'!$AE$28</c:f>
              <c:strCache>
                <c:ptCount val="1"/>
                <c:pt idx="0">
                  <c:v>90</c:v>
                </c:pt>
              </c:strCache>
            </c:strRef>
          </c:tx>
          <c:spPr>
            <a:solidFill>
              <a:srgbClr val="00008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Cell'!$AE$29:$AE$43</c:f>
              <c:numCache>
                <c:formatCode>0.00</c:formatCode>
                <c:ptCount val="15"/>
                <c:pt idx="0">
                  <c:v>12.544</c:v>
                </c:pt>
                <c:pt idx="1">
                  <c:v>13.44</c:v>
                </c:pt>
                <c:pt idx="2">
                  <c:v>14.2545</c:v>
                </c:pt>
                <c:pt idx="3">
                  <c:v>14.2545</c:v>
                </c:pt>
                <c:pt idx="4">
                  <c:v>14.3634</c:v>
                </c:pt>
                <c:pt idx="5">
                  <c:v>14.3634</c:v>
                </c:pt>
                <c:pt idx="6">
                  <c:v>14.3634</c:v>
                </c:pt>
                <c:pt idx="7">
                  <c:v>14.147399999999999</c:v>
                </c:pt>
                <c:pt idx="8">
                  <c:v>13.44</c:v>
                </c:pt>
                <c:pt idx="9">
                  <c:v>12.8</c:v>
                </c:pt>
                <c:pt idx="10">
                  <c:v>12.2182</c:v>
                </c:pt>
                <c:pt idx="11">
                  <c:v>11.686999999999999</c:v>
                </c:pt>
                <c:pt idx="12">
                  <c:v>11.4732</c:v>
                </c:pt>
                <c:pt idx="13">
                  <c:v>11.267099999999999</c:v>
                </c:pt>
                <c:pt idx="14">
                  <c:v>11.267099999999999</c:v>
                </c:pt>
              </c:numCache>
            </c:numRef>
          </c:val>
        </c:ser>
        <c:ser>
          <c:idx val="9"/>
          <c:order val="9"/>
          <c:tx>
            <c:strRef>
              <c:f>'Fuel - 18 Cell'!$AF$28</c:f>
              <c:strCache>
                <c:ptCount val="1"/>
                <c:pt idx="0">
                  <c:v>100</c:v>
                </c:pt>
              </c:strCache>
            </c:strRef>
          </c:tx>
          <c:spPr>
            <a:solidFill>
              <a:srgbClr val="FF00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Cell'!$AF$29:$AF$43</c:f>
              <c:numCache>
                <c:formatCode>0.00</c:formatCode>
                <c:ptCount val="15"/>
                <c:pt idx="0">
                  <c:v>12.544</c:v>
                </c:pt>
                <c:pt idx="1">
                  <c:v>13.44</c:v>
                </c:pt>
                <c:pt idx="2">
                  <c:v>13.8353</c:v>
                </c:pt>
                <c:pt idx="3">
                  <c:v>13.8353</c:v>
                </c:pt>
                <c:pt idx="4">
                  <c:v>14.147399999999999</c:v>
                </c:pt>
                <c:pt idx="5">
                  <c:v>14.147399999999999</c:v>
                </c:pt>
                <c:pt idx="6">
                  <c:v>14.147399999999999</c:v>
                </c:pt>
                <c:pt idx="7">
                  <c:v>13.6348</c:v>
                </c:pt>
                <c:pt idx="8">
                  <c:v>12.8</c:v>
                </c:pt>
                <c:pt idx="9">
                  <c:v>12.2182</c:v>
                </c:pt>
                <c:pt idx="10">
                  <c:v>11.908899999999999</c:v>
                </c:pt>
                <c:pt idx="11">
                  <c:v>11.4732</c:v>
                </c:pt>
                <c:pt idx="12">
                  <c:v>11.334899999999999</c:v>
                </c:pt>
                <c:pt idx="13">
                  <c:v>11.2</c:v>
                </c:pt>
                <c:pt idx="14">
                  <c:v>11.2</c:v>
                </c:pt>
              </c:numCache>
            </c:numRef>
          </c:val>
        </c:ser>
        <c:ser>
          <c:idx val="10"/>
          <c:order val="10"/>
          <c:tx>
            <c:strRef>
              <c:f>'Fuel - 18 Cell'!$AG$28</c:f>
              <c:strCache>
                <c:ptCount val="1"/>
                <c:pt idx="0">
                  <c:v>120</c:v>
                </c:pt>
              </c:strCache>
            </c:strRef>
          </c:tx>
          <c:spPr>
            <a:solidFill>
              <a:srgbClr val="FFFF0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Cell'!$AG$29:$AG$43</c:f>
              <c:numCache>
                <c:formatCode>0.00</c:formatCode>
                <c:ptCount val="15"/>
                <c:pt idx="0">
                  <c:v>12.298</c:v>
                </c:pt>
                <c:pt idx="1">
                  <c:v>13.157999999999999</c:v>
                </c:pt>
                <c:pt idx="2">
                  <c:v>13.157999999999999</c:v>
                </c:pt>
                <c:pt idx="3">
                  <c:v>13.44</c:v>
                </c:pt>
                <c:pt idx="4">
                  <c:v>13.8353</c:v>
                </c:pt>
                <c:pt idx="5">
                  <c:v>14.0418</c:v>
                </c:pt>
                <c:pt idx="6">
                  <c:v>13.44</c:v>
                </c:pt>
                <c:pt idx="7">
                  <c:v>12.460900000000001</c:v>
                </c:pt>
                <c:pt idx="8">
                  <c:v>12.061500000000001</c:v>
                </c:pt>
                <c:pt idx="9">
                  <c:v>11.834</c:v>
                </c:pt>
                <c:pt idx="10">
                  <c:v>11.614800000000001</c:v>
                </c:pt>
                <c:pt idx="11">
                  <c:v>11.267099999999999</c:v>
                </c:pt>
                <c:pt idx="12">
                  <c:v>11.068199999999999</c:v>
                </c:pt>
                <c:pt idx="13">
                  <c:v>10.939500000000001</c:v>
                </c:pt>
                <c:pt idx="14">
                  <c:v>10.939500000000001</c:v>
                </c:pt>
              </c:numCache>
            </c:numRef>
          </c:val>
        </c:ser>
        <c:ser>
          <c:idx val="11"/>
          <c:order val="11"/>
          <c:tx>
            <c:strRef>
              <c:f>'Fuel - 18 Cell'!$AH$28</c:f>
              <c:strCache>
                <c:ptCount val="1"/>
                <c:pt idx="0">
                  <c:v>140</c:v>
                </c:pt>
              </c:strCache>
            </c:strRef>
          </c:tx>
          <c:spPr>
            <a:solidFill>
              <a:srgbClr val="00FF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Cell'!$AH$29:$AH$43</c:f>
              <c:numCache>
                <c:formatCode>0.00</c:formatCode>
                <c:ptCount val="15"/>
                <c:pt idx="0">
                  <c:v>12.061500000000001</c:v>
                </c:pt>
                <c:pt idx="1">
                  <c:v>12.8</c:v>
                </c:pt>
                <c:pt idx="2">
                  <c:v>12.976599999999999</c:v>
                </c:pt>
                <c:pt idx="3">
                  <c:v>13.066700000000001</c:v>
                </c:pt>
                <c:pt idx="4">
                  <c:v>13.44</c:v>
                </c:pt>
                <c:pt idx="5">
                  <c:v>13.2507</c:v>
                </c:pt>
                <c:pt idx="6">
                  <c:v>12.2182</c:v>
                </c:pt>
                <c:pt idx="7">
                  <c:v>11.614800000000001</c:v>
                </c:pt>
                <c:pt idx="8">
                  <c:v>11.4732</c:v>
                </c:pt>
                <c:pt idx="9">
                  <c:v>11.4732</c:v>
                </c:pt>
                <c:pt idx="10">
                  <c:v>10.939500000000001</c:v>
                </c:pt>
                <c:pt idx="11">
                  <c:v>10.876300000000001</c:v>
                </c:pt>
                <c:pt idx="12">
                  <c:v>10.690899999999999</c:v>
                </c:pt>
                <c:pt idx="13">
                  <c:v>10.5708</c:v>
                </c:pt>
                <c:pt idx="14">
                  <c:v>10.5708</c:v>
                </c:pt>
              </c:numCache>
            </c:numRef>
          </c:val>
        </c:ser>
        <c:ser>
          <c:idx val="12"/>
          <c:order val="12"/>
          <c:tx>
            <c:strRef>
              <c:f>'Fuel - 18 Cell'!$AI$28</c:f>
              <c:strCache>
                <c:ptCount val="1"/>
                <c:pt idx="0">
                  <c:v>160</c:v>
                </c:pt>
              </c:strCache>
            </c:strRef>
          </c:tx>
          <c:spPr>
            <a:solidFill>
              <a:srgbClr val="80008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Cell'!$AI$29:$AI$43</c:f>
              <c:numCache>
                <c:formatCode>0.00</c:formatCode>
                <c:ptCount val="15"/>
                <c:pt idx="0">
                  <c:v>11.834</c:v>
                </c:pt>
                <c:pt idx="1">
                  <c:v>12.544</c:v>
                </c:pt>
                <c:pt idx="2">
                  <c:v>12.8</c:v>
                </c:pt>
                <c:pt idx="3">
                  <c:v>12.8</c:v>
                </c:pt>
                <c:pt idx="4">
                  <c:v>13.157999999999999</c:v>
                </c:pt>
                <c:pt idx="5">
                  <c:v>11.76</c:v>
                </c:pt>
                <c:pt idx="6">
                  <c:v>11.4732</c:v>
                </c:pt>
                <c:pt idx="7">
                  <c:v>11.2</c:v>
                </c:pt>
                <c:pt idx="8">
                  <c:v>11.068199999999999</c:v>
                </c:pt>
                <c:pt idx="9">
                  <c:v>10.939500000000001</c:v>
                </c:pt>
                <c:pt idx="10">
                  <c:v>10.6305</c:v>
                </c:pt>
                <c:pt idx="11">
                  <c:v>10.5708</c:v>
                </c:pt>
                <c:pt idx="12">
                  <c:v>10.3956</c:v>
                </c:pt>
                <c:pt idx="13">
                  <c:v>10.282</c:v>
                </c:pt>
                <c:pt idx="14">
                  <c:v>10.282</c:v>
                </c:pt>
              </c:numCache>
            </c:numRef>
          </c:val>
        </c:ser>
        <c:ser>
          <c:idx val="13"/>
          <c:order val="13"/>
          <c:tx>
            <c:strRef>
              <c:f>'Fuel - 18 Cell'!$AJ$28</c:f>
              <c:strCache>
                <c:ptCount val="1"/>
                <c:pt idx="0">
                  <c:v>180</c:v>
                </c:pt>
              </c:strCache>
            </c:strRef>
          </c:tx>
          <c:spPr>
            <a:solidFill>
              <a:srgbClr val="80000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Cell'!$AJ$29:$AJ$43</c:f>
              <c:numCache>
                <c:formatCode>0.00</c:formatCode>
                <c:ptCount val="15"/>
                <c:pt idx="0">
                  <c:v>11.614800000000001</c:v>
                </c:pt>
                <c:pt idx="1">
                  <c:v>12.298</c:v>
                </c:pt>
                <c:pt idx="2">
                  <c:v>12.544</c:v>
                </c:pt>
                <c:pt idx="3">
                  <c:v>12.6282</c:v>
                </c:pt>
                <c:pt idx="4">
                  <c:v>12.976599999999999</c:v>
                </c:pt>
                <c:pt idx="5">
                  <c:v>11.334899999999999</c:v>
                </c:pt>
                <c:pt idx="6">
                  <c:v>10.876300000000001</c:v>
                </c:pt>
                <c:pt idx="7">
                  <c:v>10.752000000000001</c:v>
                </c:pt>
                <c:pt idx="8">
                  <c:v>10.813800000000001</c:v>
                </c:pt>
                <c:pt idx="9">
                  <c:v>10.5708</c:v>
                </c:pt>
                <c:pt idx="10">
                  <c:v>10.3385</c:v>
                </c:pt>
                <c:pt idx="11">
                  <c:v>10.282</c:v>
                </c:pt>
                <c:pt idx="12">
                  <c:v>10.116099999999999</c:v>
                </c:pt>
                <c:pt idx="13">
                  <c:v>9.9031599999999997</c:v>
                </c:pt>
                <c:pt idx="14">
                  <c:v>9.9031599999999997</c:v>
                </c:pt>
              </c:numCache>
            </c:numRef>
          </c:val>
        </c:ser>
        <c:ser>
          <c:idx val="14"/>
          <c:order val="14"/>
          <c:tx>
            <c:strRef>
              <c:f>'Fuel - 18 Cell'!$AK$28</c:f>
              <c:strCache>
                <c:ptCount val="1"/>
                <c:pt idx="0">
                  <c:v>200</c:v>
                </c:pt>
              </c:strCache>
            </c:strRef>
          </c:tx>
          <c:spPr>
            <a:solidFill>
              <a:srgbClr val="008080"/>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Cell'!$AK$29:$AK$43</c:f>
              <c:numCache>
                <c:formatCode>0.00</c:formatCode>
                <c:ptCount val="15"/>
                <c:pt idx="0">
                  <c:v>11.403600000000001</c:v>
                </c:pt>
                <c:pt idx="1">
                  <c:v>12.061500000000001</c:v>
                </c:pt>
                <c:pt idx="2">
                  <c:v>12.298</c:v>
                </c:pt>
                <c:pt idx="3">
                  <c:v>12.3789</c:v>
                </c:pt>
                <c:pt idx="4">
                  <c:v>12.7135</c:v>
                </c:pt>
                <c:pt idx="5">
                  <c:v>11.068199999999999</c:v>
                </c:pt>
                <c:pt idx="6">
                  <c:v>10.813800000000001</c:v>
                </c:pt>
                <c:pt idx="7">
                  <c:v>10.6305</c:v>
                </c:pt>
                <c:pt idx="8">
                  <c:v>10.752000000000001</c:v>
                </c:pt>
                <c:pt idx="9">
                  <c:v>10.4533</c:v>
                </c:pt>
                <c:pt idx="10">
                  <c:v>10.1708</c:v>
                </c:pt>
                <c:pt idx="11">
                  <c:v>9.9555600000000002</c:v>
                </c:pt>
                <c:pt idx="12">
                  <c:v>9.9031599999999997</c:v>
                </c:pt>
                <c:pt idx="13">
                  <c:v>9.6</c:v>
                </c:pt>
                <c:pt idx="14">
                  <c:v>9.6</c:v>
                </c:pt>
              </c:numCache>
            </c:numRef>
          </c:val>
        </c:ser>
        <c:ser>
          <c:idx val="15"/>
          <c:order val="15"/>
          <c:tx>
            <c:strRef>
              <c:f>'Fuel - 18 Cell'!$AL$28</c:f>
              <c:strCache>
                <c:ptCount val="1"/>
                <c:pt idx="0">
                  <c:v>220</c:v>
                </c:pt>
              </c:strCache>
            </c:strRef>
          </c:tx>
          <c:spPr>
            <a:solidFill>
              <a:srgbClr val="0000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Cell'!$AL$29:$AL$43</c:f>
              <c:numCache>
                <c:formatCode>0.00</c:formatCode>
                <c:ptCount val="15"/>
                <c:pt idx="0">
                  <c:v>11.2</c:v>
                </c:pt>
                <c:pt idx="1">
                  <c:v>11.834</c:v>
                </c:pt>
                <c:pt idx="2">
                  <c:v>12.061500000000001</c:v>
                </c:pt>
                <c:pt idx="3">
                  <c:v>12.1394</c:v>
                </c:pt>
                <c:pt idx="4">
                  <c:v>12.460900000000001</c:v>
                </c:pt>
                <c:pt idx="5">
                  <c:v>10.939500000000001</c:v>
                </c:pt>
                <c:pt idx="6">
                  <c:v>10.752000000000001</c:v>
                </c:pt>
                <c:pt idx="7">
                  <c:v>10.5708</c:v>
                </c:pt>
                <c:pt idx="8">
                  <c:v>10.5708</c:v>
                </c:pt>
                <c:pt idx="9">
                  <c:v>10.3956</c:v>
                </c:pt>
                <c:pt idx="10">
                  <c:v>10.061999999999999</c:v>
                </c:pt>
                <c:pt idx="11">
                  <c:v>9.8000000000000007</c:v>
                </c:pt>
                <c:pt idx="12">
                  <c:v>9.8000000000000007</c:v>
                </c:pt>
                <c:pt idx="13">
                  <c:v>9.6</c:v>
                </c:pt>
                <c:pt idx="14">
                  <c:v>9.6</c:v>
                </c:pt>
              </c:numCache>
            </c:numRef>
          </c:val>
        </c:ser>
        <c:ser>
          <c:idx val="16"/>
          <c:order val="16"/>
          <c:tx>
            <c:strRef>
              <c:f>'Fuel - 18 Cell'!$AM$28</c:f>
              <c:strCache>
                <c:ptCount val="1"/>
                <c:pt idx="0">
                  <c:v>240</c:v>
                </c:pt>
              </c:strCache>
            </c:strRef>
          </c:tx>
          <c:spPr>
            <a:solidFill>
              <a:srgbClr val="00CC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Cell'!$AM$29:$AM$43</c:f>
              <c:numCache>
                <c:formatCode>0.00</c:formatCode>
                <c:ptCount val="15"/>
                <c:pt idx="0">
                  <c:v>11.003500000000001</c:v>
                </c:pt>
                <c:pt idx="1">
                  <c:v>11.614800000000001</c:v>
                </c:pt>
                <c:pt idx="2">
                  <c:v>11.834</c:v>
                </c:pt>
                <c:pt idx="3">
                  <c:v>11.908899999999999</c:v>
                </c:pt>
                <c:pt idx="4">
                  <c:v>12.2182</c:v>
                </c:pt>
                <c:pt idx="5">
                  <c:v>10.752000000000001</c:v>
                </c:pt>
                <c:pt idx="6">
                  <c:v>10.5708</c:v>
                </c:pt>
                <c:pt idx="7">
                  <c:v>10.3956</c:v>
                </c:pt>
                <c:pt idx="8">
                  <c:v>10.3956</c:v>
                </c:pt>
                <c:pt idx="9">
                  <c:v>10.226100000000001</c:v>
                </c:pt>
                <c:pt idx="10">
                  <c:v>9.9031599999999997</c:v>
                </c:pt>
                <c:pt idx="11">
                  <c:v>9.6492299999999993</c:v>
                </c:pt>
                <c:pt idx="12">
                  <c:v>9.6492299999999993</c:v>
                </c:pt>
                <c:pt idx="13">
                  <c:v>9.6</c:v>
                </c:pt>
                <c:pt idx="14">
                  <c:v>9.6</c:v>
                </c:pt>
              </c:numCache>
            </c:numRef>
          </c:val>
        </c:ser>
        <c:ser>
          <c:idx val="17"/>
          <c:order val="17"/>
          <c:tx>
            <c:strRef>
              <c:f>'Fuel - 18 Cell'!$AN$28</c:f>
              <c:strCache>
                <c:ptCount val="1"/>
                <c:pt idx="0">
                  <c:v>260</c:v>
                </c:pt>
              </c:strCache>
            </c:strRef>
          </c:tx>
          <c:spPr>
            <a:solidFill>
              <a:srgbClr val="CCFFFF"/>
            </a:solidFill>
            <a:ln w="12700">
              <a:solidFill>
                <a:srgbClr val="000000"/>
              </a:solidFill>
              <a:prstDash val="solid"/>
            </a:ln>
            <a:sp3d prstMaterial="flat"/>
          </c:spPr>
          <c:cat>
            <c:numRef>
              <c:f>'Fuel - 18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- 18 Cell'!$AN$29:$AN$43</c:f>
              <c:numCache>
                <c:formatCode>0.00</c:formatCode>
                <c:ptCount val="15"/>
                <c:pt idx="0">
                  <c:v>10.813800000000001</c:v>
                </c:pt>
                <c:pt idx="1">
                  <c:v>11.4732</c:v>
                </c:pt>
                <c:pt idx="2">
                  <c:v>11.614800000000001</c:v>
                </c:pt>
                <c:pt idx="3">
                  <c:v>11.686999999999999</c:v>
                </c:pt>
                <c:pt idx="4">
                  <c:v>11.9847</c:v>
                </c:pt>
                <c:pt idx="5">
                  <c:v>10.5708</c:v>
                </c:pt>
                <c:pt idx="6">
                  <c:v>10.511699999999999</c:v>
                </c:pt>
                <c:pt idx="7">
                  <c:v>10.226100000000001</c:v>
                </c:pt>
                <c:pt idx="8">
                  <c:v>10.226100000000001</c:v>
                </c:pt>
                <c:pt idx="9">
                  <c:v>10.061999999999999</c:v>
                </c:pt>
                <c:pt idx="10">
                  <c:v>9.8000000000000007</c:v>
                </c:pt>
                <c:pt idx="11">
                  <c:v>9.6</c:v>
                </c:pt>
                <c:pt idx="12">
                  <c:v>9.6</c:v>
                </c:pt>
                <c:pt idx="13">
                  <c:v>9.6</c:v>
                </c:pt>
                <c:pt idx="14">
                  <c:v>9.6</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71860608"/>
        <c:axId val="71862528"/>
        <c:axId val="71876608"/>
      </c:surface3DChart>
      <c:catAx>
        <c:axId val="71860608"/>
        <c:scaling>
          <c:orientation val="maxMin"/>
        </c:scaling>
        <c:axPos val="b"/>
        <c:title>
          <c:tx>
            <c:rich>
              <a:bodyPr/>
              <a:lstStyle/>
              <a:p>
                <a:pPr>
                  <a:defRPr sz="1200" b="1" i="0" u="none" strike="noStrike" baseline="0">
                    <a:solidFill>
                      <a:srgbClr val="000000"/>
                    </a:solidFill>
                    <a:latin typeface="Arial"/>
                    <a:ea typeface="Arial"/>
                    <a:cs typeface="Arial"/>
                  </a:defRPr>
                </a:pPr>
                <a:r>
                  <a:rPr lang="en-US"/>
                  <a:t>RPM</a:t>
                </a:r>
              </a:p>
            </c:rich>
          </c:tx>
          <c:layout>
            <c:manualLayout>
              <c:xMode val="edge"/>
              <c:yMode val="edge"/>
              <c:x val="0.53763557483731017"/>
              <c:y val="0.93379548930429523"/>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71862528"/>
        <c:crosses val="autoZero"/>
        <c:auto val="1"/>
        <c:lblAlgn val="ctr"/>
        <c:lblOffset val="100"/>
        <c:tickLblSkip val="1"/>
        <c:tickMarkSkip val="1"/>
        <c:noMultiLvlLbl val="1"/>
      </c:catAx>
      <c:valAx>
        <c:axId val="71862528"/>
        <c:scaling>
          <c:orientation val="minMax"/>
          <c:max val="15"/>
          <c:min val="8"/>
        </c:scaling>
        <c:axPos val="r"/>
        <c:majorGridlines>
          <c:spPr>
            <a:ln w="3175">
              <a:solidFill>
                <a:srgbClr val="000000"/>
              </a:solidFill>
              <a:prstDash val="solid"/>
            </a:ln>
          </c:spPr>
        </c:majorGridlines>
        <c:title>
          <c:tx>
            <c:rich>
              <a:bodyPr rot="0" vert="horz"/>
              <a:lstStyle/>
              <a:p>
                <a:pPr algn="ctr">
                  <a:defRPr sz="1200" b="1" i="0" u="none" strike="noStrike" baseline="0">
                    <a:solidFill>
                      <a:srgbClr val="000000"/>
                    </a:solidFill>
                    <a:latin typeface="Arial"/>
                    <a:ea typeface="Arial"/>
                    <a:cs typeface="Arial"/>
                  </a:defRPr>
                </a:pPr>
                <a:r>
                  <a:rPr lang="en-US"/>
                  <a:t>Trim</a:t>
                </a:r>
              </a:p>
            </c:rich>
          </c:tx>
          <c:layout>
            <c:manualLayout>
              <c:xMode val="edge"/>
              <c:yMode val="edge"/>
              <c:x val="0.89863514213651718"/>
              <c:y val="0.46497114864458733"/>
            </c:manualLayout>
          </c:layout>
          <c:spPr>
            <a:noFill/>
            <a:ln w="25400">
              <a:noFill/>
            </a:ln>
          </c:spPr>
        </c:title>
        <c:numFmt formatCode="0.00" sourceLinked="1"/>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71860608"/>
        <c:crosses val="min"/>
        <c:crossBetween val="midCat"/>
        <c:majorUnit val="0.25"/>
        <c:minorUnit val="0.1"/>
      </c:valAx>
      <c:serAx>
        <c:axId val="71876608"/>
        <c:scaling>
          <c:orientation val="maxMin"/>
        </c:scaling>
        <c:axPos val="b"/>
        <c:title>
          <c:tx>
            <c:rich>
              <a:bodyPr/>
              <a:lstStyle/>
              <a:p>
                <a:pPr>
                  <a:defRPr sz="1200" b="1" i="0" u="none" strike="noStrike" baseline="0">
                    <a:solidFill>
                      <a:srgbClr val="000000"/>
                    </a:solidFill>
                    <a:latin typeface="Arial"/>
                    <a:ea typeface="Arial"/>
                    <a:cs typeface="Arial"/>
                  </a:defRPr>
                </a:pPr>
                <a:r>
                  <a:rPr lang="en-US"/>
                  <a:t>Load</a:t>
                </a:r>
              </a:p>
            </c:rich>
          </c:tx>
          <c:layout>
            <c:manualLayout>
              <c:xMode val="edge"/>
              <c:yMode val="edge"/>
              <c:x val="5.2990759560694815E-2"/>
              <c:y val="0.79250599400265775"/>
            </c:manualLayout>
          </c:layout>
          <c:spPr>
            <a:noFill/>
            <a:ln w="25400">
              <a:noFill/>
            </a:ln>
          </c:spPr>
        </c:title>
        <c:numFmt formatCode="General" sourceLinked="1"/>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862528"/>
        <c:crosses val="autoZero"/>
        <c:tickLblSkip val="10"/>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0"/>
      <c:depthPercent val="100"/>
      <c:perspective val="0"/>
    </c:view3D>
    <c:floor>
      <c:spPr>
        <a:noFill/>
        <a:ln w="9525">
          <a:noFill/>
        </a:ln>
      </c:spPr>
    </c:floor>
    <c:sideWall>
      <c:spPr>
        <a:noFill/>
        <a:ln w="25400">
          <a:noFill/>
        </a:ln>
      </c:spPr>
    </c:sideWall>
    <c:backWall>
      <c:spPr>
        <a:noFill/>
        <a:ln w="25400">
          <a:noFill/>
        </a:ln>
      </c:spPr>
    </c:backWall>
    <c:plotArea>
      <c:layout>
        <c:manualLayout>
          <c:layoutTarget val="inner"/>
          <c:xMode val="edge"/>
          <c:yMode val="edge"/>
          <c:x val="3.239587481596496E-2"/>
          <c:y val="2.5575491929643264E-2"/>
          <c:w val="0.84976871632646522"/>
          <c:h val="0.88320698797034647"/>
        </c:manualLayout>
      </c:layout>
      <c:surfaceChart>
        <c:ser>
          <c:idx val="0"/>
          <c:order val="0"/>
          <c:tx>
            <c:strRef>
              <c:f>'Timing - 21 Cell'!$AA$6</c:f>
              <c:strCache>
                <c:ptCount val="1"/>
                <c:pt idx="0">
                  <c:v>0</c:v>
                </c:pt>
              </c:strCache>
            </c:strRef>
          </c:tx>
          <c:spPr>
            <a:solidFill>
              <a:srgbClr val="9999FF"/>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Cell'!$AB$6:$AV$6</c:f>
              <c:numCache>
                <c:formatCode>0</c:formatCode>
                <c:ptCount val="21"/>
                <c:pt idx="0">
                  <c:v>5</c:v>
                </c:pt>
                <c:pt idx="1">
                  <c:v>5</c:v>
                </c:pt>
                <c:pt idx="2">
                  <c:v>5</c:v>
                </c:pt>
                <c:pt idx="3">
                  <c:v>5</c:v>
                </c:pt>
                <c:pt idx="4">
                  <c:v>5</c:v>
                </c:pt>
                <c:pt idx="5">
                  <c:v>11</c:v>
                </c:pt>
                <c:pt idx="6">
                  <c:v>15</c:v>
                </c:pt>
                <c:pt idx="7">
                  <c:v>6</c:v>
                </c:pt>
                <c:pt idx="8">
                  <c:v>3</c:v>
                </c:pt>
                <c:pt idx="9">
                  <c:v>2</c:v>
                </c:pt>
                <c:pt idx="10">
                  <c:v>-1</c:v>
                </c:pt>
                <c:pt idx="11">
                  <c:v>-2</c:v>
                </c:pt>
                <c:pt idx="12">
                  <c:v>-5</c:v>
                </c:pt>
                <c:pt idx="13">
                  <c:v>-8</c:v>
                </c:pt>
                <c:pt idx="14">
                  <c:v>-10</c:v>
                </c:pt>
                <c:pt idx="15">
                  <c:v>-10</c:v>
                </c:pt>
                <c:pt idx="16">
                  <c:v>-10</c:v>
                </c:pt>
                <c:pt idx="17">
                  <c:v>-10</c:v>
                </c:pt>
                <c:pt idx="18">
                  <c:v>-10</c:v>
                </c:pt>
                <c:pt idx="19">
                  <c:v>-10</c:v>
                </c:pt>
                <c:pt idx="20">
                  <c:v>-10</c:v>
                </c:pt>
              </c:numCache>
            </c:numRef>
          </c:val>
        </c:ser>
        <c:ser>
          <c:idx val="1"/>
          <c:order val="1"/>
          <c:tx>
            <c:strRef>
              <c:f>'Timing - 21 Cell'!$AA$7</c:f>
              <c:strCache>
                <c:ptCount val="1"/>
                <c:pt idx="0">
                  <c:v>500</c:v>
                </c:pt>
              </c:strCache>
            </c:strRef>
          </c:tx>
          <c:spPr>
            <a:solidFill>
              <a:srgbClr val="993366"/>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Cell'!$AB$7:$AV$7</c:f>
              <c:numCache>
                <c:formatCode>0</c:formatCode>
                <c:ptCount val="21"/>
                <c:pt idx="0">
                  <c:v>5</c:v>
                </c:pt>
                <c:pt idx="1">
                  <c:v>5</c:v>
                </c:pt>
                <c:pt idx="2">
                  <c:v>5</c:v>
                </c:pt>
                <c:pt idx="3">
                  <c:v>5</c:v>
                </c:pt>
                <c:pt idx="4">
                  <c:v>5</c:v>
                </c:pt>
                <c:pt idx="5">
                  <c:v>8</c:v>
                </c:pt>
                <c:pt idx="6">
                  <c:v>13</c:v>
                </c:pt>
                <c:pt idx="7">
                  <c:v>6</c:v>
                </c:pt>
                <c:pt idx="8">
                  <c:v>3</c:v>
                </c:pt>
                <c:pt idx="9">
                  <c:v>2</c:v>
                </c:pt>
                <c:pt idx="10">
                  <c:v>-1</c:v>
                </c:pt>
                <c:pt idx="11">
                  <c:v>-2</c:v>
                </c:pt>
                <c:pt idx="12">
                  <c:v>-5</c:v>
                </c:pt>
                <c:pt idx="13">
                  <c:v>-8</c:v>
                </c:pt>
                <c:pt idx="14">
                  <c:v>-10</c:v>
                </c:pt>
                <c:pt idx="15">
                  <c:v>-10</c:v>
                </c:pt>
                <c:pt idx="16">
                  <c:v>-10</c:v>
                </c:pt>
                <c:pt idx="17">
                  <c:v>-10</c:v>
                </c:pt>
                <c:pt idx="18">
                  <c:v>-10</c:v>
                </c:pt>
                <c:pt idx="19">
                  <c:v>-10</c:v>
                </c:pt>
                <c:pt idx="20">
                  <c:v>-10</c:v>
                </c:pt>
              </c:numCache>
            </c:numRef>
          </c:val>
        </c:ser>
        <c:ser>
          <c:idx val="2"/>
          <c:order val="2"/>
          <c:tx>
            <c:strRef>
              <c:f>'Timing - 21 Cell'!$AA$8</c:f>
              <c:strCache>
                <c:ptCount val="1"/>
                <c:pt idx="0">
                  <c:v>750</c:v>
                </c:pt>
              </c:strCache>
            </c:strRef>
          </c:tx>
          <c:spPr>
            <a:solidFill>
              <a:srgbClr val="FFFFCC"/>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Cell'!$AB$8:$AV$8</c:f>
              <c:numCache>
                <c:formatCode>0</c:formatCode>
                <c:ptCount val="21"/>
                <c:pt idx="0">
                  <c:v>5</c:v>
                </c:pt>
                <c:pt idx="1">
                  <c:v>5</c:v>
                </c:pt>
                <c:pt idx="2">
                  <c:v>5</c:v>
                </c:pt>
                <c:pt idx="3">
                  <c:v>5</c:v>
                </c:pt>
                <c:pt idx="4">
                  <c:v>5</c:v>
                </c:pt>
                <c:pt idx="5">
                  <c:v>9</c:v>
                </c:pt>
                <c:pt idx="6">
                  <c:v>13</c:v>
                </c:pt>
                <c:pt idx="7">
                  <c:v>10</c:v>
                </c:pt>
                <c:pt idx="8">
                  <c:v>6</c:v>
                </c:pt>
                <c:pt idx="9">
                  <c:v>4</c:v>
                </c:pt>
                <c:pt idx="10">
                  <c:v>2</c:v>
                </c:pt>
                <c:pt idx="11">
                  <c:v>-1</c:v>
                </c:pt>
                <c:pt idx="12">
                  <c:v>-3</c:v>
                </c:pt>
                <c:pt idx="13">
                  <c:v>-6</c:v>
                </c:pt>
                <c:pt idx="14">
                  <c:v>-9</c:v>
                </c:pt>
                <c:pt idx="15">
                  <c:v>-10</c:v>
                </c:pt>
                <c:pt idx="16">
                  <c:v>-10</c:v>
                </c:pt>
                <c:pt idx="17">
                  <c:v>-10</c:v>
                </c:pt>
                <c:pt idx="18">
                  <c:v>-10</c:v>
                </c:pt>
                <c:pt idx="19">
                  <c:v>-10</c:v>
                </c:pt>
                <c:pt idx="20">
                  <c:v>-10</c:v>
                </c:pt>
              </c:numCache>
            </c:numRef>
          </c:val>
        </c:ser>
        <c:ser>
          <c:idx val="3"/>
          <c:order val="3"/>
          <c:tx>
            <c:strRef>
              <c:f>'Timing - 21 Cell'!$AA$9</c:f>
              <c:strCache>
                <c:ptCount val="1"/>
                <c:pt idx="0">
                  <c:v>1000</c:v>
                </c:pt>
              </c:strCache>
            </c:strRef>
          </c:tx>
          <c:spPr>
            <a:solidFill>
              <a:srgbClr val="CCFFFF"/>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Cell'!$AB$9:$AV$9</c:f>
              <c:numCache>
                <c:formatCode>0</c:formatCode>
                <c:ptCount val="21"/>
                <c:pt idx="0">
                  <c:v>5</c:v>
                </c:pt>
                <c:pt idx="1">
                  <c:v>5</c:v>
                </c:pt>
                <c:pt idx="2">
                  <c:v>5</c:v>
                </c:pt>
                <c:pt idx="3">
                  <c:v>5</c:v>
                </c:pt>
                <c:pt idx="4">
                  <c:v>9</c:v>
                </c:pt>
                <c:pt idx="5">
                  <c:v>13</c:v>
                </c:pt>
                <c:pt idx="6">
                  <c:v>18</c:v>
                </c:pt>
                <c:pt idx="7">
                  <c:v>12</c:v>
                </c:pt>
                <c:pt idx="8">
                  <c:v>10</c:v>
                </c:pt>
                <c:pt idx="9">
                  <c:v>7</c:v>
                </c:pt>
                <c:pt idx="10">
                  <c:v>5</c:v>
                </c:pt>
                <c:pt idx="11">
                  <c:v>2</c:v>
                </c:pt>
                <c:pt idx="12">
                  <c:v>-1</c:v>
                </c:pt>
                <c:pt idx="13">
                  <c:v>-3</c:v>
                </c:pt>
                <c:pt idx="14">
                  <c:v>-6</c:v>
                </c:pt>
                <c:pt idx="15">
                  <c:v>-9</c:v>
                </c:pt>
                <c:pt idx="16">
                  <c:v>-10</c:v>
                </c:pt>
                <c:pt idx="17">
                  <c:v>-10</c:v>
                </c:pt>
                <c:pt idx="18">
                  <c:v>-10</c:v>
                </c:pt>
                <c:pt idx="19">
                  <c:v>-10</c:v>
                </c:pt>
                <c:pt idx="20">
                  <c:v>-10</c:v>
                </c:pt>
              </c:numCache>
            </c:numRef>
          </c:val>
        </c:ser>
        <c:ser>
          <c:idx val="4"/>
          <c:order val="4"/>
          <c:tx>
            <c:strRef>
              <c:f>'Timing - 21 Cell'!$AA$10</c:f>
              <c:strCache>
                <c:ptCount val="1"/>
                <c:pt idx="0">
                  <c:v>1250</c:v>
                </c:pt>
              </c:strCache>
            </c:strRef>
          </c:tx>
          <c:spPr>
            <a:solidFill>
              <a:srgbClr val="660066"/>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Cell'!$AB$10:$AV$10</c:f>
              <c:numCache>
                <c:formatCode>0</c:formatCode>
                <c:ptCount val="21"/>
                <c:pt idx="0">
                  <c:v>8</c:v>
                </c:pt>
                <c:pt idx="1">
                  <c:v>8</c:v>
                </c:pt>
                <c:pt idx="2">
                  <c:v>12</c:v>
                </c:pt>
                <c:pt idx="3">
                  <c:v>12</c:v>
                </c:pt>
                <c:pt idx="4">
                  <c:v>16</c:v>
                </c:pt>
                <c:pt idx="5">
                  <c:v>20</c:v>
                </c:pt>
                <c:pt idx="6">
                  <c:v>20</c:v>
                </c:pt>
                <c:pt idx="7">
                  <c:v>17</c:v>
                </c:pt>
                <c:pt idx="8">
                  <c:v>14</c:v>
                </c:pt>
                <c:pt idx="9">
                  <c:v>11</c:v>
                </c:pt>
                <c:pt idx="10">
                  <c:v>8</c:v>
                </c:pt>
                <c:pt idx="11">
                  <c:v>6</c:v>
                </c:pt>
                <c:pt idx="12">
                  <c:v>3</c:v>
                </c:pt>
                <c:pt idx="13">
                  <c:v>0</c:v>
                </c:pt>
                <c:pt idx="14">
                  <c:v>-3</c:v>
                </c:pt>
                <c:pt idx="15">
                  <c:v>-6</c:v>
                </c:pt>
                <c:pt idx="16">
                  <c:v>-8</c:v>
                </c:pt>
                <c:pt idx="17">
                  <c:v>-9</c:v>
                </c:pt>
                <c:pt idx="18">
                  <c:v>-10</c:v>
                </c:pt>
                <c:pt idx="19">
                  <c:v>-10</c:v>
                </c:pt>
                <c:pt idx="20">
                  <c:v>-11</c:v>
                </c:pt>
              </c:numCache>
            </c:numRef>
          </c:val>
        </c:ser>
        <c:ser>
          <c:idx val="5"/>
          <c:order val="5"/>
          <c:tx>
            <c:strRef>
              <c:f>'Timing - 21 Cell'!$AA$11</c:f>
              <c:strCache>
                <c:ptCount val="1"/>
                <c:pt idx="0">
                  <c:v>1500</c:v>
                </c:pt>
              </c:strCache>
            </c:strRef>
          </c:tx>
          <c:spPr>
            <a:solidFill>
              <a:srgbClr val="FF8080"/>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Cell'!$AB$11:$AV$11</c:f>
              <c:numCache>
                <c:formatCode>0</c:formatCode>
                <c:ptCount val="21"/>
                <c:pt idx="0">
                  <c:v>13</c:v>
                </c:pt>
                <c:pt idx="1">
                  <c:v>13</c:v>
                </c:pt>
                <c:pt idx="2">
                  <c:v>19</c:v>
                </c:pt>
                <c:pt idx="3">
                  <c:v>19</c:v>
                </c:pt>
                <c:pt idx="4">
                  <c:v>26</c:v>
                </c:pt>
                <c:pt idx="5">
                  <c:v>24</c:v>
                </c:pt>
                <c:pt idx="6">
                  <c:v>23</c:v>
                </c:pt>
                <c:pt idx="7">
                  <c:v>21</c:v>
                </c:pt>
                <c:pt idx="8">
                  <c:v>18</c:v>
                </c:pt>
                <c:pt idx="9">
                  <c:v>14</c:v>
                </c:pt>
                <c:pt idx="10">
                  <c:v>11</c:v>
                </c:pt>
                <c:pt idx="11">
                  <c:v>9</c:v>
                </c:pt>
                <c:pt idx="12">
                  <c:v>6</c:v>
                </c:pt>
                <c:pt idx="13">
                  <c:v>3</c:v>
                </c:pt>
                <c:pt idx="14">
                  <c:v>0</c:v>
                </c:pt>
                <c:pt idx="15">
                  <c:v>-3</c:v>
                </c:pt>
                <c:pt idx="16">
                  <c:v>-6</c:v>
                </c:pt>
                <c:pt idx="17">
                  <c:v>-8</c:v>
                </c:pt>
                <c:pt idx="18">
                  <c:v>-9</c:v>
                </c:pt>
                <c:pt idx="19">
                  <c:v>-10</c:v>
                </c:pt>
                <c:pt idx="20">
                  <c:v>-11</c:v>
                </c:pt>
              </c:numCache>
            </c:numRef>
          </c:val>
        </c:ser>
        <c:ser>
          <c:idx val="6"/>
          <c:order val="6"/>
          <c:tx>
            <c:strRef>
              <c:f>'Timing - 21 Cell'!$AA$12</c:f>
              <c:strCache>
                <c:ptCount val="1"/>
                <c:pt idx="0">
                  <c:v>1750</c:v>
                </c:pt>
              </c:strCache>
            </c:strRef>
          </c:tx>
          <c:spPr>
            <a:solidFill>
              <a:srgbClr val="0066CC"/>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Cell'!$AB$12:$AV$12</c:f>
              <c:numCache>
                <c:formatCode>0</c:formatCode>
                <c:ptCount val="21"/>
                <c:pt idx="0">
                  <c:v>18</c:v>
                </c:pt>
                <c:pt idx="1">
                  <c:v>20</c:v>
                </c:pt>
                <c:pt idx="2">
                  <c:v>25</c:v>
                </c:pt>
                <c:pt idx="3">
                  <c:v>26</c:v>
                </c:pt>
                <c:pt idx="4">
                  <c:v>27</c:v>
                </c:pt>
                <c:pt idx="5">
                  <c:v>25</c:v>
                </c:pt>
                <c:pt idx="6">
                  <c:v>24</c:v>
                </c:pt>
                <c:pt idx="7">
                  <c:v>23</c:v>
                </c:pt>
                <c:pt idx="8">
                  <c:v>20</c:v>
                </c:pt>
                <c:pt idx="9">
                  <c:v>17</c:v>
                </c:pt>
                <c:pt idx="10">
                  <c:v>14</c:v>
                </c:pt>
                <c:pt idx="11">
                  <c:v>11</c:v>
                </c:pt>
                <c:pt idx="12">
                  <c:v>8</c:v>
                </c:pt>
                <c:pt idx="13">
                  <c:v>5</c:v>
                </c:pt>
                <c:pt idx="14">
                  <c:v>2</c:v>
                </c:pt>
                <c:pt idx="15">
                  <c:v>-1</c:v>
                </c:pt>
                <c:pt idx="16">
                  <c:v>-4</c:v>
                </c:pt>
                <c:pt idx="17">
                  <c:v>-6</c:v>
                </c:pt>
                <c:pt idx="18">
                  <c:v>-8</c:v>
                </c:pt>
                <c:pt idx="19">
                  <c:v>-9</c:v>
                </c:pt>
                <c:pt idx="20">
                  <c:v>-10</c:v>
                </c:pt>
              </c:numCache>
            </c:numRef>
          </c:val>
        </c:ser>
        <c:ser>
          <c:idx val="7"/>
          <c:order val="7"/>
          <c:tx>
            <c:strRef>
              <c:f>'Timing - 21 Cell'!$AA$13</c:f>
              <c:strCache>
                <c:ptCount val="1"/>
                <c:pt idx="0">
                  <c:v>2000</c:v>
                </c:pt>
              </c:strCache>
            </c:strRef>
          </c:tx>
          <c:spPr>
            <a:solidFill>
              <a:srgbClr val="CCCCFF"/>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Cell'!$AB$13:$AV$13</c:f>
              <c:numCache>
                <c:formatCode>0</c:formatCode>
                <c:ptCount val="21"/>
                <c:pt idx="0">
                  <c:v>24</c:v>
                </c:pt>
                <c:pt idx="1">
                  <c:v>25</c:v>
                </c:pt>
                <c:pt idx="2">
                  <c:v>32</c:v>
                </c:pt>
                <c:pt idx="3">
                  <c:v>32</c:v>
                </c:pt>
                <c:pt idx="4">
                  <c:v>29</c:v>
                </c:pt>
                <c:pt idx="5">
                  <c:v>27</c:v>
                </c:pt>
                <c:pt idx="6">
                  <c:v>26</c:v>
                </c:pt>
                <c:pt idx="7">
                  <c:v>25</c:v>
                </c:pt>
                <c:pt idx="8">
                  <c:v>23</c:v>
                </c:pt>
                <c:pt idx="9">
                  <c:v>20</c:v>
                </c:pt>
                <c:pt idx="10">
                  <c:v>16</c:v>
                </c:pt>
                <c:pt idx="11">
                  <c:v>13</c:v>
                </c:pt>
                <c:pt idx="12">
                  <c:v>9</c:v>
                </c:pt>
                <c:pt idx="13">
                  <c:v>6</c:v>
                </c:pt>
                <c:pt idx="14">
                  <c:v>3</c:v>
                </c:pt>
                <c:pt idx="15">
                  <c:v>0</c:v>
                </c:pt>
                <c:pt idx="16">
                  <c:v>-3</c:v>
                </c:pt>
                <c:pt idx="17">
                  <c:v>-5</c:v>
                </c:pt>
                <c:pt idx="18">
                  <c:v>-7</c:v>
                </c:pt>
                <c:pt idx="19">
                  <c:v>-9</c:v>
                </c:pt>
                <c:pt idx="20">
                  <c:v>-10</c:v>
                </c:pt>
              </c:numCache>
            </c:numRef>
          </c:val>
        </c:ser>
        <c:ser>
          <c:idx val="8"/>
          <c:order val="8"/>
          <c:tx>
            <c:strRef>
              <c:f>'Timing - 21 Cell'!$AA$14</c:f>
              <c:strCache>
                <c:ptCount val="1"/>
                <c:pt idx="0">
                  <c:v>2500</c:v>
                </c:pt>
              </c:strCache>
            </c:strRef>
          </c:tx>
          <c:spPr>
            <a:solidFill>
              <a:srgbClr val="000080"/>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Cell'!$AB$14:$AV$14</c:f>
              <c:numCache>
                <c:formatCode>0</c:formatCode>
                <c:ptCount val="21"/>
                <c:pt idx="0">
                  <c:v>24</c:v>
                </c:pt>
                <c:pt idx="1">
                  <c:v>28</c:v>
                </c:pt>
                <c:pt idx="2">
                  <c:v>34</c:v>
                </c:pt>
                <c:pt idx="3">
                  <c:v>34</c:v>
                </c:pt>
                <c:pt idx="4">
                  <c:v>32</c:v>
                </c:pt>
                <c:pt idx="5">
                  <c:v>30</c:v>
                </c:pt>
                <c:pt idx="6">
                  <c:v>29</c:v>
                </c:pt>
                <c:pt idx="7">
                  <c:v>27</c:v>
                </c:pt>
                <c:pt idx="8">
                  <c:v>25</c:v>
                </c:pt>
                <c:pt idx="9">
                  <c:v>22</c:v>
                </c:pt>
                <c:pt idx="10">
                  <c:v>19</c:v>
                </c:pt>
                <c:pt idx="11">
                  <c:v>15</c:v>
                </c:pt>
                <c:pt idx="12">
                  <c:v>11</c:v>
                </c:pt>
                <c:pt idx="13">
                  <c:v>7</c:v>
                </c:pt>
                <c:pt idx="14">
                  <c:v>5</c:v>
                </c:pt>
                <c:pt idx="15">
                  <c:v>2</c:v>
                </c:pt>
                <c:pt idx="16">
                  <c:v>-1</c:v>
                </c:pt>
                <c:pt idx="17">
                  <c:v>-3</c:v>
                </c:pt>
                <c:pt idx="18">
                  <c:v>-5</c:v>
                </c:pt>
                <c:pt idx="19">
                  <c:v>-7</c:v>
                </c:pt>
                <c:pt idx="20">
                  <c:v>-8</c:v>
                </c:pt>
              </c:numCache>
            </c:numRef>
          </c:val>
        </c:ser>
        <c:ser>
          <c:idx val="9"/>
          <c:order val="9"/>
          <c:tx>
            <c:strRef>
              <c:f>'Timing - 21 Cell'!$AA$15</c:f>
              <c:strCache>
                <c:ptCount val="1"/>
                <c:pt idx="0">
                  <c:v>3000</c:v>
                </c:pt>
              </c:strCache>
            </c:strRef>
          </c:tx>
          <c:spPr>
            <a:solidFill>
              <a:srgbClr val="FF00FF"/>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Cell'!$AB$15:$AV$15</c:f>
              <c:numCache>
                <c:formatCode>0</c:formatCode>
                <c:ptCount val="21"/>
                <c:pt idx="0">
                  <c:v>28</c:v>
                </c:pt>
                <c:pt idx="1">
                  <c:v>30</c:v>
                </c:pt>
                <c:pt idx="2">
                  <c:v>38</c:v>
                </c:pt>
                <c:pt idx="3">
                  <c:v>38</c:v>
                </c:pt>
                <c:pt idx="4">
                  <c:v>35</c:v>
                </c:pt>
                <c:pt idx="5">
                  <c:v>32</c:v>
                </c:pt>
                <c:pt idx="6">
                  <c:v>30</c:v>
                </c:pt>
                <c:pt idx="7">
                  <c:v>29</c:v>
                </c:pt>
                <c:pt idx="8">
                  <c:v>27</c:v>
                </c:pt>
                <c:pt idx="9">
                  <c:v>24</c:v>
                </c:pt>
                <c:pt idx="10">
                  <c:v>21</c:v>
                </c:pt>
                <c:pt idx="11">
                  <c:v>17</c:v>
                </c:pt>
                <c:pt idx="12">
                  <c:v>13</c:v>
                </c:pt>
                <c:pt idx="13">
                  <c:v>9</c:v>
                </c:pt>
                <c:pt idx="14">
                  <c:v>6</c:v>
                </c:pt>
                <c:pt idx="15">
                  <c:v>4</c:v>
                </c:pt>
                <c:pt idx="16">
                  <c:v>1</c:v>
                </c:pt>
                <c:pt idx="17">
                  <c:v>-1</c:v>
                </c:pt>
                <c:pt idx="18">
                  <c:v>-3</c:v>
                </c:pt>
                <c:pt idx="19">
                  <c:v>-5</c:v>
                </c:pt>
                <c:pt idx="20">
                  <c:v>-6</c:v>
                </c:pt>
              </c:numCache>
            </c:numRef>
          </c:val>
        </c:ser>
        <c:ser>
          <c:idx val="10"/>
          <c:order val="10"/>
          <c:tx>
            <c:strRef>
              <c:f>'Timing - 21 Cell'!$AA$16</c:f>
              <c:strCache>
                <c:ptCount val="1"/>
                <c:pt idx="0">
                  <c:v>3500</c:v>
                </c:pt>
              </c:strCache>
            </c:strRef>
          </c:tx>
          <c:spPr>
            <a:solidFill>
              <a:srgbClr val="FFFF00"/>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Cell'!$AB$16:$AV$16</c:f>
              <c:numCache>
                <c:formatCode>0</c:formatCode>
                <c:ptCount val="21"/>
                <c:pt idx="0">
                  <c:v>28</c:v>
                </c:pt>
                <c:pt idx="1">
                  <c:v>31</c:v>
                </c:pt>
                <c:pt idx="2">
                  <c:v>38</c:v>
                </c:pt>
                <c:pt idx="3">
                  <c:v>38</c:v>
                </c:pt>
                <c:pt idx="4">
                  <c:v>35</c:v>
                </c:pt>
                <c:pt idx="5">
                  <c:v>32</c:v>
                </c:pt>
                <c:pt idx="6">
                  <c:v>31</c:v>
                </c:pt>
                <c:pt idx="7">
                  <c:v>29</c:v>
                </c:pt>
                <c:pt idx="8">
                  <c:v>28</c:v>
                </c:pt>
                <c:pt idx="9">
                  <c:v>26</c:v>
                </c:pt>
                <c:pt idx="10">
                  <c:v>23</c:v>
                </c:pt>
                <c:pt idx="11">
                  <c:v>19</c:v>
                </c:pt>
                <c:pt idx="12">
                  <c:v>15</c:v>
                </c:pt>
                <c:pt idx="13">
                  <c:v>11</c:v>
                </c:pt>
                <c:pt idx="14">
                  <c:v>8</c:v>
                </c:pt>
                <c:pt idx="15">
                  <c:v>6</c:v>
                </c:pt>
                <c:pt idx="16">
                  <c:v>3</c:v>
                </c:pt>
                <c:pt idx="17">
                  <c:v>1</c:v>
                </c:pt>
                <c:pt idx="18">
                  <c:v>-1</c:v>
                </c:pt>
                <c:pt idx="19">
                  <c:v>-3</c:v>
                </c:pt>
                <c:pt idx="20">
                  <c:v>-4</c:v>
                </c:pt>
              </c:numCache>
            </c:numRef>
          </c:val>
        </c:ser>
        <c:ser>
          <c:idx val="11"/>
          <c:order val="11"/>
          <c:tx>
            <c:strRef>
              <c:f>'Timing - 21 Cell'!$AA$17</c:f>
              <c:strCache>
                <c:ptCount val="1"/>
                <c:pt idx="0">
                  <c:v>4000</c:v>
                </c:pt>
              </c:strCache>
            </c:strRef>
          </c:tx>
          <c:spPr>
            <a:solidFill>
              <a:srgbClr val="00FFFF"/>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Cell'!$AB$17:$AV$17</c:f>
              <c:numCache>
                <c:formatCode>0</c:formatCode>
                <c:ptCount val="21"/>
                <c:pt idx="0">
                  <c:v>28</c:v>
                </c:pt>
                <c:pt idx="1">
                  <c:v>32</c:v>
                </c:pt>
                <c:pt idx="2">
                  <c:v>38</c:v>
                </c:pt>
                <c:pt idx="3">
                  <c:v>38</c:v>
                </c:pt>
                <c:pt idx="4">
                  <c:v>35</c:v>
                </c:pt>
                <c:pt idx="5">
                  <c:v>33</c:v>
                </c:pt>
                <c:pt idx="6">
                  <c:v>31</c:v>
                </c:pt>
                <c:pt idx="7">
                  <c:v>30</c:v>
                </c:pt>
                <c:pt idx="8">
                  <c:v>28</c:v>
                </c:pt>
                <c:pt idx="9">
                  <c:v>26</c:v>
                </c:pt>
                <c:pt idx="10">
                  <c:v>24</c:v>
                </c:pt>
                <c:pt idx="11">
                  <c:v>20</c:v>
                </c:pt>
                <c:pt idx="12">
                  <c:v>16</c:v>
                </c:pt>
                <c:pt idx="13">
                  <c:v>12</c:v>
                </c:pt>
                <c:pt idx="14">
                  <c:v>9</c:v>
                </c:pt>
                <c:pt idx="15">
                  <c:v>7</c:v>
                </c:pt>
                <c:pt idx="16">
                  <c:v>5</c:v>
                </c:pt>
                <c:pt idx="17">
                  <c:v>3</c:v>
                </c:pt>
                <c:pt idx="18">
                  <c:v>1</c:v>
                </c:pt>
                <c:pt idx="19">
                  <c:v>-1</c:v>
                </c:pt>
                <c:pt idx="20">
                  <c:v>-2</c:v>
                </c:pt>
              </c:numCache>
            </c:numRef>
          </c:val>
        </c:ser>
        <c:ser>
          <c:idx val="12"/>
          <c:order val="12"/>
          <c:tx>
            <c:strRef>
              <c:f>'Timing - 21 Cell'!$AA$18</c:f>
              <c:strCache>
                <c:ptCount val="1"/>
                <c:pt idx="0">
                  <c:v>4500</c:v>
                </c:pt>
              </c:strCache>
            </c:strRef>
          </c:tx>
          <c:spPr>
            <a:solidFill>
              <a:srgbClr val="800080"/>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Cell'!$AB$18:$AV$18</c:f>
              <c:numCache>
                <c:formatCode>0</c:formatCode>
                <c:ptCount val="21"/>
                <c:pt idx="0">
                  <c:v>33</c:v>
                </c:pt>
                <c:pt idx="1">
                  <c:v>34</c:v>
                </c:pt>
                <c:pt idx="2">
                  <c:v>38</c:v>
                </c:pt>
                <c:pt idx="3">
                  <c:v>38</c:v>
                </c:pt>
                <c:pt idx="4">
                  <c:v>35</c:v>
                </c:pt>
                <c:pt idx="5">
                  <c:v>33</c:v>
                </c:pt>
                <c:pt idx="6">
                  <c:v>31</c:v>
                </c:pt>
                <c:pt idx="7">
                  <c:v>30</c:v>
                </c:pt>
                <c:pt idx="8">
                  <c:v>28</c:v>
                </c:pt>
                <c:pt idx="9">
                  <c:v>26</c:v>
                </c:pt>
                <c:pt idx="10">
                  <c:v>24</c:v>
                </c:pt>
                <c:pt idx="11">
                  <c:v>20</c:v>
                </c:pt>
                <c:pt idx="12">
                  <c:v>16</c:v>
                </c:pt>
                <c:pt idx="13">
                  <c:v>13</c:v>
                </c:pt>
                <c:pt idx="14">
                  <c:v>10</c:v>
                </c:pt>
                <c:pt idx="15">
                  <c:v>8</c:v>
                </c:pt>
                <c:pt idx="16">
                  <c:v>6</c:v>
                </c:pt>
                <c:pt idx="17">
                  <c:v>3</c:v>
                </c:pt>
                <c:pt idx="18">
                  <c:v>2</c:v>
                </c:pt>
                <c:pt idx="19">
                  <c:v>0</c:v>
                </c:pt>
                <c:pt idx="20">
                  <c:v>0</c:v>
                </c:pt>
              </c:numCache>
            </c:numRef>
          </c:val>
        </c:ser>
        <c:ser>
          <c:idx val="13"/>
          <c:order val="13"/>
          <c:tx>
            <c:strRef>
              <c:f>'Timing - 21 Cell'!$AA$19</c:f>
              <c:strCache>
                <c:ptCount val="1"/>
                <c:pt idx="0">
                  <c:v>5000</c:v>
                </c:pt>
              </c:strCache>
            </c:strRef>
          </c:tx>
          <c:spPr>
            <a:solidFill>
              <a:srgbClr val="800000"/>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Cell'!$AB$19:$AV$19</c:f>
              <c:numCache>
                <c:formatCode>0</c:formatCode>
                <c:ptCount val="21"/>
                <c:pt idx="0">
                  <c:v>38</c:v>
                </c:pt>
                <c:pt idx="1">
                  <c:v>38</c:v>
                </c:pt>
                <c:pt idx="2">
                  <c:v>38</c:v>
                </c:pt>
                <c:pt idx="3">
                  <c:v>38</c:v>
                </c:pt>
                <c:pt idx="4">
                  <c:v>35</c:v>
                </c:pt>
                <c:pt idx="5">
                  <c:v>33</c:v>
                </c:pt>
                <c:pt idx="6">
                  <c:v>31</c:v>
                </c:pt>
                <c:pt idx="7">
                  <c:v>30</c:v>
                </c:pt>
                <c:pt idx="8">
                  <c:v>28</c:v>
                </c:pt>
                <c:pt idx="9">
                  <c:v>27</c:v>
                </c:pt>
                <c:pt idx="10">
                  <c:v>24</c:v>
                </c:pt>
                <c:pt idx="11">
                  <c:v>20</c:v>
                </c:pt>
                <c:pt idx="12">
                  <c:v>17</c:v>
                </c:pt>
                <c:pt idx="13">
                  <c:v>13</c:v>
                </c:pt>
                <c:pt idx="14">
                  <c:v>11</c:v>
                </c:pt>
                <c:pt idx="15">
                  <c:v>9</c:v>
                </c:pt>
                <c:pt idx="16">
                  <c:v>6</c:v>
                </c:pt>
                <c:pt idx="17">
                  <c:v>4</c:v>
                </c:pt>
                <c:pt idx="18">
                  <c:v>3</c:v>
                </c:pt>
                <c:pt idx="19">
                  <c:v>2</c:v>
                </c:pt>
                <c:pt idx="20">
                  <c:v>1</c:v>
                </c:pt>
              </c:numCache>
            </c:numRef>
          </c:val>
        </c:ser>
        <c:ser>
          <c:idx val="14"/>
          <c:order val="14"/>
          <c:tx>
            <c:strRef>
              <c:f>'Timing - 21 Cell'!$AA$20</c:f>
              <c:strCache>
                <c:ptCount val="1"/>
                <c:pt idx="0">
                  <c:v>5500</c:v>
                </c:pt>
              </c:strCache>
            </c:strRef>
          </c:tx>
          <c:spPr>
            <a:solidFill>
              <a:srgbClr val="008080"/>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Cell'!$AB$20:$AV$20</c:f>
              <c:numCache>
                <c:formatCode>0</c:formatCode>
                <c:ptCount val="21"/>
                <c:pt idx="0">
                  <c:v>38</c:v>
                </c:pt>
                <c:pt idx="1">
                  <c:v>38</c:v>
                </c:pt>
                <c:pt idx="2">
                  <c:v>38</c:v>
                </c:pt>
                <c:pt idx="3">
                  <c:v>38</c:v>
                </c:pt>
                <c:pt idx="4">
                  <c:v>35</c:v>
                </c:pt>
                <c:pt idx="5">
                  <c:v>33</c:v>
                </c:pt>
                <c:pt idx="6">
                  <c:v>31</c:v>
                </c:pt>
                <c:pt idx="7">
                  <c:v>30</c:v>
                </c:pt>
                <c:pt idx="8">
                  <c:v>29</c:v>
                </c:pt>
                <c:pt idx="9">
                  <c:v>27</c:v>
                </c:pt>
                <c:pt idx="10">
                  <c:v>25</c:v>
                </c:pt>
                <c:pt idx="11">
                  <c:v>21</c:v>
                </c:pt>
                <c:pt idx="12">
                  <c:v>18</c:v>
                </c:pt>
                <c:pt idx="13">
                  <c:v>14</c:v>
                </c:pt>
                <c:pt idx="14">
                  <c:v>12</c:v>
                </c:pt>
                <c:pt idx="15">
                  <c:v>9</c:v>
                </c:pt>
                <c:pt idx="16">
                  <c:v>7</c:v>
                </c:pt>
                <c:pt idx="17">
                  <c:v>5</c:v>
                </c:pt>
                <c:pt idx="18">
                  <c:v>4</c:v>
                </c:pt>
                <c:pt idx="19">
                  <c:v>3</c:v>
                </c:pt>
                <c:pt idx="20">
                  <c:v>3</c:v>
                </c:pt>
              </c:numCache>
            </c:numRef>
          </c:val>
        </c:ser>
        <c:ser>
          <c:idx val="15"/>
          <c:order val="15"/>
          <c:tx>
            <c:strRef>
              <c:f>'Timing - 21 Cell'!$AA$21</c:f>
              <c:strCache>
                <c:ptCount val="1"/>
                <c:pt idx="0">
                  <c:v>6000</c:v>
                </c:pt>
              </c:strCache>
            </c:strRef>
          </c:tx>
          <c:spPr>
            <a:solidFill>
              <a:srgbClr val="0000FF"/>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Cell'!$AB$21:$AV$21</c:f>
              <c:numCache>
                <c:formatCode>0</c:formatCode>
                <c:ptCount val="21"/>
                <c:pt idx="0">
                  <c:v>38</c:v>
                </c:pt>
                <c:pt idx="1">
                  <c:v>38</c:v>
                </c:pt>
                <c:pt idx="2">
                  <c:v>38</c:v>
                </c:pt>
                <c:pt idx="3">
                  <c:v>38</c:v>
                </c:pt>
                <c:pt idx="4">
                  <c:v>36</c:v>
                </c:pt>
                <c:pt idx="5">
                  <c:v>34</c:v>
                </c:pt>
                <c:pt idx="6">
                  <c:v>33</c:v>
                </c:pt>
                <c:pt idx="7">
                  <c:v>32</c:v>
                </c:pt>
                <c:pt idx="8">
                  <c:v>31</c:v>
                </c:pt>
                <c:pt idx="9">
                  <c:v>29</c:v>
                </c:pt>
                <c:pt idx="10">
                  <c:v>26</c:v>
                </c:pt>
                <c:pt idx="11">
                  <c:v>23</c:v>
                </c:pt>
                <c:pt idx="12">
                  <c:v>20</c:v>
                </c:pt>
                <c:pt idx="13">
                  <c:v>16</c:v>
                </c:pt>
                <c:pt idx="14">
                  <c:v>13</c:v>
                </c:pt>
                <c:pt idx="15">
                  <c:v>10</c:v>
                </c:pt>
                <c:pt idx="16">
                  <c:v>8</c:v>
                </c:pt>
                <c:pt idx="17">
                  <c:v>6</c:v>
                </c:pt>
                <c:pt idx="18">
                  <c:v>5</c:v>
                </c:pt>
                <c:pt idx="19">
                  <c:v>5</c:v>
                </c:pt>
                <c:pt idx="20">
                  <c:v>4</c:v>
                </c:pt>
              </c:numCache>
            </c:numRef>
          </c:val>
        </c:ser>
        <c:ser>
          <c:idx val="16"/>
          <c:order val="16"/>
          <c:tx>
            <c:strRef>
              <c:f>'Timing - 21 Cell'!$AA$22</c:f>
              <c:strCache>
                <c:ptCount val="1"/>
                <c:pt idx="0">
                  <c:v>6500</c:v>
                </c:pt>
              </c:strCache>
            </c:strRef>
          </c:tx>
          <c:spPr>
            <a:solidFill>
              <a:srgbClr val="00CCFF"/>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Cell'!$AB$22:$AV$22</c:f>
              <c:numCache>
                <c:formatCode>0</c:formatCode>
                <c:ptCount val="21"/>
                <c:pt idx="0">
                  <c:v>38</c:v>
                </c:pt>
                <c:pt idx="1">
                  <c:v>38</c:v>
                </c:pt>
                <c:pt idx="2">
                  <c:v>38</c:v>
                </c:pt>
                <c:pt idx="3">
                  <c:v>38</c:v>
                </c:pt>
                <c:pt idx="4">
                  <c:v>38</c:v>
                </c:pt>
                <c:pt idx="5">
                  <c:v>37</c:v>
                </c:pt>
                <c:pt idx="6">
                  <c:v>35</c:v>
                </c:pt>
                <c:pt idx="7">
                  <c:v>34</c:v>
                </c:pt>
                <c:pt idx="8">
                  <c:v>33</c:v>
                </c:pt>
                <c:pt idx="9">
                  <c:v>31</c:v>
                </c:pt>
                <c:pt idx="10">
                  <c:v>29</c:v>
                </c:pt>
                <c:pt idx="11">
                  <c:v>26</c:v>
                </c:pt>
                <c:pt idx="12">
                  <c:v>23</c:v>
                </c:pt>
                <c:pt idx="13">
                  <c:v>19</c:v>
                </c:pt>
                <c:pt idx="14">
                  <c:v>15</c:v>
                </c:pt>
                <c:pt idx="15">
                  <c:v>12</c:v>
                </c:pt>
                <c:pt idx="16">
                  <c:v>9</c:v>
                </c:pt>
                <c:pt idx="17">
                  <c:v>8</c:v>
                </c:pt>
                <c:pt idx="18">
                  <c:v>7</c:v>
                </c:pt>
                <c:pt idx="19">
                  <c:v>6</c:v>
                </c:pt>
                <c:pt idx="20">
                  <c:v>6</c:v>
                </c:pt>
              </c:numCache>
            </c:numRef>
          </c:val>
        </c:ser>
        <c:ser>
          <c:idx val="17"/>
          <c:order val="17"/>
          <c:tx>
            <c:strRef>
              <c:f>'Timing - 21 Cell'!$AA$23</c:f>
              <c:strCache>
                <c:ptCount val="1"/>
                <c:pt idx="0">
                  <c:v>7000</c:v>
                </c:pt>
              </c:strCache>
            </c:strRef>
          </c:tx>
          <c:spPr>
            <a:solidFill>
              <a:srgbClr val="CCFFFF"/>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Cell'!$AB$23:$AV$23</c:f>
              <c:numCache>
                <c:formatCode>0</c:formatCode>
                <c:ptCount val="21"/>
                <c:pt idx="0">
                  <c:v>38</c:v>
                </c:pt>
                <c:pt idx="1">
                  <c:v>38</c:v>
                </c:pt>
                <c:pt idx="2">
                  <c:v>38</c:v>
                </c:pt>
                <c:pt idx="3">
                  <c:v>38</c:v>
                </c:pt>
                <c:pt idx="4">
                  <c:v>38</c:v>
                </c:pt>
                <c:pt idx="5">
                  <c:v>37</c:v>
                </c:pt>
                <c:pt idx="6">
                  <c:v>36</c:v>
                </c:pt>
                <c:pt idx="7">
                  <c:v>35</c:v>
                </c:pt>
                <c:pt idx="8">
                  <c:v>34</c:v>
                </c:pt>
                <c:pt idx="9">
                  <c:v>33</c:v>
                </c:pt>
                <c:pt idx="10">
                  <c:v>31</c:v>
                </c:pt>
                <c:pt idx="11">
                  <c:v>29</c:v>
                </c:pt>
                <c:pt idx="12">
                  <c:v>25</c:v>
                </c:pt>
                <c:pt idx="13">
                  <c:v>21</c:v>
                </c:pt>
                <c:pt idx="14">
                  <c:v>17</c:v>
                </c:pt>
                <c:pt idx="15">
                  <c:v>13</c:v>
                </c:pt>
                <c:pt idx="16">
                  <c:v>10</c:v>
                </c:pt>
                <c:pt idx="17">
                  <c:v>9</c:v>
                </c:pt>
                <c:pt idx="18">
                  <c:v>9</c:v>
                </c:pt>
                <c:pt idx="19">
                  <c:v>8</c:v>
                </c:pt>
                <c:pt idx="20">
                  <c:v>8</c:v>
                </c:pt>
              </c:numCache>
            </c:numRef>
          </c:val>
        </c:ser>
        <c:ser>
          <c:idx val="18"/>
          <c:order val="18"/>
          <c:tx>
            <c:strRef>
              <c:f>'Timing - 21 Cell'!$AA$24</c:f>
              <c:strCache>
                <c:ptCount val="1"/>
                <c:pt idx="0">
                  <c:v>7500</c:v>
                </c:pt>
              </c:strCache>
            </c:strRef>
          </c:tx>
          <c:spPr>
            <a:solidFill>
              <a:srgbClr val="CCFFCC"/>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Cell'!$AB$24:$AV$24</c:f>
              <c:numCache>
                <c:formatCode>0</c:formatCode>
                <c:ptCount val="21"/>
                <c:pt idx="0">
                  <c:v>38</c:v>
                </c:pt>
                <c:pt idx="1">
                  <c:v>38</c:v>
                </c:pt>
                <c:pt idx="2">
                  <c:v>38</c:v>
                </c:pt>
                <c:pt idx="3">
                  <c:v>38</c:v>
                </c:pt>
                <c:pt idx="4">
                  <c:v>38</c:v>
                </c:pt>
                <c:pt idx="5">
                  <c:v>37</c:v>
                </c:pt>
                <c:pt idx="6">
                  <c:v>36</c:v>
                </c:pt>
                <c:pt idx="7">
                  <c:v>35</c:v>
                </c:pt>
                <c:pt idx="8">
                  <c:v>35</c:v>
                </c:pt>
                <c:pt idx="9">
                  <c:v>34</c:v>
                </c:pt>
                <c:pt idx="10">
                  <c:v>32</c:v>
                </c:pt>
                <c:pt idx="11">
                  <c:v>30</c:v>
                </c:pt>
                <c:pt idx="12">
                  <c:v>26</c:v>
                </c:pt>
                <c:pt idx="13">
                  <c:v>22</c:v>
                </c:pt>
                <c:pt idx="14">
                  <c:v>17</c:v>
                </c:pt>
                <c:pt idx="15">
                  <c:v>14</c:v>
                </c:pt>
                <c:pt idx="16">
                  <c:v>11</c:v>
                </c:pt>
                <c:pt idx="17">
                  <c:v>10</c:v>
                </c:pt>
                <c:pt idx="18">
                  <c:v>10</c:v>
                </c:pt>
                <c:pt idx="19">
                  <c:v>10</c:v>
                </c:pt>
                <c:pt idx="20">
                  <c:v>10</c:v>
                </c:pt>
              </c:numCache>
            </c:numRef>
          </c:val>
        </c:ser>
        <c:ser>
          <c:idx val="19"/>
          <c:order val="19"/>
          <c:tx>
            <c:strRef>
              <c:f>'Timing - 21 Cell'!$AA$25</c:f>
              <c:strCache>
                <c:ptCount val="1"/>
                <c:pt idx="0">
                  <c:v>11000</c:v>
                </c:pt>
              </c:strCache>
            </c:strRef>
          </c:tx>
          <c:spPr>
            <a:solidFill>
              <a:srgbClr val="FFFF99"/>
            </a:solidFill>
            <a:ln w="12700">
              <a:solidFill>
                <a:srgbClr val="000000"/>
              </a:solidFill>
              <a:prstDash val="solid"/>
            </a:ln>
            <a:sp3d prstMaterial="flat"/>
          </c:spPr>
          <c:cat>
            <c:numRef>
              <c:f>'Timing - 21 Cell'!$AB$5:$AV$5</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Cell'!$AB$25:$AV$25</c:f>
              <c:numCache>
                <c:formatCode>0</c:formatCode>
                <c:ptCount val="21"/>
                <c:pt idx="0">
                  <c:v>38</c:v>
                </c:pt>
                <c:pt idx="1">
                  <c:v>38</c:v>
                </c:pt>
                <c:pt idx="2">
                  <c:v>38</c:v>
                </c:pt>
                <c:pt idx="3">
                  <c:v>38</c:v>
                </c:pt>
                <c:pt idx="4">
                  <c:v>38</c:v>
                </c:pt>
                <c:pt idx="5">
                  <c:v>37</c:v>
                </c:pt>
                <c:pt idx="6">
                  <c:v>36</c:v>
                </c:pt>
                <c:pt idx="7">
                  <c:v>35</c:v>
                </c:pt>
                <c:pt idx="8">
                  <c:v>35</c:v>
                </c:pt>
                <c:pt idx="9">
                  <c:v>34</c:v>
                </c:pt>
                <c:pt idx="10">
                  <c:v>33</c:v>
                </c:pt>
                <c:pt idx="11">
                  <c:v>30</c:v>
                </c:pt>
                <c:pt idx="12">
                  <c:v>27</c:v>
                </c:pt>
                <c:pt idx="13">
                  <c:v>22</c:v>
                </c:pt>
                <c:pt idx="14">
                  <c:v>18</c:v>
                </c:pt>
                <c:pt idx="15">
                  <c:v>14</c:v>
                </c:pt>
                <c:pt idx="16">
                  <c:v>12</c:v>
                </c:pt>
                <c:pt idx="17">
                  <c:v>10</c:v>
                </c:pt>
                <c:pt idx="18">
                  <c:v>10</c:v>
                </c:pt>
                <c:pt idx="19">
                  <c:v>10</c:v>
                </c:pt>
                <c:pt idx="20">
                  <c:v>10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
            <c:idx val="40"/>
            <c:spPr>
              <a:solidFill>
                <a:srgbClr val="000000"/>
              </a:solidFill>
              <a:ln w="12700">
                <a:solidFill>
                  <a:srgbClr val="000000"/>
                </a:solidFill>
                <a:prstDash val="solid"/>
              </a:ln>
              <a:sp3d prstMaterial="flat"/>
            </c:spPr>
          </c:bandFmt>
          <c:bandFmt>
            <c:idx val="41"/>
            <c:spPr>
              <a:solidFill>
                <a:srgbClr val="FFFFFF"/>
              </a:solidFill>
              <a:ln w="12700">
                <a:solidFill>
                  <a:srgbClr val="000000"/>
                </a:solidFill>
                <a:prstDash val="solid"/>
              </a:ln>
              <a:sp3d prstMaterial="flat"/>
            </c:spPr>
          </c:bandFmt>
          <c:bandFmt>
            <c:idx val="42"/>
            <c:spPr>
              <a:solidFill>
                <a:srgbClr val="FF0000"/>
              </a:solidFill>
              <a:ln w="12700">
                <a:solidFill>
                  <a:srgbClr val="000000"/>
                </a:solidFill>
                <a:prstDash val="solid"/>
              </a:ln>
              <a:sp3d prstMaterial="flat"/>
            </c:spPr>
          </c:bandFmt>
          <c:bandFmt>
            <c:idx val="43"/>
            <c:spPr>
              <a:solidFill>
                <a:srgbClr val="00FF00"/>
              </a:solidFill>
              <a:ln w="12700">
                <a:solidFill>
                  <a:srgbClr val="000000"/>
                </a:solidFill>
                <a:prstDash val="solid"/>
              </a:ln>
              <a:sp3d prstMaterial="flat"/>
            </c:spPr>
          </c:bandFmt>
          <c:bandFmt>
            <c:idx val="44"/>
            <c:spPr>
              <a:solidFill>
                <a:srgbClr val="0000FF"/>
              </a:solidFill>
              <a:ln w="12700">
                <a:solidFill>
                  <a:srgbClr val="000000"/>
                </a:solidFill>
                <a:prstDash val="solid"/>
              </a:ln>
              <a:sp3d prstMaterial="flat"/>
            </c:spPr>
          </c:bandFmt>
          <c:bandFmt>
            <c:idx val="45"/>
            <c:spPr>
              <a:solidFill>
                <a:srgbClr val="FFFF00"/>
              </a:solidFill>
              <a:ln w="12700">
                <a:solidFill>
                  <a:srgbClr val="000000"/>
                </a:solidFill>
                <a:prstDash val="solid"/>
              </a:ln>
              <a:sp3d prstMaterial="flat"/>
            </c:spPr>
          </c:bandFmt>
          <c:bandFmt>
            <c:idx val="46"/>
            <c:spPr>
              <a:solidFill>
                <a:srgbClr val="FF00FF"/>
              </a:solidFill>
              <a:ln w="12700">
                <a:solidFill>
                  <a:srgbClr val="000000"/>
                </a:solidFill>
                <a:prstDash val="solid"/>
              </a:ln>
              <a:sp3d prstMaterial="flat"/>
            </c:spPr>
          </c:bandFmt>
          <c:bandFmt>
            <c:idx val="47"/>
            <c:spPr>
              <a:solidFill>
                <a:srgbClr val="00FFFF"/>
              </a:solidFill>
              <a:ln w="12700">
                <a:solidFill>
                  <a:srgbClr val="000000"/>
                </a:solidFill>
                <a:prstDash val="solid"/>
              </a:ln>
              <a:sp3d prstMaterial="flat"/>
            </c:spPr>
          </c:bandFmt>
        </c:bandFmts>
        <c:axId val="74532736"/>
        <c:axId val="74534272"/>
        <c:axId val="71973504"/>
      </c:surfaceChart>
      <c:catAx>
        <c:axId val="74532736"/>
        <c:scaling>
          <c:orientation val="minMax"/>
        </c:scaling>
        <c:axPos val="b"/>
        <c:numFmt formatCode="General" sourceLinked="1"/>
        <c:tickLblPos val="low"/>
        <c:spPr>
          <a:ln w="3175">
            <a:solidFill>
              <a:srgbClr val="000000"/>
            </a:solidFill>
            <a:prstDash val="solid"/>
          </a:ln>
        </c:spPr>
        <c:txPr>
          <a:bodyPr rot="-5400000" vert="horz"/>
          <a:lstStyle/>
          <a:p>
            <a:pPr>
              <a:defRPr sz="1150" b="0" i="0" u="none" strike="noStrike" baseline="0">
                <a:solidFill>
                  <a:srgbClr val="000000"/>
                </a:solidFill>
                <a:latin typeface="Arial"/>
                <a:ea typeface="Arial"/>
                <a:cs typeface="Arial"/>
              </a:defRPr>
            </a:pPr>
            <a:endParaRPr lang="en-US"/>
          </a:p>
        </c:txPr>
        <c:crossAx val="74534272"/>
        <c:crosses val="autoZero"/>
        <c:auto val="1"/>
        <c:lblAlgn val="ctr"/>
        <c:lblOffset val="100"/>
        <c:tickLblSkip val="2"/>
        <c:tickMarkSkip val="1"/>
        <c:noMultiLvlLbl val="1"/>
      </c:catAx>
      <c:valAx>
        <c:axId val="74534272"/>
        <c:scaling>
          <c:orientation val="minMax"/>
          <c:max val="38"/>
          <c:min val="-10"/>
        </c:scaling>
        <c:axPos val="l"/>
        <c:majorGridlines>
          <c:spPr>
            <a:ln w="3175">
              <a:solidFill>
                <a:srgbClr val="C0C0C0"/>
              </a:solidFill>
              <a:prstDash val="solid"/>
            </a:ln>
          </c:spPr>
        </c:majorGridlines>
        <c:numFmt formatCode="0" sourceLinked="1"/>
        <c:majorTickMark val="none"/>
        <c:tickLblPos val="none"/>
        <c:spPr>
          <a:ln w="3175">
            <a:solidFill>
              <a:srgbClr val="000000"/>
            </a:solidFill>
            <a:prstDash val="solid"/>
          </a:ln>
        </c:spPr>
        <c:crossAx val="74532736"/>
        <c:crosses val="autoZero"/>
        <c:crossBetween val="midCat"/>
        <c:majorUnit val="1"/>
        <c:minorUnit val="0.5"/>
      </c:valAx>
      <c:serAx>
        <c:axId val="71973504"/>
        <c:scaling>
          <c:orientation val="maxMin"/>
        </c:scaling>
        <c:axPos val="b"/>
        <c:numFmt formatCode="General" sourceLinked="1"/>
        <c:tickLblPos val="low"/>
        <c:spPr>
          <a:ln w="3175">
            <a:solidFill>
              <a:srgbClr val="000000"/>
            </a:solidFill>
            <a:prstDash val="solid"/>
          </a:ln>
        </c:spPr>
        <c:txPr>
          <a:bodyPr rot="0" vert="horz"/>
          <a:lstStyle/>
          <a:p>
            <a:pPr>
              <a:defRPr sz="1350" b="0" i="0" u="none" strike="noStrike" baseline="0">
                <a:solidFill>
                  <a:srgbClr val="000000"/>
                </a:solidFill>
                <a:latin typeface="Arial"/>
                <a:ea typeface="Arial"/>
                <a:cs typeface="Arial"/>
              </a:defRPr>
            </a:pPr>
            <a:endParaRPr lang="en-US"/>
          </a:p>
        </c:txPr>
        <c:crossAx val="74534272"/>
        <c:crosses val="autoZero"/>
        <c:tickLblSkip val="2"/>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horizontalDpi="200" verticalDpi="200"/>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0"/>
      <c:depthPercent val="100"/>
      <c:perspective val="0"/>
    </c:view3D>
    <c:floor>
      <c:spPr>
        <a:noFill/>
        <a:ln w="9525">
          <a:noFill/>
        </a:ln>
      </c:spPr>
    </c:floor>
    <c:sideWall>
      <c:spPr>
        <a:noFill/>
        <a:ln w="25400">
          <a:noFill/>
        </a:ln>
      </c:spPr>
    </c:sideWall>
    <c:backWall>
      <c:spPr>
        <a:noFill/>
        <a:ln w="25400">
          <a:noFill/>
        </a:ln>
      </c:spPr>
    </c:backWall>
    <c:plotArea>
      <c:layout>
        <c:manualLayout>
          <c:layoutTarget val="inner"/>
          <c:xMode val="edge"/>
          <c:yMode val="edge"/>
          <c:x val="5.0679851668726801E-2"/>
          <c:y val="2.3769100169779296E-2"/>
          <c:w val="0.7725587144622994"/>
          <c:h val="0.794567062818336"/>
        </c:manualLayout>
      </c:layout>
      <c:surfaceChart>
        <c:ser>
          <c:idx val="0"/>
          <c:order val="0"/>
          <c:tx>
            <c:strRef>
              <c:f>'Timing - 21 Cell'!$AA$30</c:f>
              <c:strCache>
                <c:ptCount val="1"/>
                <c:pt idx="0">
                  <c:v>0</c:v>
                </c:pt>
              </c:strCache>
            </c:strRef>
          </c:tx>
          <c:spPr>
            <a:solidFill>
              <a:srgbClr val="9999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Cell'!$AB$30:$AV$30</c:f>
              <c:numCache>
                <c:formatCode>0</c:formatCode>
                <c:ptCount val="21"/>
                <c:pt idx="0">
                  <c:v>5</c:v>
                </c:pt>
                <c:pt idx="1">
                  <c:v>5</c:v>
                </c:pt>
                <c:pt idx="2">
                  <c:v>5</c:v>
                </c:pt>
                <c:pt idx="3">
                  <c:v>5</c:v>
                </c:pt>
                <c:pt idx="4">
                  <c:v>5</c:v>
                </c:pt>
                <c:pt idx="5">
                  <c:v>11</c:v>
                </c:pt>
                <c:pt idx="6">
                  <c:v>15</c:v>
                </c:pt>
                <c:pt idx="7">
                  <c:v>6</c:v>
                </c:pt>
                <c:pt idx="8">
                  <c:v>3</c:v>
                </c:pt>
                <c:pt idx="9">
                  <c:v>2</c:v>
                </c:pt>
                <c:pt idx="10">
                  <c:v>-1</c:v>
                </c:pt>
                <c:pt idx="11">
                  <c:v>-2</c:v>
                </c:pt>
                <c:pt idx="12">
                  <c:v>-5</c:v>
                </c:pt>
                <c:pt idx="13">
                  <c:v>-8</c:v>
                </c:pt>
                <c:pt idx="14">
                  <c:v>-10</c:v>
                </c:pt>
                <c:pt idx="15">
                  <c:v>-10</c:v>
                </c:pt>
                <c:pt idx="16">
                  <c:v>-10</c:v>
                </c:pt>
                <c:pt idx="17">
                  <c:v>-10</c:v>
                </c:pt>
                <c:pt idx="18">
                  <c:v>-10</c:v>
                </c:pt>
                <c:pt idx="19">
                  <c:v>-10</c:v>
                </c:pt>
                <c:pt idx="20">
                  <c:v>-10</c:v>
                </c:pt>
              </c:numCache>
            </c:numRef>
          </c:val>
        </c:ser>
        <c:ser>
          <c:idx val="1"/>
          <c:order val="1"/>
          <c:tx>
            <c:strRef>
              <c:f>'Timing - 21 Cell'!$AA$31</c:f>
              <c:strCache>
                <c:ptCount val="1"/>
                <c:pt idx="0">
                  <c:v>500</c:v>
                </c:pt>
              </c:strCache>
            </c:strRef>
          </c:tx>
          <c:spPr>
            <a:solidFill>
              <a:srgbClr val="993366"/>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Cell'!$AB$31:$AV$31</c:f>
              <c:numCache>
                <c:formatCode>0</c:formatCode>
                <c:ptCount val="21"/>
                <c:pt idx="0">
                  <c:v>5</c:v>
                </c:pt>
                <c:pt idx="1">
                  <c:v>5</c:v>
                </c:pt>
                <c:pt idx="2">
                  <c:v>5</c:v>
                </c:pt>
                <c:pt idx="3">
                  <c:v>5</c:v>
                </c:pt>
                <c:pt idx="4">
                  <c:v>5</c:v>
                </c:pt>
                <c:pt idx="5">
                  <c:v>8</c:v>
                </c:pt>
                <c:pt idx="6">
                  <c:v>13</c:v>
                </c:pt>
                <c:pt idx="7">
                  <c:v>6</c:v>
                </c:pt>
                <c:pt idx="8">
                  <c:v>3</c:v>
                </c:pt>
                <c:pt idx="9">
                  <c:v>2</c:v>
                </c:pt>
                <c:pt idx="10">
                  <c:v>-1</c:v>
                </c:pt>
                <c:pt idx="11">
                  <c:v>-2</c:v>
                </c:pt>
                <c:pt idx="12">
                  <c:v>-5</c:v>
                </c:pt>
                <c:pt idx="13">
                  <c:v>-8</c:v>
                </c:pt>
                <c:pt idx="14">
                  <c:v>-10</c:v>
                </c:pt>
                <c:pt idx="15">
                  <c:v>-10</c:v>
                </c:pt>
                <c:pt idx="16">
                  <c:v>-10</c:v>
                </c:pt>
                <c:pt idx="17">
                  <c:v>-10</c:v>
                </c:pt>
                <c:pt idx="18">
                  <c:v>-10</c:v>
                </c:pt>
                <c:pt idx="19">
                  <c:v>-10</c:v>
                </c:pt>
                <c:pt idx="20">
                  <c:v>-10</c:v>
                </c:pt>
              </c:numCache>
            </c:numRef>
          </c:val>
        </c:ser>
        <c:ser>
          <c:idx val="2"/>
          <c:order val="2"/>
          <c:tx>
            <c:strRef>
              <c:f>'Timing - 21 Cell'!$AA$32</c:f>
              <c:strCache>
                <c:ptCount val="1"/>
                <c:pt idx="0">
                  <c:v>750</c:v>
                </c:pt>
              </c:strCache>
            </c:strRef>
          </c:tx>
          <c:spPr>
            <a:solidFill>
              <a:srgbClr val="FFFFCC"/>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Cell'!$AB$32:$AV$32</c:f>
              <c:numCache>
                <c:formatCode>0</c:formatCode>
                <c:ptCount val="21"/>
                <c:pt idx="0">
                  <c:v>5</c:v>
                </c:pt>
                <c:pt idx="1">
                  <c:v>5</c:v>
                </c:pt>
                <c:pt idx="2">
                  <c:v>5</c:v>
                </c:pt>
                <c:pt idx="3">
                  <c:v>5</c:v>
                </c:pt>
                <c:pt idx="4">
                  <c:v>5</c:v>
                </c:pt>
                <c:pt idx="5">
                  <c:v>9</c:v>
                </c:pt>
                <c:pt idx="6">
                  <c:v>13</c:v>
                </c:pt>
                <c:pt idx="7">
                  <c:v>10</c:v>
                </c:pt>
                <c:pt idx="8">
                  <c:v>6</c:v>
                </c:pt>
                <c:pt idx="9">
                  <c:v>3</c:v>
                </c:pt>
                <c:pt idx="10">
                  <c:v>1</c:v>
                </c:pt>
                <c:pt idx="11">
                  <c:v>-1</c:v>
                </c:pt>
                <c:pt idx="12">
                  <c:v>-4</c:v>
                </c:pt>
                <c:pt idx="13">
                  <c:v>-6</c:v>
                </c:pt>
                <c:pt idx="14">
                  <c:v>-9</c:v>
                </c:pt>
                <c:pt idx="15">
                  <c:v>-10</c:v>
                </c:pt>
                <c:pt idx="16">
                  <c:v>-10</c:v>
                </c:pt>
                <c:pt idx="17">
                  <c:v>-10</c:v>
                </c:pt>
                <c:pt idx="18">
                  <c:v>-10</c:v>
                </c:pt>
                <c:pt idx="19">
                  <c:v>-10</c:v>
                </c:pt>
                <c:pt idx="20">
                  <c:v>-10</c:v>
                </c:pt>
              </c:numCache>
            </c:numRef>
          </c:val>
        </c:ser>
        <c:ser>
          <c:idx val="3"/>
          <c:order val="3"/>
          <c:tx>
            <c:strRef>
              <c:f>'Timing - 21 Cell'!$AA$33</c:f>
              <c:strCache>
                <c:ptCount val="1"/>
                <c:pt idx="0">
                  <c:v>1000</c:v>
                </c:pt>
              </c:strCache>
            </c:strRef>
          </c:tx>
          <c:spPr>
            <a:solidFill>
              <a:srgbClr val="CCFF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Cell'!$AB$33:$AV$33</c:f>
              <c:numCache>
                <c:formatCode>0</c:formatCode>
                <c:ptCount val="21"/>
                <c:pt idx="0">
                  <c:v>5</c:v>
                </c:pt>
                <c:pt idx="1">
                  <c:v>5</c:v>
                </c:pt>
                <c:pt idx="2">
                  <c:v>5</c:v>
                </c:pt>
                <c:pt idx="3">
                  <c:v>5</c:v>
                </c:pt>
                <c:pt idx="4">
                  <c:v>9</c:v>
                </c:pt>
                <c:pt idx="5">
                  <c:v>13</c:v>
                </c:pt>
                <c:pt idx="6">
                  <c:v>18</c:v>
                </c:pt>
                <c:pt idx="7">
                  <c:v>10</c:v>
                </c:pt>
                <c:pt idx="8">
                  <c:v>9</c:v>
                </c:pt>
                <c:pt idx="9">
                  <c:v>7</c:v>
                </c:pt>
                <c:pt idx="10">
                  <c:v>5</c:v>
                </c:pt>
                <c:pt idx="11">
                  <c:v>2</c:v>
                </c:pt>
                <c:pt idx="12">
                  <c:v>-1</c:v>
                </c:pt>
                <c:pt idx="13">
                  <c:v>-4</c:v>
                </c:pt>
                <c:pt idx="14">
                  <c:v>-6</c:v>
                </c:pt>
                <c:pt idx="15">
                  <c:v>-9</c:v>
                </c:pt>
                <c:pt idx="16">
                  <c:v>-10</c:v>
                </c:pt>
                <c:pt idx="17">
                  <c:v>-10</c:v>
                </c:pt>
                <c:pt idx="18">
                  <c:v>-10</c:v>
                </c:pt>
                <c:pt idx="19">
                  <c:v>-10</c:v>
                </c:pt>
                <c:pt idx="20">
                  <c:v>-10</c:v>
                </c:pt>
              </c:numCache>
            </c:numRef>
          </c:val>
        </c:ser>
        <c:ser>
          <c:idx val="4"/>
          <c:order val="4"/>
          <c:tx>
            <c:strRef>
              <c:f>'Timing - 21 Cell'!$AA$34</c:f>
              <c:strCache>
                <c:ptCount val="1"/>
                <c:pt idx="0">
                  <c:v>1250</c:v>
                </c:pt>
              </c:strCache>
            </c:strRef>
          </c:tx>
          <c:spPr>
            <a:solidFill>
              <a:srgbClr val="660066"/>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Cell'!$AB$34:$AV$34</c:f>
              <c:numCache>
                <c:formatCode>0</c:formatCode>
                <c:ptCount val="21"/>
                <c:pt idx="0">
                  <c:v>8</c:v>
                </c:pt>
                <c:pt idx="1">
                  <c:v>8</c:v>
                </c:pt>
                <c:pt idx="2">
                  <c:v>12</c:v>
                </c:pt>
                <c:pt idx="3">
                  <c:v>12</c:v>
                </c:pt>
                <c:pt idx="4">
                  <c:v>16</c:v>
                </c:pt>
                <c:pt idx="5">
                  <c:v>20</c:v>
                </c:pt>
                <c:pt idx="6">
                  <c:v>20</c:v>
                </c:pt>
                <c:pt idx="7">
                  <c:v>17</c:v>
                </c:pt>
                <c:pt idx="8">
                  <c:v>14</c:v>
                </c:pt>
                <c:pt idx="9">
                  <c:v>11</c:v>
                </c:pt>
                <c:pt idx="10">
                  <c:v>8</c:v>
                </c:pt>
                <c:pt idx="11">
                  <c:v>6</c:v>
                </c:pt>
                <c:pt idx="12">
                  <c:v>3</c:v>
                </c:pt>
                <c:pt idx="13">
                  <c:v>0</c:v>
                </c:pt>
                <c:pt idx="14">
                  <c:v>-3</c:v>
                </c:pt>
                <c:pt idx="15">
                  <c:v>-6</c:v>
                </c:pt>
                <c:pt idx="16">
                  <c:v>-8</c:v>
                </c:pt>
                <c:pt idx="17">
                  <c:v>-9</c:v>
                </c:pt>
                <c:pt idx="18">
                  <c:v>-10</c:v>
                </c:pt>
                <c:pt idx="19">
                  <c:v>-11</c:v>
                </c:pt>
                <c:pt idx="20">
                  <c:v>-12</c:v>
                </c:pt>
              </c:numCache>
            </c:numRef>
          </c:val>
        </c:ser>
        <c:ser>
          <c:idx val="5"/>
          <c:order val="5"/>
          <c:tx>
            <c:strRef>
              <c:f>'Timing - 21 Cell'!$AA$35</c:f>
              <c:strCache>
                <c:ptCount val="1"/>
                <c:pt idx="0">
                  <c:v>1500</c:v>
                </c:pt>
              </c:strCache>
            </c:strRef>
          </c:tx>
          <c:spPr>
            <a:solidFill>
              <a:srgbClr val="FF808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Cell'!$AB$35:$AV$35</c:f>
              <c:numCache>
                <c:formatCode>0</c:formatCode>
                <c:ptCount val="21"/>
                <c:pt idx="0">
                  <c:v>13</c:v>
                </c:pt>
                <c:pt idx="1">
                  <c:v>13</c:v>
                </c:pt>
                <c:pt idx="2">
                  <c:v>19</c:v>
                </c:pt>
                <c:pt idx="3">
                  <c:v>19</c:v>
                </c:pt>
                <c:pt idx="4">
                  <c:v>26</c:v>
                </c:pt>
                <c:pt idx="5">
                  <c:v>24</c:v>
                </c:pt>
                <c:pt idx="6">
                  <c:v>23</c:v>
                </c:pt>
                <c:pt idx="7">
                  <c:v>21</c:v>
                </c:pt>
                <c:pt idx="8">
                  <c:v>18</c:v>
                </c:pt>
                <c:pt idx="9">
                  <c:v>14</c:v>
                </c:pt>
                <c:pt idx="10">
                  <c:v>11</c:v>
                </c:pt>
                <c:pt idx="11">
                  <c:v>9</c:v>
                </c:pt>
                <c:pt idx="12">
                  <c:v>6</c:v>
                </c:pt>
                <c:pt idx="13">
                  <c:v>3</c:v>
                </c:pt>
                <c:pt idx="14">
                  <c:v>0</c:v>
                </c:pt>
                <c:pt idx="15">
                  <c:v>-3</c:v>
                </c:pt>
                <c:pt idx="16">
                  <c:v>-6</c:v>
                </c:pt>
                <c:pt idx="17">
                  <c:v>-8</c:v>
                </c:pt>
                <c:pt idx="18">
                  <c:v>-9</c:v>
                </c:pt>
                <c:pt idx="19">
                  <c:v>-10</c:v>
                </c:pt>
                <c:pt idx="20">
                  <c:v>-11</c:v>
                </c:pt>
              </c:numCache>
            </c:numRef>
          </c:val>
        </c:ser>
        <c:ser>
          <c:idx val="6"/>
          <c:order val="6"/>
          <c:tx>
            <c:strRef>
              <c:f>'Timing - 21 Cell'!$AA$36</c:f>
              <c:strCache>
                <c:ptCount val="1"/>
                <c:pt idx="0">
                  <c:v>1750</c:v>
                </c:pt>
              </c:strCache>
            </c:strRef>
          </c:tx>
          <c:spPr>
            <a:solidFill>
              <a:srgbClr val="0066CC"/>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Cell'!$AB$36:$AV$36</c:f>
              <c:numCache>
                <c:formatCode>0</c:formatCode>
                <c:ptCount val="21"/>
                <c:pt idx="0">
                  <c:v>18</c:v>
                </c:pt>
                <c:pt idx="1">
                  <c:v>18</c:v>
                </c:pt>
                <c:pt idx="2">
                  <c:v>25</c:v>
                </c:pt>
                <c:pt idx="3">
                  <c:v>25</c:v>
                </c:pt>
                <c:pt idx="4">
                  <c:v>27</c:v>
                </c:pt>
                <c:pt idx="5">
                  <c:v>25</c:v>
                </c:pt>
                <c:pt idx="6">
                  <c:v>24</c:v>
                </c:pt>
                <c:pt idx="7">
                  <c:v>23</c:v>
                </c:pt>
                <c:pt idx="8">
                  <c:v>21</c:v>
                </c:pt>
                <c:pt idx="9">
                  <c:v>17</c:v>
                </c:pt>
                <c:pt idx="10">
                  <c:v>14</c:v>
                </c:pt>
                <c:pt idx="11">
                  <c:v>11</c:v>
                </c:pt>
                <c:pt idx="12">
                  <c:v>8</c:v>
                </c:pt>
                <c:pt idx="13">
                  <c:v>5</c:v>
                </c:pt>
                <c:pt idx="14">
                  <c:v>2</c:v>
                </c:pt>
                <c:pt idx="15">
                  <c:v>-1</c:v>
                </c:pt>
                <c:pt idx="16">
                  <c:v>-4</c:v>
                </c:pt>
                <c:pt idx="17">
                  <c:v>-7</c:v>
                </c:pt>
                <c:pt idx="18">
                  <c:v>-8</c:v>
                </c:pt>
                <c:pt idx="19">
                  <c:v>-9</c:v>
                </c:pt>
                <c:pt idx="20">
                  <c:v>-10</c:v>
                </c:pt>
              </c:numCache>
            </c:numRef>
          </c:val>
        </c:ser>
        <c:ser>
          <c:idx val="7"/>
          <c:order val="7"/>
          <c:tx>
            <c:strRef>
              <c:f>'Timing - 21 Cell'!$AA$37</c:f>
              <c:strCache>
                <c:ptCount val="1"/>
                <c:pt idx="0">
                  <c:v>2000</c:v>
                </c:pt>
              </c:strCache>
            </c:strRef>
          </c:tx>
          <c:spPr>
            <a:solidFill>
              <a:srgbClr val="CCCC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Cell'!$AB$37:$AV$37</c:f>
              <c:numCache>
                <c:formatCode>0</c:formatCode>
                <c:ptCount val="21"/>
                <c:pt idx="0">
                  <c:v>24</c:v>
                </c:pt>
                <c:pt idx="1">
                  <c:v>24</c:v>
                </c:pt>
                <c:pt idx="2">
                  <c:v>32</c:v>
                </c:pt>
                <c:pt idx="3">
                  <c:v>32</c:v>
                </c:pt>
                <c:pt idx="4">
                  <c:v>29</c:v>
                </c:pt>
                <c:pt idx="5">
                  <c:v>26</c:v>
                </c:pt>
                <c:pt idx="6">
                  <c:v>26</c:v>
                </c:pt>
                <c:pt idx="7">
                  <c:v>25</c:v>
                </c:pt>
                <c:pt idx="8">
                  <c:v>23</c:v>
                </c:pt>
                <c:pt idx="9">
                  <c:v>20</c:v>
                </c:pt>
                <c:pt idx="10">
                  <c:v>16</c:v>
                </c:pt>
                <c:pt idx="11">
                  <c:v>13</c:v>
                </c:pt>
                <c:pt idx="12">
                  <c:v>9</c:v>
                </c:pt>
                <c:pt idx="13">
                  <c:v>6</c:v>
                </c:pt>
                <c:pt idx="14">
                  <c:v>3</c:v>
                </c:pt>
                <c:pt idx="15">
                  <c:v>0</c:v>
                </c:pt>
                <c:pt idx="16">
                  <c:v>-3</c:v>
                </c:pt>
                <c:pt idx="17">
                  <c:v>-5</c:v>
                </c:pt>
                <c:pt idx="18">
                  <c:v>-7</c:v>
                </c:pt>
                <c:pt idx="19">
                  <c:v>-9</c:v>
                </c:pt>
                <c:pt idx="20">
                  <c:v>-11</c:v>
                </c:pt>
              </c:numCache>
            </c:numRef>
          </c:val>
        </c:ser>
        <c:ser>
          <c:idx val="8"/>
          <c:order val="8"/>
          <c:tx>
            <c:strRef>
              <c:f>'Timing - 21 Cell'!$AA$38</c:f>
              <c:strCache>
                <c:ptCount val="1"/>
                <c:pt idx="0">
                  <c:v>2500</c:v>
                </c:pt>
              </c:strCache>
            </c:strRef>
          </c:tx>
          <c:spPr>
            <a:solidFill>
              <a:srgbClr val="00008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Cell'!$AB$38:$AV$38</c:f>
              <c:numCache>
                <c:formatCode>0</c:formatCode>
                <c:ptCount val="21"/>
                <c:pt idx="0">
                  <c:v>24</c:v>
                </c:pt>
                <c:pt idx="1">
                  <c:v>24</c:v>
                </c:pt>
                <c:pt idx="2">
                  <c:v>34</c:v>
                </c:pt>
                <c:pt idx="3">
                  <c:v>34</c:v>
                </c:pt>
                <c:pt idx="4">
                  <c:v>32</c:v>
                </c:pt>
                <c:pt idx="5">
                  <c:v>30</c:v>
                </c:pt>
                <c:pt idx="6">
                  <c:v>29</c:v>
                </c:pt>
                <c:pt idx="7">
                  <c:v>27</c:v>
                </c:pt>
                <c:pt idx="8">
                  <c:v>25</c:v>
                </c:pt>
                <c:pt idx="9">
                  <c:v>22</c:v>
                </c:pt>
                <c:pt idx="10">
                  <c:v>19</c:v>
                </c:pt>
                <c:pt idx="11">
                  <c:v>15</c:v>
                </c:pt>
                <c:pt idx="12">
                  <c:v>10</c:v>
                </c:pt>
                <c:pt idx="13">
                  <c:v>7</c:v>
                </c:pt>
                <c:pt idx="14">
                  <c:v>5</c:v>
                </c:pt>
                <c:pt idx="15">
                  <c:v>2</c:v>
                </c:pt>
                <c:pt idx="16">
                  <c:v>-1</c:v>
                </c:pt>
                <c:pt idx="17">
                  <c:v>-4</c:v>
                </c:pt>
                <c:pt idx="18">
                  <c:v>-6</c:v>
                </c:pt>
                <c:pt idx="19">
                  <c:v>-8</c:v>
                </c:pt>
                <c:pt idx="20">
                  <c:v>-10</c:v>
                </c:pt>
              </c:numCache>
            </c:numRef>
          </c:val>
        </c:ser>
        <c:ser>
          <c:idx val="9"/>
          <c:order val="9"/>
          <c:tx>
            <c:strRef>
              <c:f>'Timing - 21 Cell'!$AA$39</c:f>
              <c:strCache>
                <c:ptCount val="1"/>
                <c:pt idx="0">
                  <c:v>3000</c:v>
                </c:pt>
              </c:strCache>
            </c:strRef>
          </c:tx>
          <c:spPr>
            <a:solidFill>
              <a:srgbClr val="FF00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Cell'!$AB$39:$AV$39</c:f>
              <c:numCache>
                <c:formatCode>0</c:formatCode>
                <c:ptCount val="21"/>
                <c:pt idx="0">
                  <c:v>28</c:v>
                </c:pt>
                <c:pt idx="1">
                  <c:v>28</c:v>
                </c:pt>
                <c:pt idx="2">
                  <c:v>38</c:v>
                </c:pt>
                <c:pt idx="3">
                  <c:v>38</c:v>
                </c:pt>
                <c:pt idx="4">
                  <c:v>35</c:v>
                </c:pt>
                <c:pt idx="5">
                  <c:v>32</c:v>
                </c:pt>
                <c:pt idx="6">
                  <c:v>30</c:v>
                </c:pt>
                <c:pt idx="7">
                  <c:v>29</c:v>
                </c:pt>
                <c:pt idx="8">
                  <c:v>27</c:v>
                </c:pt>
                <c:pt idx="9">
                  <c:v>25</c:v>
                </c:pt>
                <c:pt idx="10">
                  <c:v>22</c:v>
                </c:pt>
                <c:pt idx="11">
                  <c:v>17</c:v>
                </c:pt>
                <c:pt idx="12">
                  <c:v>13</c:v>
                </c:pt>
                <c:pt idx="13">
                  <c:v>8</c:v>
                </c:pt>
                <c:pt idx="14">
                  <c:v>6</c:v>
                </c:pt>
                <c:pt idx="15">
                  <c:v>4</c:v>
                </c:pt>
                <c:pt idx="16">
                  <c:v>1</c:v>
                </c:pt>
                <c:pt idx="17">
                  <c:v>-2</c:v>
                </c:pt>
                <c:pt idx="18">
                  <c:v>-3</c:v>
                </c:pt>
                <c:pt idx="19">
                  <c:v>-4</c:v>
                </c:pt>
                <c:pt idx="20">
                  <c:v>-5</c:v>
                </c:pt>
              </c:numCache>
            </c:numRef>
          </c:val>
        </c:ser>
        <c:ser>
          <c:idx val="10"/>
          <c:order val="10"/>
          <c:tx>
            <c:strRef>
              <c:f>'Timing - 21 Cell'!$AA$40</c:f>
              <c:strCache>
                <c:ptCount val="1"/>
                <c:pt idx="0">
                  <c:v>3500</c:v>
                </c:pt>
              </c:strCache>
            </c:strRef>
          </c:tx>
          <c:spPr>
            <a:solidFill>
              <a:srgbClr val="FFFF0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Cell'!$AB$40:$AV$40</c:f>
              <c:numCache>
                <c:formatCode>0</c:formatCode>
                <c:ptCount val="21"/>
                <c:pt idx="0">
                  <c:v>28</c:v>
                </c:pt>
                <c:pt idx="1">
                  <c:v>28</c:v>
                </c:pt>
                <c:pt idx="2">
                  <c:v>38</c:v>
                </c:pt>
                <c:pt idx="3">
                  <c:v>38</c:v>
                </c:pt>
                <c:pt idx="4">
                  <c:v>35</c:v>
                </c:pt>
                <c:pt idx="5">
                  <c:v>32</c:v>
                </c:pt>
                <c:pt idx="6">
                  <c:v>31</c:v>
                </c:pt>
                <c:pt idx="7">
                  <c:v>30</c:v>
                </c:pt>
                <c:pt idx="8">
                  <c:v>28</c:v>
                </c:pt>
                <c:pt idx="9">
                  <c:v>26</c:v>
                </c:pt>
                <c:pt idx="10">
                  <c:v>24</c:v>
                </c:pt>
                <c:pt idx="11">
                  <c:v>19</c:v>
                </c:pt>
                <c:pt idx="12">
                  <c:v>15</c:v>
                </c:pt>
                <c:pt idx="13">
                  <c:v>11</c:v>
                </c:pt>
                <c:pt idx="14">
                  <c:v>8</c:v>
                </c:pt>
                <c:pt idx="15">
                  <c:v>6</c:v>
                </c:pt>
                <c:pt idx="16">
                  <c:v>4</c:v>
                </c:pt>
                <c:pt idx="17">
                  <c:v>1</c:v>
                </c:pt>
                <c:pt idx="18">
                  <c:v>-1</c:v>
                </c:pt>
                <c:pt idx="19">
                  <c:v>-3</c:v>
                </c:pt>
                <c:pt idx="20">
                  <c:v>-5</c:v>
                </c:pt>
              </c:numCache>
            </c:numRef>
          </c:val>
        </c:ser>
        <c:ser>
          <c:idx val="11"/>
          <c:order val="11"/>
          <c:tx>
            <c:strRef>
              <c:f>'Timing - 21 Cell'!$AA$41</c:f>
              <c:strCache>
                <c:ptCount val="1"/>
                <c:pt idx="0">
                  <c:v>4000</c:v>
                </c:pt>
              </c:strCache>
            </c:strRef>
          </c:tx>
          <c:spPr>
            <a:solidFill>
              <a:srgbClr val="00FF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Cell'!$AB$41:$AV$41</c:f>
              <c:numCache>
                <c:formatCode>0</c:formatCode>
                <c:ptCount val="21"/>
                <c:pt idx="0">
                  <c:v>28</c:v>
                </c:pt>
                <c:pt idx="1">
                  <c:v>28</c:v>
                </c:pt>
                <c:pt idx="2">
                  <c:v>38</c:v>
                </c:pt>
                <c:pt idx="3">
                  <c:v>38</c:v>
                </c:pt>
                <c:pt idx="4">
                  <c:v>35</c:v>
                </c:pt>
                <c:pt idx="5">
                  <c:v>32</c:v>
                </c:pt>
                <c:pt idx="6">
                  <c:v>31</c:v>
                </c:pt>
                <c:pt idx="7">
                  <c:v>30</c:v>
                </c:pt>
                <c:pt idx="8">
                  <c:v>28</c:v>
                </c:pt>
                <c:pt idx="9">
                  <c:v>27</c:v>
                </c:pt>
                <c:pt idx="10">
                  <c:v>24</c:v>
                </c:pt>
                <c:pt idx="11">
                  <c:v>20</c:v>
                </c:pt>
                <c:pt idx="12">
                  <c:v>16</c:v>
                </c:pt>
                <c:pt idx="13">
                  <c:v>12</c:v>
                </c:pt>
                <c:pt idx="14">
                  <c:v>9</c:v>
                </c:pt>
                <c:pt idx="15">
                  <c:v>7</c:v>
                </c:pt>
                <c:pt idx="16">
                  <c:v>5</c:v>
                </c:pt>
                <c:pt idx="17">
                  <c:v>3</c:v>
                </c:pt>
                <c:pt idx="18">
                  <c:v>1</c:v>
                </c:pt>
                <c:pt idx="19">
                  <c:v>-1</c:v>
                </c:pt>
                <c:pt idx="20">
                  <c:v>-3</c:v>
                </c:pt>
              </c:numCache>
            </c:numRef>
          </c:val>
        </c:ser>
        <c:ser>
          <c:idx val="12"/>
          <c:order val="12"/>
          <c:tx>
            <c:strRef>
              <c:f>'Timing - 21 Cell'!$AA$42</c:f>
              <c:strCache>
                <c:ptCount val="1"/>
                <c:pt idx="0">
                  <c:v>4500</c:v>
                </c:pt>
              </c:strCache>
            </c:strRef>
          </c:tx>
          <c:spPr>
            <a:solidFill>
              <a:srgbClr val="80008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Cell'!$AB$42:$AV$42</c:f>
              <c:numCache>
                <c:formatCode>0</c:formatCode>
                <c:ptCount val="21"/>
                <c:pt idx="0">
                  <c:v>33</c:v>
                </c:pt>
                <c:pt idx="1">
                  <c:v>33</c:v>
                </c:pt>
                <c:pt idx="2">
                  <c:v>38</c:v>
                </c:pt>
                <c:pt idx="3">
                  <c:v>38</c:v>
                </c:pt>
                <c:pt idx="4">
                  <c:v>35</c:v>
                </c:pt>
                <c:pt idx="5">
                  <c:v>32</c:v>
                </c:pt>
                <c:pt idx="6">
                  <c:v>31</c:v>
                </c:pt>
                <c:pt idx="7">
                  <c:v>30</c:v>
                </c:pt>
                <c:pt idx="8">
                  <c:v>28</c:v>
                </c:pt>
                <c:pt idx="9">
                  <c:v>27</c:v>
                </c:pt>
                <c:pt idx="10">
                  <c:v>24</c:v>
                </c:pt>
                <c:pt idx="11">
                  <c:v>20</c:v>
                </c:pt>
                <c:pt idx="12">
                  <c:v>16</c:v>
                </c:pt>
                <c:pt idx="13">
                  <c:v>13</c:v>
                </c:pt>
                <c:pt idx="14">
                  <c:v>10</c:v>
                </c:pt>
                <c:pt idx="15">
                  <c:v>8</c:v>
                </c:pt>
                <c:pt idx="16">
                  <c:v>6</c:v>
                </c:pt>
                <c:pt idx="17">
                  <c:v>3</c:v>
                </c:pt>
                <c:pt idx="18">
                  <c:v>2</c:v>
                </c:pt>
                <c:pt idx="19">
                  <c:v>1</c:v>
                </c:pt>
                <c:pt idx="20">
                  <c:v>0</c:v>
                </c:pt>
              </c:numCache>
            </c:numRef>
          </c:val>
        </c:ser>
        <c:ser>
          <c:idx val="13"/>
          <c:order val="13"/>
          <c:tx>
            <c:strRef>
              <c:f>'Timing - 21 Cell'!$AA$43</c:f>
              <c:strCache>
                <c:ptCount val="1"/>
                <c:pt idx="0">
                  <c:v>5000</c:v>
                </c:pt>
              </c:strCache>
            </c:strRef>
          </c:tx>
          <c:spPr>
            <a:solidFill>
              <a:srgbClr val="80000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Cell'!$AB$43:$AV$43</c:f>
              <c:numCache>
                <c:formatCode>0</c:formatCode>
                <c:ptCount val="21"/>
                <c:pt idx="0">
                  <c:v>38</c:v>
                </c:pt>
                <c:pt idx="1">
                  <c:v>38</c:v>
                </c:pt>
                <c:pt idx="2">
                  <c:v>38</c:v>
                </c:pt>
                <c:pt idx="3">
                  <c:v>38</c:v>
                </c:pt>
                <c:pt idx="4">
                  <c:v>35</c:v>
                </c:pt>
                <c:pt idx="5">
                  <c:v>32</c:v>
                </c:pt>
                <c:pt idx="6">
                  <c:v>31</c:v>
                </c:pt>
                <c:pt idx="7">
                  <c:v>30</c:v>
                </c:pt>
                <c:pt idx="8">
                  <c:v>28</c:v>
                </c:pt>
                <c:pt idx="9">
                  <c:v>27</c:v>
                </c:pt>
                <c:pt idx="10">
                  <c:v>24</c:v>
                </c:pt>
                <c:pt idx="11">
                  <c:v>20</c:v>
                </c:pt>
                <c:pt idx="12">
                  <c:v>16</c:v>
                </c:pt>
                <c:pt idx="13">
                  <c:v>13</c:v>
                </c:pt>
                <c:pt idx="14">
                  <c:v>11</c:v>
                </c:pt>
                <c:pt idx="15">
                  <c:v>9</c:v>
                </c:pt>
                <c:pt idx="16">
                  <c:v>6</c:v>
                </c:pt>
                <c:pt idx="17">
                  <c:v>3</c:v>
                </c:pt>
                <c:pt idx="18">
                  <c:v>2</c:v>
                </c:pt>
                <c:pt idx="19">
                  <c:v>1</c:v>
                </c:pt>
                <c:pt idx="20">
                  <c:v>0</c:v>
                </c:pt>
              </c:numCache>
            </c:numRef>
          </c:val>
        </c:ser>
        <c:ser>
          <c:idx val="14"/>
          <c:order val="14"/>
          <c:tx>
            <c:strRef>
              <c:f>'Timing - 21 Cell'!$AA$44</c:f>
              <c:strCache>
                <c:ptCount val="1"/>
                <c:pt idx="0">
                  <c:v>5500</c:v>
                </c:pt>
              </c:strCache>
            </c:strRef>
          </c:tx>
          <c:spPr>
            <a:solidFill>
              <a:srgbClr val="00808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Cell'!$AB$44:$AV$44</c:f>
              <c:numCache>
                <c:formatCode>0</c:formatCode>
                <c:ptCount val="21"/>
                <c:pt idx="0">
                  <c:v>38</c:v>
                </c:pt>
                <c:pt idx="1">
                  <c:v>38</c:v>
                </c:pt>
                <c:pt idx="2">
                  <c:v>38</c:v>
                </c:pt>
                <c:pt idx="3">
                  <c:v>38</c:v>
                </c:pt>
                <c:pt idx="4">
                  <c:v>35</c:v>
                </c:pt>
                <c:pt idx="5">
                  <c:v>32</c:v>
                </c:pt>
                <c:pt idx="6">
                  <c:v>31</c:v>
                </c:pt>
                <c:pt idx="7">
                  <c:v>30</c:v>
                </c:pt>
                <c:pt idx="8">
                  <c:v>29</c:v>
                </c:pt>
                <c:pt idx="9">
                  <c:v>27</c:v>
                </c:pt>
                <c:pt idx="10">
                  <c:v>25</c:v>
                </c:pt>
                <c:pt idx="11">
                  <c:v>21</c:v>
                </c:pt>
                <c:pt idx="12">
                  <c:v>17</c:v>
                </c:pt>
                <c:pt idx="13">
                  <c:v>14</c:v>
                </c:pt>
                <c:pt idx="14">
                  <c:v>12</c:v>
                </c:pt>
                <c:pt idx="15">
                  <c:v>9</c:v>
                </c:pt>
                <c:pt idx="16">
                  <c:v>7</c:v>
                </c:pt>
                <c:pt idx="17">
                  <c:v>4</c:v>
                </c:pt>
                <c:pt idx="18">
                  <c:v>4</c:v>
                </c:pt>
                <c:pt idx="19">
                  <c:v>4</c:v>
                </c:pt>
                <c:pt idx="20">
                  <c:v>4</c:v>
                </c:pt>
              </c:numCache>
            </c:numRef>
          </c:val>
        </c:ser>
        <c:ser>
          <c:idx val="15"/>
          <c:order val="15"/>
          <c:tx>
            <c:strRef>
              <c:f>'Timing - 21 Cell'!$AA$45</c:f>
              <c:strCache>
                <c:ptCount val="1"/>
                <c:pt idx="0">
                  <c:v>6000</c:v>
                </c:pt>
              </c:strCache>
            </c:strRef>
          </c:tx>
          <c:spPr>
            <a:solidFill>
              <a:srgbClr val="0000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Cell'!$AB$45:$AV$45</c:f>
              <c:numCache>
                <c:formatCode>0</c:formatCode>
                <c:ptCount val="21"/>
                <c:pt idx="0">
                  <c:v>38</c:v>
                </c:pt>
                <c:pt idx="1">
                  <c:v>38</c:v>
                </c:pt>
                <c:pt idx="2">
                  <c:v>38</c:v>
                </c:pt>
                <c:pt idx="3">
                  <c:v>38</c:v>
                </c:pt>
                <c:pt idx="4">
                  <c:v>35</c:v>
                </c:pt>
                <c:pt idx="5">
                  <c:v>34</c:v>
                </c:pt>
                <c:pt idx="6">
                  <c:v>32</c:v>
                </c:pt>
                <c:pt idx="7">
                  <c:v>32</c:v>
                </c:pt>
                <c:pt idx="8">
                  <c:v>30</c:v>
                </c:pt>
                <c:pt idx="9">
                  <c:v>29</c:v>
                </c:pt>
                <c:pt idx="10">
                  <c:v>26</c:v>
                </c:pt>
                <c:pt idx="11">
                  <c:v>23</c:v>
                </c:pt>
                <c:pt idx="12">
                  <c:v>19</c:v>
                </c:pt>
                <c:pt idx="13">
                  <c:v>16</c:v>
                </c:pt>
                <c:pt idx="14">
                  <c:v>13</c:v>
                </c:pt>
                <c:pt idx="15">
                  <c:v>10</c:v>
                </c:pt>
                <c:pt idx="16">
                  <c:v>8</c:v>
                </c:pt>
                <c:pt idx="17">
                  <c:v>6</c:v>
                </c:pt>
                <c:pt idx="18">
                  <c:v>5</c:v>
                </c:pt>
                <c:pt idx="19">
                  <c:v>4</c:v>
                </c:pt>
                <c:pt idx="20">
                  <c:v>3</c:v>
                </c:pt>
              </c:numCache>
            </c:numRef>
          </c:val>
        </c:ser>
        <c:ser>
          <c:idx val="16"/>
          <c:order val="16"/>
          <c:tx>
            <c:strRef>
              <c:f>'Timing - 21 Cell'!$AA$46</c:f>
              <c:strCache>
                <c:ptCount val="1"/>
                <c:pt idx="0">
                  <c:v>6500</c:v>
                </c:pt>
              </c:strCache>
            </c:strRef>
          </c:tx>
          <c:spPr>
            <a:solidFill>
              <a:srgbClr val="00CC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Cell'!$AB$46:$AV$46</c:f>
              <c:numCache>
                <c:formatCode>0</c:formatCode>
                <c:ptCount val="21"/>
                <c:pt idx="0">
                  <c:v>38</c:v>
                </c:pt>
                <c:pt idx="1">
                  <c:v>38</c:v>
                </c:pt>
                <c:pt idx="2">
                  <c:v>38</c:v>
                </c:pt>
                <c:pt idx="3">
                  <c:v>38</c:v>
                </c:pt>
                <c:pt idx="4">
                  <c:v>38</c:v>
                </c:pt>
                <c:pt idx="5">
                  <c:v>37</c:v>
                </c:pt>
                <c:pt idx="6">
                  <c:v>35</c:v>
                </c:pt>
                <c:pt idx="7">
                  <c:v>34</c:v>
                </c:pt>
                <c:pt idx="8">
                  <c:v>33</c:v>
                </c:pt>
                <c:pt idx="9">
                  <c:v>32</c:v>
                </c:pt>
                <c:pt idx="10">
                  <c:v>30</c:v>
                </c:pt>
                <c:pt idx="11">
                  <c:v>26</c:v>
                </c:pt>
                <c:pt idx="12">
                  <c:v>23</c:v>
                </c:pt>
                <c:pt idx="13">
                  <c:v>19</c:v>
                </c:pt>
                <c:pt idx="14">
                  <c:v>15</c:v>
                </c:pt>
                <c:pt idx="15">
                  <c:v>11</c:v>
                </c:pt>
                <c:pt idx="16">
                  <c:v>9</c:v>
                </c:pt>
                <c:pt idx="17">
                  <c:v>8</c:v>
                </c:pt>
                <c:pt idx="18">
                  <c:v>7</c:v>
                </c:pt>
                <c:pt idx="19">
                  <c:v>6</c:v>
                </c:pt>
                <c:pt idx="20">
                  <c:v>5</c:v>
                </c:pt>
              </c:numCache>
            </c:numRef>
          </c:val>
        </c:ser>
        <c:ser>
          <c:idx val="17"/>
          <c:order val="17"/>
          <c:tx>
            <c:strRef>
              <c:f>'Timing - 21 Cell'!$AA$47</c:f>
              <c:strCache>
                <c:ptCount val="1"/>
                <c:pt idx="0">
                  <c:v>7000</c:v>
                </c:pt>
              </c:strCache>
            </c:strRef>
          </c:tx>
          <c:spPr>
            <a:solidFill>
              <a:srgbClr val="CCFF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Cell'!$AB$47:$AV$47</c:f>
              <c:numCache>
                <c:formatCode>0</c:formatCode>
                <c:ptCount val="21"/>
                <c:pt idx="0">
                  <c:v>38</c:v>
                </c:pt>
                <c:pt idx="1">
                  <c:v>38</c:v>
                </c:pt>
                <c:pt idx="2">
                  <c:v>38</c:v>
                </c:pt>
                <c:pt idx="3">
                  <c:v>38</c:v>
                </c:pt>
                <c:pt idx="4">
                  <c:v>38</c:v>
                </c:pt>
                <c:pt idx="5">
                  <c:v>37</c:v>
                </c:pt>
                <c:pt idx="6">
                  <c:v>36</c:v>
                </c:pt>
                <c:pt idx="7">
                  <c:v>35</c:v>
                </c:pt>
                <c:pt idx="8">
                  <c:v>34</c:v>
                </c:pt>
                <c:pt idx="9">
                  <c:v>34</c:v>
                </c:pt>
                <c:pt idx="10">
                  <c:v>32</c:v>
                </c:pt>
                <c:pt idx="11">
                  <c:v>29</c:v>
                </c:pt>
                <c:pt idx="12">
                  <c:v>26</c:v>
                </c:pt>
                <c:pt idx="13">
                  <c:v>22</c:v>
                </c:pt>
                <c:pt idx="14">
                  <c:v>17</c:v>
                </c:pt>
                <c:pt idx="15">
                  <c:v>12</c:v>
                </c:pt>
                <c:pt idx="16">
                  <c:v>10</c:v>
                </c:pt>
                <c:pt idx="17">
                  <c:v>9</c:v>
                </c:pt>
                <c:pt idx="18">
                  <c:v>9</c:v>
                </c:pt>
                <c:pt idx="19">
                  <c:v>9</c:v>
                </c:pt>
                <c:pt idx="20">
                  <c:v>9</c:v>
                </c:pt>
              </c:numCache>
            </c:numRef>
          </c:val>
        </c:ser>
        <c:ser>
          <c:idx val="18"/>
          <c:order val="18"/>
          <c:tx>
            <c:strRef>
              <c:f>'Timing - 21 Cell'!$AA$48</c:f>
              <c:strCache>
                <c:ptCount val="1"/>
                <c:pt idx="0">
                  <c:v>7500</c:v>
                </c:pt>
              </c:strCache>
            </c:strRef>
          </c:tx>
          <c:spPr>
            <a:solidFill>
              <a:srgbClr val="CCFFCC"/>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Cell'!$AB$48:$AV$48</c:f>
              <c:numCache>
                <c:formatCode>0</c:formatCode>
                <c:ptCount val="21"/>
                <c:pt idx="0">
                  <c:v>38</c:v>
                </c:pt>
                <c:pt idx="1">
                  <c:v>38</c:v>
                </c:pt>
                <c:pt idx="2">
                  <c:v>38</c:v>
                </c:pt>
                <c:pt idx="3">
                  <c:v>38</c:v>
                </c:pt>
                <c:pt idx="4">
                  <c:v>38</c:v>
                </c:pt>
                <c:pt idx="5">
                  <c:v>37</c:v>
                </c:pt>
                <c:pt idx="6">
                  <c:v>36</c:v>
                </c:pt>
                <c:pt idx="7">
                  <c:v>35</c:v>
                </c:pt>
                <c:pt idx="8">
                  <c:v>35</c:v>
                </c:pt>
                <c:pt idx="9">
                  <c:v>34</c:v>
                </c:pt>
                <c:pt idx="10">
                  <c:v>33</c:v>
                </c:pt>
                <c:pt idx="11">
                  <c:v>30</c:v>
                </c:pt>
                <c:pt idx="12">
                  <c:v>27</c:v>
                </c:pt>
                <c:pt idx="13">
                  <c:v>22</c:v>
                </c:pt>
                <c:pt idx="14">
                  <c:v>17</c:v>
                </c:pt>
                <c:pt idx="15">
                  <c:v>13</c:v>
                </c:pt>
                <c:pt idx="16">
                  <c:v>11</c:v>
                </c:pt>
                <c:pt idx="17">
                  <c:v>10</c:v>
                </c:pt>
                <c:pt idx="18">
                  <c:v>10</c:v>
                </c:pt>
                <c:pt idx="19">
                  <c:v>10</c:v>
                </c:pt>
                <c:pt idx="20">
                  <c:v>10</c:v>
                </c:pt>
              </c:numCache>
            </c:numRef>
          </c:val>
        </c:ser>
        <c:ser>
          <c:idx val="19"/>
          <c:order val="19"/>
          <c:tx>
            <c:strRef>
              <c:f>'Timing - 21 Cell'!$AA$49</c:f>
              <c:strCache>
                <c:ptCount val="1"/>
                <c:pt idx="0">
                  <c:v>11000</c:v>
                </c:pt>
              </c:strCache>
            </c:strRef>
          </c:tx>
          <c:spPr>
            <a:solidFill>
              <a:srgbClr val="FFFF99"/>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Cell'!$AB$49:$AV$49</c:f>
              <c:numCache>
                <c:formatCode>0</c:formatCode>
                <c:ptCount val="21"/>
                <c:pt idx="0">
                  <c:v>38</c:v>
                </c:pt>
                <c:pt idx="1">
                  <c:v>38</c:v>
                </c:pt>
                <c:pt idx="2">
                  <c:v>38</c:v>
                </c:pt>
                <c:pt idx="3">
                  <c:v>38</c:v>
                </c:pt>
                <c:pt idx="4">
                  <c:v>38</c:v>
                </c:pt>
                <c:pt idx="5">
                  <c:v>37</c:v>
                </c:pt>
                <c:pt idx="6">
                  <c:v>36</c:v>
                </c:pt>
                <c:pt idx="7">
                  <c:v>35</c:v>
                </c:pt>
                <c:pt idx="8">
                  <c:v>35</c:v>
                </c:pt>
                <c:pt idx="9">
                  <c:v>34</c:v>
                </c:pt>
                <c:pt idx="10">
                  <c:v>33</c:v>
                </c:pt>
                <c:pt idx="11">
                  <c:v>30</c:v>
                </c:pt>
                <c:pt idx="12">
                  <c:v>27</c:v>
                </c:pt>
                <c:pt idx="13">
                  <c:v>22</c:v>
                </c:pt>
                <c:pt idx="14">
                  <c:v>18</c:v>
                </c:pt>
                <c:pt idx="15">
                  <c:v>14</c:v>
                </c:pt>
                <c:pt idx="16">
                  <c:v>12</c:v>
                </c:pt>
                <c:pt idx="17">
                  <c:v>10</c:v>
                </c:pt>
                <c:pt idx="18">
                  <c:v>10</c:v>
                </c:pt>
                <c:pt idx="19">
                  <c:v>10</c:v>
                </c:pt>
                <c:pt idx="20">
                  <c:v>10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
            <c:idx val="40"/>
            <c:spPr>
              <a:solidFill>
                <a:srgbClr val="000000"/>
              </a:solidFill>
              <a:ln w="12700">
                <a:solidFill>
                  <a:srgbClr val="000000"/>
                </a:solidFill>
                <a:prstDash val="solid"/>
              </a:ln>
              <a:sp3d prstMaterial="flat"/>
            </c:spPr>
          </c:bandFmt>
          <c:bandFmt>
            <c:idx val="41"/>
            <c:spPr>
              <a:solidFill>
                <a:srgbClr val="FFFFFF"/>
              </a:solidFill>
              <a:ln w="12700">
                <a:solidFill>
                  <a:srgbClr val="000000"/>
                </a:solidFill>
                <a:prstDash val="solid"/>
              </a:ln>
              <a:sp3d prstMaterial="flat"/>
            </c:spPr>
          </c:bandFmt>
          <c:bandFmt>
            <c:idx val="42"/>
            <c:spPr>
              <a:solidFill>
                <a:srgbClr val="FF0000"/>
              </a:solidFill>
              <a:ln w="12700">
                <a:solidFill>
                  <a:srgbClr val="000000"/>
                </a:solidFill>
                <a:prstDash val="solid"/>
              </a:ln>
              <a:sp3d prstMaterial="flat"/>
            </c:spPr>
          </c:bandFmt>
          <c:bandFmt>
            <c:idx val="43"/>
            <c:spPr>
              <a:solidFill>
                <a:srgbClr val="00FF00"/>
              </a:solidFill>
              <a:ln w="12700">
                <a:solidFill>
                  <a:srgbClr val="000000"/>
                </a:solidFill>
                <a:prstDash val="solid"/>
              </a:ln>
              <a:sp3d prstMaterial="flat"/>
            </c:spPr>
          </c:bandFmt>
          <c:bandFmt>
            <c:idx val="44"/>
            <c:spPr>
              <a:solidFill>
                <a:srgbClr val="0000FF"/>
              </a:solidFill>
              <a:ln w="12700">
                <a:solidFill>
                  <a:srgbClr val="000000"/>
                </a:solidFill>
                <a:prstDash val="solid"/>
              </a:ln>
              <a:sp3d prstMaterial="flat"/>
            </c:spPr>
          </c:bandFmt>
          <c:bandFmt>
            <c:idx val="45"/>
            <c:spPr>
              <a:solidFill>
                <a:srgbClr val="FFFF00"/>
              </a:solidFill>
              <a:ln w="12700">
                <a:solidFill>
                  <a:srgbClr val="000000"/>
                </a:solidFill>
                <a:prstDash val="solid"/>
              </a:ln>
              <a:sp3d prstMaterial="flat"/>
            </c:spPr>
          </c:bandFmt>
          <c:bandFmt>
            <c:idx val="46"/>
            <c:spPr>
              <a:solidFill>
                <a:srgbClr val="FF00FF"/>
              </a:solidFill>
              <a:ln w="12700">
                <a:solidFill>
                  <a:srgbClr val="000000"/>
                </a:solidFill>
                <a:prstDash val="solid"/>
              </a:ln>
              <a:sp3d prstMaterial="flat"/>
            </c:spPr>
          </c:bandFmt>
          <c:bandFmt>
            <c:idx val="47"/>
            <c:spPr>
              <a:solidFill>
                <a:srgbClr val="00FFFF"/>
              </a:solidFill>
              <a:ln w="12700">
                <a:solidFill>
                  <a:srgbClr val="000000"/>
                </a:solidFill>
                <a:prstDash val="solid"/>
              </a:ln>
              <a:sp3d prstMaterial="flat"/>
            </c:spPr>
          </c:bandFmt>
        </c:bandFmts>
        <c:axId val="83119104"/>
        <c:axId val="83120896"/>
        <c:axId val="74605440"/>
      </c:surfaceChart>
      <c:catAx>
        <c:axId val="83119104"/>
        <c:scaling>
          <c:orientation val="minMax"/>
        </c:scaling>
        <c:axPos val="b"/>
        <c:numFmt formatCode="General" sourceLinked="1"/>
        <c:tickLblPos val="low"/>
        <c:spPr>
          <a:ln w="3175">
            <a:solidFill>
              <a:srgbClr val="000000"/>
            </a:solidFill>
            <a:prstDash val="solid"/>
          </a:ln>
        </c:spPr>
        <c:txPr>
          <a:bodyPr rot="-5400000" vert="horz"/>
          <a:lstStyle/>
          <a:p>
            <a:pPr>
              <a:defRPr sz="1175" b="0" i="0" u="none" strike="noStrike" baseline="0">
                <a:solidFill>
                  <a:srgbClr val="000000"/>
                </a:solidFill>
                <a:latin typeface="Arial"/>
                <a:ea typeface="Arial"/>
                <a:cs typeface="Arial"/>
              </a:defRPr>
            </a:pPr>
            <a:endParaRPr lang="en-US"/>
          </a:p>
        </c:txPr>
        <c:crossAx val="83120896"/>
        <c:crosses val="autoZero"/>
        <c:auto val="1"/>
        <c:lblAlgn val="ctr"/>
        <c:lblOffset val="100"/>
        <c:tickLblSkip val="2"/>
        <c:tickMarkSkip val="1"/>
        <c:noMultiLvlLbl val="1"/>
      </c:catAx>
      <c:valAx>
        <c:axId val="83120896"/>
        <c:scaling>
          <c:orientation val="minMax"/>
          <c:min val="-10"/>
        </c:scaling>
        <c:axPos val="l"/>
        <c:majorGridlines>
          <c:spPr>
            <a:ln w="3175">
              <a:solidFill>
                <a:srgbClr val="C0C0C0"/>
              </a:solidFill>
              <a:prstDash val="solid"/>
            </a:ln>
          </c:spPr>
        </c:majorGridlines>
        <c:numFmt formatCode="0" sourceLinked="1"/>
        <c:majorTickMark val="none"/>
        <c:tickLblPos val="none"/>
        <c:spPr>
          <a:ln w="3175">
            <a:solidFill>
              <a:srgbClr val="000000"/>
            </a:solidFill>
            <a:prstDash val="solid"/>
          </a:ln>
        </c:spPr>
        <c:crossAx val="83119104"/>
        <c:crosses val="autoZero"/>
        <c:crossBetween val="midCat"/>
        <c:majorUnit val="1"/>
        <c:minorUnit val="0.5"/>
      </c:valAx>
      <c:serAx>
        <c:axId val="74605440"/>
        <c:scaling>
          <c:orientation val="maxMin"/>
        </c:scaling>
        <c:axPos val="b"/>
        <c:numFmt formatCode="General" sourceLinked="1"/>
        <c:tickLblPos val="low"/>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83120896"/>
        <c:crosses val="autoZero"/>
        <c:tickLblSkip val="2"/>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0"/>
      <c:depthPercent val="100"/>
      <c:perspective val="0"/>
    </c:view3D>
    <c:floor>
      <c:spPr>
        <a:noFill/>
        <a:ln w="9525">
          <a:noFill/>
        </a:ln>
      </c:spPr>
    </c:floor>
    <c:sideWall>
      <c:spPr>
        <a:noFill/>
        <a:ln w="25400">
          <a:noFill/>
        </a:ln>
      </c:spPr>
    </c:sideWall>
    <c:backWall>
      <c:spPr>
        <a:noFill/>
        <a:ln w="25400">
          <a:noFill/>
        </a:ln>
      </c:spPr>
    </c:backWall>
    <c:plotArea>
      <c:layout>
        <c:manualLayout>
          <c:layoutTarget val="inner"/>
          <c:xMode val="edge"/>
          <c:yMode val="edge"/>
          <c:x val="3.2613568065248379E-2"/>
          <c:y val="2.2695759284738989E-2"/>
          <c:w val="0.86049644972155326"/>
          <c:h val="0.89161911475760292"/>
        </c:manualLayout>
      </c:layout>
      <c:surfaceChart>
        <c:ser>
          <c:idx val="0"/>
          <c:order val="0"/>
          <c:tx>
            <c:strRef>
              <c:f>'Timing - 21 Cell'!$AA$54</c:f>
              <c:strCache>
                <c:ptCount val="1"/>
                <c:pt idx="0">
                  <c:v>0</c:v>
                </c:pt>
              </c:strCache>
            </c:strRef>
          </c:tx>
          <c:spPr>
            <a:solidFill>
              <a:srgbClr val="9999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Cell'!$AB$54:$AV$54</c:f>
              <c:numCache>
                <c:formatCode>0</c:formatCode>
                <c:ptCount val="21"/>
                <c:pt idx="0">
                  <c:v>5</c:v>
                </c:pt>
                <c:pt idx="1">
                  <c:v>5</c:v>
                </c:pt>
                <c:pt idx="2">
                  <c:v>5</c:v>
                </c:pt>
                <c:pt idx="3">
                  <c:v>5</c:v>
                </c:pt>
                <c:pt idx="4">
                  <c:v>5</c:v>
                </c:pt>
                <c:pt idx="5">
                  <c:v>11</c:v>
                </c:pt>
                <c:pt idx="6">
                  <c:v>15</c:v>
                </c:pt>
                <c:pt idx="7">
                  <c:v>6</c:v>
                </c:pt>
                <c:pt idx="8">
                  <c:v>3</c:v>
                </c:pt>
                <c:pt idx="9">
                  <c:v>2</c:v>
                </c:pt>
                <c:pt idx="10">
                  <c:v>-1</c:v>
                </c:pt>
                <c:pt idx="11">
                  <c:v>-2</c:v>
                </c:pt>
                <c:pt idx="12">
                  <c:v>-5</c:v>
                </c:pt>
                <c:pt idx="13">
                  <c:v>-8</c:v>
                </c:pt>
                <c:pt idx="14">
                  <c:v>-10</c:v>
                </c:pt>
                <c:pt idx="15">
                  <c:v>-10</c:v>
                </c:pt>
                <c:pt idx="16">
                  <c:v>-10</c:v>
                </c:pt>
                <c:pt idx="17">
                  <c:v>-10</c:v>
                </c:pt>
                <c:pt idx="18">
                  <c:v>-10</c:v>
                </c:pt>
                <c:pt idx="19">
                  <c:v>-10</c:v>
                </c:pt>
                <c:pt idx="20">
                  <c:v>-10</c:v>
                </c:pt>
              </c:numCache>
            </c:numRef>
          </c:val>
        </c:ser>
        <c:ser>
          <c:idx val="1"/>
          <c:order val="1"/>
          <c:tx>
            <c:strRef>
              <c:f>'Timing - 21 Cell'!$AA$55</c:f>
              <c:strCache>
                <c:ptCount val="1"/>
                <c:pt idx="0">
                  <c:v>500</c:v>
                </c:pt>
              </c:strCache>
            </c:strRef>
          </c:tx>
          <c:spPr>
            <a:solidFill>
              <a:srgbClr val="993366"/>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Cell'!$AB$55:$AV$55</c:f>
              <c:numCache>
                <c:formatCode>0</c:formatCode>
                <c:ptCount val="21"/>
                <c:pt idx="0">
                  <c:v>5</c:v>
                </c:pt>
                <c:pt idx="1">
                  <c:v>5</c:v>
                </c:pt>
                <c:pt idx="2">
                  <c:v>5</c:v>
                </c:pt>
                <c:pt idx="3">
                  <c:v>5</c:v>
                </c:pt>
                <c:pt idx="4">
                  <c:v>5</c:v>
                </c:pt>
                <c:pt idx="5">
                  <c:v>8</c:v>
                </c:pt>
                <c:pt idx="6">
                  <c:v>13</c:v>
                </c:pt>
                <c:pt idx="7">
                  <c:v>6</c:v>
                </c:pt>
                <c:pt idx="8">
                  <c:v>3</c:v>
                </c:pt>
                <c:pt idx="9">
                  <c:v>2</c:v>
                </c:pt>
                <c:pt idx="10">
                  <c:v>-1</c:v>
                </c:pt>
                <c:pt idx="11">
                  <c:v>-2</c:v>
                </c:pt>
                <c:pt idx="12">
                  <c:v>-5</c:v>
                </c:pt>
                <c:pt idx="13">
                  <c:v>-8</c:v>
                </c:pt>
                <c:pt idx="14">
                  <c:v>-10</c:v>
                </c:pt>
                <c:pt idx="15">
                  <c:v>-10</c:v>
                </c:pt>
                <c:pt idx="16">
                  <c:v>-10</c:v>
                </c:pt>
                <c:pt idx="17">
                  <c:v>-10</c:v>
                </c:pt>
                <c:pt idx="18">
                  <c:v>-10</c:v>
                </c:pt>
                <c:pt idx="19">
                  <c:v>-10</c:v>
                </c:pt>
                <c:pt idx="20">
                  <c:v>-10</c:v>
                </c:pt>
              </c:numCache>
            </c:numRef>
          </c:val>
        </c:ser>
        <c:ser>
          <c:idx val="2"/>
          <c:order val="2"/>
          <c:tx>
            <c:strRef>
              <c:f>'Timing - 21 Cell'!$AA$56</c:f>
              <c:strCache>
                <c:ptCount val="1"/>
                <c:pt idx="0">
                  <c:v>750</c:v>
                </c:pt>
              </c:strCache>
            </c:strRef>
          </c:tx>
          <c:spPr>
            <a:solidFill>
              <a:srgbClr val="FFFFCC"/>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Cell'!$AB$56:$AV$56</c:f>
              <c:numCache>
                <c:formatCode>0</c:formatCode>
                <c:ptCount val="21"/>
                <c:pt idx="0">
                  <c:v>5</c:v>
                </c:pt>
                <c:pt idx="1">
                  <c:v>5</c:v>
                </c:pt>
                <c:pt idx="2">
                  <c:v>5</c:v>
                </c:pt>
                <c:pt idx="3">
                  <c:v>5</c:v>
                </c:pt>
                <c:pt idx="4">
                  <c:v>5</c:v>
                </c:pt>
                <c:pt idx="5">
                  <c:v>9</c:v>
                </c:pt>
                <c:pt idx="6">
                  <c:v>13</c:v>
                </c:pt>
                <c:pt idx="7">
                  <c:v>10</c:v>
                </c:pt>
                <c:pt idx="8">
                  <c:v>6</c:v>
                </c:pt>
                <c:pt idx="9">
                  <c:v>2</c:v>
                </c:pt>
                <c:pt idx="10">
                  <c:v>-2</c:v>
                </c:pt>
                <c:pt idx="11">
                  <c:v>-3</c:v>
                </c:pt>
                <c:pt idx="12">
                  <c:v>-5</c:v>
                </c:pt>
                <c:pt idx="13">
                  <c:v>-8</c:v>
                </c:pt>
                <c:pt idx="14">
                  <c:v>-10</c:v>
                </c:pt>
                <c:pt idx="15">
                  <c:v>-10</c:v>
                </c:pt>
                <c:pt idx="16">
                  <c:v>-10</c:v>
                </c:pt>
                <c:pt idx="17">
                  <c:v>-10</c:v>
                </c:pt>
                <c:pt idx="18">
                  <c:v>-10</c:v>
                </c:pt>
                <c:pt idx="19">
                  <c:v>-10</c:v>
                </c:pt>
                <c:pt idx="20">
                  <c:v>-10</c:v>
                </c:pt>
              </c:numCache>
            </c:numRef>
          </c:val>
        </c:ser>
        <c:ser>
          <c:idx val="3"/>
          <c:order val="3"/>
          <c:tx>
            <c:strRef>
              <c:f>'Timing - 21 Cell'!$AA$57</c:f>
              <c:strCache>
                <c:ptCount val="1"/>
                <c:pt idx="0">
                  <c:v>1000</c:v>
                </c:pt>
              </c:strCache>
            </c:strRef>
          </c:tx>
          <c:spPr>
            <a:solidFill>
              <a:srgbClr val="CCFF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Cell'!$AB$57:$AV$57</c:f>
              <c:numCache>
                <c:formatCode>0</c:formatCode>
                <c:ptCount val="21"/>
                <c:pt idx="0">
                  <c:v>5</c:v>
                </c:pt>
                <c:pt idx="1">
                  <c:v>5</c:v>
                </c:pt>
                <c:pt idx="2">
                  <c:v>5</c:v>
                </c:pt>
                <c:pt idx="3">
                  <c:v>5</c:v>
                </c:pt>
                <c:pt idx="4">
                  <c:v>9</c:v>
                </c:pt>
                <c:pt idx="5">
                  <c:v>13</c:v>
                </c:pt>
                <c:pt idx="6">
                  <c:v>18</c:v>
                </c:pt>
                <c:pt idx="7">
                  <c:v>10</c:v>
                </c:pt>
                <c:pt idx="8">
                  <c:v>8</c:v>
                </c:pt>
                <c:pt idx="9">
                  <c:v>7</c:v>
                </c:pt>
                <c:pt idx="10">
                  <c:v>7</c:v>
                </c:pt>
                <c:pt idx="11">
                  <c:v>4</c:v>
                </c:pt>
                <c:pt idx="12">
                  <c:v>1</c:v>
                </c:pt>
                <c:pt idx="13">
                  <c:v>-3</c:v>
                </c:pt>
                <c:pt idx="14">
                  <c:v>-6</c:v>
                </c:pt>
                <c:pt idx="15">
                  <c:v>-10</c:v>
                </c:pt>
                <c:pt idx="16">
                  <c:v>-10</c:v>
                </c:pt>
                <c:pt idx="17">
                  <c:v>-10</c:v>
                </c:pt>
                <c:pt idx="18">
                  <c:v>-10</c:v>
                </c:pt>
                <c:pt idx="19">
                  <c:v>-10</c:v>
                </c:pt>
                <c:pt idx="20">
                  <c:v>-10</c:v>
                </c:pt>
              </c:numCache>
            </c:numRef>
          </c:val>
        </c:ser>
        <c:ser>
          <c:idx val="4"/>
          <c:order val="4"/>
          <c:tx>
            <c:strRef>
              <c:f>'Timing - 21 Cell'!$AA$58</c:f>
              <c:strCache>
                <c:ptCount val="1"/>
                <c:pt idx="0">
                  <c:v>1250</c:v>
                </c:pt>
              </c:strCache>
            </c:strRef>
          </c:tx>
          <c:spPr>
            <a:solidFill>
              <a:srgbClr val="660066"/>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Cell'!$AB$58:$AV$58</c:f>
              <c:numCache>
                <c:formatCode>0</c:formatCode>
                <c:ptCount val="21"/>
                <c:pt idx="0">
                  <c:v>8</c:v>
                </c:pt>
                <c:pt idx="1">
                  <c:v>8</c:v>
                </c:pt>
                <c:pt idx="2">
                  <c:v>12</c:v>
                </c:pt>
                <c:pt idx="3">
                  <c:v>12</c:v>
                </c:pt>
                <c:pt idx="4">
                  <c:v>16</c:v>
                </c:pt>
                <c:pt idx="5">
                  <c:v>20</c:v>
                </c:pt>
                <c:pt idx="6">
                  <c:v>20</c:v>
                </c:pt>
                <c:pt idx="7">
                  <c:v>17</c:v>
                </c:pt>
                <c:pt idx="8">
                  <c:v>15</c:v>
                </c:pt>
                <c:pt idx="9">
                  <c:v>9</c:v>
                </c:pt>
                <c:pt idx="10">
                  <c:v>8</c:v>
                </c:pt>
                <c:pt idx="11">
                  <c:v>4</c:v>
                </c:pt>
                <c:pt idx="12">
                  <c:v>2</c:v>
                </c:pt>
                <c:pt idx="13">
                  <c:v>-1</c:v>
                </c:pt>
                <c:pt idx="14">
                  <c:v>-4</c:v>
                </c:pt>
                <c:pt idx="15">
                  <c:v>-7</c:v>
                </c:pt>
                <c:pt idx="16">
                  <c:v>-10</c:v>
                </c:pt>
                <c:pt idx="17">
                  <c:v>-10</c:v>
                </c:pt>
                <c:pt idx="18">
                  <c:v>-10</c:v>
                </c:pt>
                <c:pt idx="19">
                  <c:v>-10</c:v>
                </c:pt>
                <c:pt idx="20">
                  <c:v>-10</c:v>
                </c:pt>
              </c:numCache>
            </c:numRef>
          </c:val>
        </c:ser>
        <c:ser>
          <c:idx val="5"/>
          <c:order val="5"/>
          <c:tx>
            <c:strRef>
              <c:f>'Timing - 21 Cell'!$AA$59</c:f>
              <c:strCache>
                <c:ptCount val="1"/>
                <c:pt idx="0">
                  <c:v>1500</c:v>
                </c:pt>
              </c:strCache>
            </c:strRef>
          </c:tx>
          <c:spPr>
            <a:solidFill>
              <a:srgbClr val="FF808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Cell'!$AB$59:$AV$59</c:f>
              <c:numCache>
                <c:formatCode>0</c:formatCode>
                <c:ptCount val="21"/>
                <c:pt idx="0">
                  <c:v>13</c:v>
                </c:pt>
                <c:pt idx="1">
                  <c:v>13</c:v>
                </c:pt>
                <c:pt idx="2">
                  <c:v>19</c:v>
                </c:pt>
                <c:pt idx="3">
                  <c:v>19</c:v>
                </c:pt>
                <c:pt idx="4">
                  <c:v>26</c:v>
                </c:pt>
                <c:pt idx="5">
                  <c:v>24</c:v>
                </c:pt>
                <c:pt idx="6">
                  <c:v>23</c:v>
                </c:pt>
                <c:pt idx="7">
                  <c:v>21</c:v>
                </c:pt>
                <c:pt idx="8">
                  <c:v>19</c:v>
                </c:pt>
                <c:pt idx="9">
                  <c:v>14</c:v>
                </c:pt>
                <c:pt idx="10">
                  <c:v>12</c:v>
                </c:pt>
                <c:pt idx="11">
                  <c:v>10</c:v>
                </c:pt>
                <c:pt idx="12">
                  <c:v>7</c:v>
                </c:pt>
                <c:pt idx="13">
                  <c:v>4</c:v>
                </c:pt>
                <c:pt idx="14">
                  <c:v>1</c:v>
                </c:pt>
                <c:pt idx="15">
                  <c:v>-2</c:v>
                </c:pt>
                <c:pt idx="16">
                  <c:v>-5</c:v>
                </c:pt>
                <c:pt idx="17">
                  <c:v>-8</c:v>
                </c:pt>
                <c:pt idx="18">
                  <c:v>-10</c:v>
                </c:pt>
                <c:pt idx="19">
                  <c:v>-12</c:v>
                </c:pt>
                <c:pt idx="20">
                  <c:v>-14</c:v>
                </c:pt>
              </c:numCache>
            </c:numRef>
          </c:val>
        </c:ser>
        <c:ser>
          <c:idx val="6"/>
          <c:order val="6"/>
          <c:tx>
            <c:strRef>
              <c:f>'Timing - 21 Cell'!$AA$60</c:f>
              <c:strCache>
                <c:ptCount val="1"/>
                <c:pt idx="0">
                  <c:v>1750</c:v>
                </c:pt>
              </c:strCache>
            </c:strRef>
          </c:tx>
          <c:spPr>
            <a:solidFill>
              <a:srgbClr val="0066CC"/>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Cell'!$AB$60:$AV$60</c:f>
              <c:numCache>
                <c:formatCode>0</c:formatCode>
                <c:ptCount val="21"/>
                <c:pt idx="0">
                  <c:v>18</c:v>
                </c:pt>
                <c:pt idx="1">
                  <c:v>18</c:v>
                </c:pt>
                <c:pt idx="2">
                  <c:v>25</c:v>
                </c:pt>
                <c:pt idx="3">
                  <c:v>25</c:v>
                </c:pt>
                <c:pt idx="4">
                  <c:v>27</c:v>
                </c:pt>
                <c:pt idx="5">
                  <c:v>25</c:v>
                </c:pt>
                <c:pt idx="6">
                  <c:v>24</c:v>
                </c:pt>
                <c:pt idx="7">
                  <c:v>23</c:v>
                </c:pt>
                <c:pt idx="8">
                  <c:v>21</c:v>
                </c:pt>
                <c:pt idx="9">
                  <c:v>17</c:v>
                </c:pt>
                <c:pt idx="10">
                  <c:v>14</c:v>
                </c:pt>
                <c:pt idx="11">
                  <c:v>11</c:v>
                </c:pt>
                <c:pt idx="12">
                  <c:v>8</c:v>
                </c:pt>
                <c:pt idx="13">
                  <c:v>5</c:v>
                </c:pt>
                <c:pt idx="14">
                  <c:v>2</c:v>
                </c:pt>
                <c:pt idx="15">
                  <c:v>-1</c:v>
                </c:pt>
                <c:pt idx="16">
                  <c:v>-4</c:v>
                </c:pt>
                <c:pt idx="17">
                  <c:v>-7</c:v>
                </c:pt>
                <c:pt idx="18">
                  <c:v>-9</c:v>
                </c:pt>
                <c:pt idx="19">
                  <c:v>-11</c:v>
                </c:pt>
                <c:pt idx="20">
                  <c:v>-13</c:v>
                </c:pt>
              </c:numCache>
            </c:numRef>
          </c:val>
        </c:ser>
        <c:ser>
          <c:idx val="7"/>
          <c:order val="7"/>
          <c:tx>
            <c:strRef>
              <c:f>'Timing - 21 Cell'!$AA$61</c:f>
              <c:strCache>
                <c:ptCount val="1"/>
                <c:pt idx="0">
                  <c:v>2000</c:v>
                </c:pt>
              </c:strCache>
            </c:strRef>
          </c:tx>
          <c:spPr>
            <a:solidFill>
              <a:srgbClr val="CCCC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Cell'!$AB$61:$AV$61</c:f>
              <c:numCache>
                <c:formatCode>0</c:formatCode>
                <c:ptCount val="21"/>
                <c:pt idx="0">
                  <c:v>24</c:v>
                </c:pt>
                <c:pt idx="1">
                  <c:v>24</c:v>
                </c:pt>
                <c:pt idx="2">
                  <c:v>32</c:v>
                </c:pt>
                <c:pt idx="3">
                  <c:v>32</c:v>
                </c:pt>
                <c:pt idx="4">
                  <c:v>29</c:v>
                </c:pt>
                <c:pt idx="5">
                  <c:v>26</c:v>
                </c:pt>
                <c:pt idx="6">
                  <c:v>26</c:v>
                </c:pt>
                <c:pt idx="7">
                  <c:v>25</c:v>
                </c:pt>
                <c:pt idx="8">
                  <c:v>24</c:v>
                </c:pt>
                <c:pt idx="9">
                  <c:v>20</c:v>
                </c:pt>
                <c:pt idx="10">
                  <c:v>17</c:v>
                </c:pt>
                <c:pt idx="11">
                  <c:v>12</c:v>
                </c:pt>
                <c:pt idx="12">
                  <c:v>10</c:v>
                </c:pt>
                <c:pt idx="13">
                  <c:v>7</c:v>
                </c:pt>
                <c:pt idx="14">
                  <c:v>4</c:v>
                </c:pt>
                <c:pt idx="15">
                  <c:v>1</c:v>
                </c:pt>
                <c:pt idx="16">
                  <c:v>-2</c:v>
                </c:pt>
                <c:pt idx="17">
                  <c:v>-5</c:v>
                </c:pt>
                <c:pt idx="18">
                  <c:v>-8</c:v>
                </c:pt>
                <c:pt idx="19">
                  <c:v>-11</c:v>
                </c:pt>
                <c:pt idx="20">
                  <c:v>-14</c:v>
                </c:pt>
              </c:numCache>
            </c:numRef>
          </c:val>
        </c:ser>
        <c:ser>
          <c:idx val="8"/>
          <c:order val="8"/>
          <c:tx>
            <c:strRef>
              <c:f>'Timing - 21 Cell'!$AA$62</c:f>
              <c:strCache>
                <c:ptCount val="1"/>
                <c:pt idx="0">
                  <c:v>2500</c:v>
                </c:pt>
              </c:strCache>
            </c:strRef>
          </c:tx>
          <c:spPr>
            <a:solidFill>
              <a:srgbClr val="00008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Cell'!$AB$62:$AV$62</c:f>
              <c:numCache>
                <c:formatCode>0</c:formatCode>
                <c:ptCount val="21"/>
                <c:pt idx="0">
                  <c:v>24</c:v>
                </c:pt>
                <c:pt idx="1">
                  <c:v>24</c:v>
                </c:pt>
                <c:pt idx="2">
                  <c:v>34</c:v>
                </c:pt>
                <c:pt idx="3">
                  <c:v>34</c:v>
                </c:pt>
                <c:pt idx="4">
                  <c:v>32</c:v>
                </c:pt>
                <c:pt idx="5">
                  <c:v>30</c:v>
                </c:pt>
                <c:pt idx="6">
                  <c:v>29</c:v>
                </c:pt>
                <c:pt idx="7">
                  <c:v>27</c:v>
                </c:pt>
                <c:pt idx="8">
                  <c:v>25</c:v>
                </c:pt>
                <c:pt idx="9">
                  <c:v>20</c:v>
                </c:pt>
                <c:pt idx="10">
                  <c:v>20</c:v>
                </c:pt>
                <c:pt idx="11">
                  <c:v>15</c:v>
                </c:pt>
                <c:pt idx="12">
                  <c:v>9</c:v>
                </c:pt>
                <c:pt idx="13">
                  <c:v>7</c:v>
                </c:pt>
                <c:pt idx="14">
                  <c:v>4</c:v>
                </c:pt>
                <c:pt idx="15">
                  <c:v>1</c:v>
                </c:pt>
                <c:pt idx="16">
                  <c:v>-2</c:v>
                </c:pt>
                <c:pt idx="17">
                  <c:v>-5</c:v>
                </c:pt>
                <c:pt idx="18">
                  <c:v>-8</c:v>
                </c:pt>
                <c:pt idx="19">
                  <c:v>-11</c:v>
                </c:pt>
                <c:pt idx="20">
                  <c:v>-14</c:v>
                </c:pt>
              </c:numCache>
            </c:numRef>
          </c:val>
        </c:ser>
        <c:ser>
          <c:idx val="9"/>
          <c:order val="9"/>
          <c:tx>
            <c:strRef>
              <c:f>'Timing - 21 Cell'!$AA$63</c:f>
              <c:strCache>
                <c:ptCount val="1"/>
                <c:pt idx="0">
                  <c:v>3000</c:v>
                </c:pt>
              </c:strCache>
            </c:strRef>
          </c:tx>
          <c:spPr>
            <a:solidFill>
              <a:srgbClr val="FF00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Cell'!$AB$63:$AV$63</c:f>
              <c:numCache>
                <c:formatCode>0</c:formatCode>
                <c:ptCount val="21"/>
                <c:pt idx="0">
                  <c:v>28</c:v>
                </c:pt>
                <c:pt idx="1">
                  <c:v>28</c:v>
                </c:pt>
                <c:pt idx="2">
                  <c:v>38</c:v>
                </c:pt>
                <c:pt idx="3">
                  <c:v>38</c:v>
                </c:pt>
                <c:pt idx="4">
                  <c:v>35</c:v>
                </c:pt>
                <c:pt idx="5">
                  <c:v>32</c:v>
                </c:pt>
                <c:pt idx="6">
                  <c:v>30</c:v>
                </c:pt>
                <c:pt idx="7">
                  <c:v>29</c:v>
                </c:pt>
                <c:pt idx="8">
                  <c:v>28</c:v>
                </c:pt>
                <c:pt idx="9">
                  <c:v>26</c:v>
                </c:pt>
                <c:pt idx="10">
                  <c:v>22</c:v>
                </c:pt>
                <c:pt idx="11">
                  <c:v>18</c:v>
                </c:pt>
                <c:pt idx="12">
                  <c:v>12</c:v>
                </c:pt>
                <c:pt idx="13">
                  <c:v>7</c:v>
                </c:pt>
                <c:pt idx="14">
                  <c:v>6</c:v>
                </c:pt>
                <c:pt idx="15">
                  <c:v>5</c:v>
                </c:pt>
                <c:pt idx="16">
                  <c:v>1</c:v>
                </c:pt>
                <c:pt idx="17">
                  <c:v>-2</c:v>
                </c:pt>
                <c:pt idx="18">
                  <c:v>-5</c:v>
                </c:pt>
                <c:pt idx="19">
                  <c:v>-8</c:v>
                </c:pt>
                <c:pt idx="20">
                  <c:v>-11</c:v>
                </c:pt>
              </c:numCache>
            </c:numRef>
          </c:val>
        </c:ser>
        <c:ser>
          <c:idx val="10"/>
          <c:order val="10"/>
          <c:tx>
            <c:strRef>
              <c:f>'Timing - 21 Cell'!$AA$64</c:f>
              <c:strCache>
                <c:ptCount val="1"/>
                <c:pt idx="0">
                  <c:v>3500</c:v>
                </c:pt>
              </c:strCache>
            </c:strRef>
          </c:tx>
          <c:spPr>
            <a:solidFill>
              <a:srgbClr val="FFFF0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Cell'!$AB$64:$AV$64</c:f>
              <c:numCache>
                <c:formatCode>0</c:formatCode>
                <c:ptCount val="21"/>
                <c:pt idx="0">
                  <c:v>28</c:v>
                </c:pt>
                <c:pt idx="1">
                  <c:v>28</c:v>
                </c:pt>
                <c:pt idx="2">
                  <c:v>38</c:v>
                </c:pt>
                <c:pt idx="3">
                  <c:v>38</c:v>
                </c:pt>
                <c:pt idx="4">
                  <c:v>35</c:v>
                </c:pt>
                <c:pt idx="5">
                  <c:v>32</c:v>
                </c:pt>
                <c:pt idx="6">
                  <c:v>31</c:v>
                </c:pt>
                <c:pt idx="7">
                  <c:v>30</c:v>
                </c:pt>
                <c:pt idx="8">
                  <c:v>28</c:v>
                </c:pt>
                <c:pt idx="9">
                  <c:v>27</c:v>
                </c:pt>
                <c:pt idx="10">
                  <c:v>25</c:v>
                </c:pt>
                <c:pt idx="11">
                  <c:v>20</c:v>
                </c:pt>
                <c:pt idx="12">
                  <c:v>15</c:v>
                </c:pt>
                <c:pt idx="13">
                  <c:v>11</c:v>
                </c:pt>
                <c:pt idx="14">
                  <c:v>8</c:v>
                </c:pt>
                <c:pt idx="15">
                  <c:v>7</c:v>
                </c:pt>
                <c:pt idx="16">
                  <c:v>5</c:v>
                </c:pt>
                <c:pt idx="17">
                  <c:v>2</c:v>
                </c:pt>
                <c:pt idx="18">
                  <c:v>-1</c:v>
                </c:pt>
                <c:pt idx="19">
                  <c:v>-4</c:v>
                </c:pt>
                <c:pt idx="20">
                  <c:v>-7</c:v>
                </c:pt>
              </c:numCache>
            </c:numRef>
          </c:val>
        </c:ser>
        <c:ser>
          <c:idx val="11"/>
          <c:order val="11"/>
          <c:tx>
            <c:strRef>
              <c:f>'Timing - 21 Cell'!$AA$65</c:f>
              <c:strCache>
                <c:ptCount val="1"/>
                <c:pt idx="0">
                  <c:v>4000</c:v>
                </c:pt>
              </c:strCache>
            </c:strRef>
          </c:tx>
          <c:spPr>
            <a:solidFill>
              <a:srgbClr val="00FF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Cell'!$AB$65:$AV$65</c:f>
              <c:numCache>
                <c:formatCode>0</c:formatCode>
                <c:ptCount val="21"/>
                <c:pt idx="0">
                  <c:v>28</c:v>
                </c:pt>
                <c:pt idx="1">
                  <c:v>28</c:v>
                </c:pt>
                <c:pt idx="2">
                  <c:v>38</c:v>
                </c:pt>
                <c:pt idx="3">
                  <c:v>38</c:v>
                </c:pt>
                <c:pt idx="4">
                  <c:v>35</c:v>
                </c:pt>
                <c:pt idx="5">
                  <c:v>32</c:v>
                </c:pt>
                <c:pt idx="6">
                  <c:v>31</c:v>
                </c:pt>
                <c:pt idx="7">
                  <c:v>30</c:v>
                </c:pt>
                <c:pt idx="8">
                  <c:v>28</c:v>
                </c:pt>
                <c:pt idx="9">
                  <c:v>27</c:v>
                </c:pt>
                <c:pt idx="10">
                  <c:v>25</c:v>
                </c:pt>
                <c:pt idx="11">
                  <c:v>20</c:v>
                </c:pt>
                <c:pt idx="12">
                  <c:v>15</c:v>
                </c:pt>
                <c:pt idx="13">
                  <c:v>12</c:v>
                </c:pt>
                <c:pt idx="14">
                  <c:v>9</c:v>
                </c:pt>
                <c:pt idx="15">
                  <c:v>8</c:v>
                </c:pt>
                <c:pt idx="16">
                  <c:v>7</c:v>
                </c:pt>
                <c:pt idx="17">
                  <c:v>3</c:v>
                </c:pt>
                <c:pt idx="18">
                  <c:v>0</c:v>
                </c:pt>
                <c:pt idx="19">
                  <c:v>-3</c:v>
                </c:pt>
                <c:pt idx="20">
                  <c:v>-6</c:v>
                </c:pt>
              </c:numCache>
            </c:numRef>
          </c:val>
        </c:ser>
        <c:ser>
          <c:idx val="12"/>
          <c:order val="12"/>
          <c:tx>
            <c:strRef>
              <c:f>'Timing - 21 Cell'!$AA$66</c:f>
              <c:strCache>
                <c:ptCount val="1"/>
                <c:pt idx="0">
                  <c:v>4500</c:v>
                </c:pt>
              </c:strCache>
            </c:strRef>
          </c:tx>
          <c:spPr>
            <a:solidFill>
              <a:srgbClr val="80008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Cell'!$AB$66:$AV$66</c:f>
              <c:numCache>
                <c:formatCode>0</c:formatCode>
                <c:ptCount val="21"/>
                <c:pt idx="0">
                  <c:v>33</c:v>
                </c:pt>
                <c:pt idx="1">
                  <c:v>33</c:v>
                </c:pt>
                <c:pt idx="2">
                  <c:v>38</c:v>
                </c:pt>
                <c:pt idx="3">
                  <c:v>38</c:v>
                </c:pt>
                <c:pt idx="4">
                  <c:v>35</c:v>
                </c:pt>
                <c:pt idx="5">
                  <c:v>32</c:v>
                </c:pt>
                <c:pt idx="6">
                  <c:v>31</c:v>
                </c:pt>
                <c:pt idx="7">
                  <c:v>30</c:v>
                </c:pt>
                <c:pt idx="8">
                  <c:v>28</c:v>
                </c:pt>
                <c:pt idx="9">
                  <c:v>27</c:v>
                </c:pt>
                <c:pt idx="10">
                  <c:v>25</c:v>
                </c:pt>
                <c:pt idx="11">
                  <c:v>20</c:v>
                </c:pt>
                <c:pt idx="12">
                  <c:v>16</c:v>
                </c:pt>
                <c:pt idx="13">
                  <c:v>13</c:v>
                </c:pt>
                <c:pt idx="14">
                  <c:v>10</c:v>
                </c:pt>
                <c:pt idx="15">
                  <c:v>8</c:v>
                </c:pt>
                <c:pt idx="16">
                  <c:v>5</c:v>
                </c:pt>
                <c:pt idx="17">
                  <c:v>2</c:v>
                </c:pt>
                <c:pt idx="18">
                  <c:v>-1</c:v>
                </c:pt>
                <c:pt idx="19">
                  <c:v>-4</c:v>
                </c:pt>
                <c:pt idx="20">
                  <c:v>-7</c:v>
                </c:pt>
              </c:numCache>
            </c:numRef>
          </c:val>
        </c:ser>
        <c:ser>
          <c:idx val="13"/>
          <c:order val="13"/>
          <c:tx>
            <c:strRef>
              <c:f>'Timing - 21 Cell'!$AA$67</c:f>
              <c:strCache>
                <c:ptCount val="1"/>
                <c:pt idx="0">
                  <c:v>5000</c:v>
                </c:pt>
              </c:strCache>
            </c:strRef>
          </c:tx>
          <c:spPr>
            <a:solidFill>
              <a:srgbClr val="80000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Cell'!$AB$67:$AV$67</c:f>
              <c:numCache>
                <c:formatCode>0</c:formatCode>
                <c:ptCount val="21"/>
                <c:pt idx="0">
                  <c:v>38</c:v>
                </c:pt>
                <c:pt idx="1">
                  <c:v>38</c:v>
                </c:pt>
                <c:pt idx="2">
                  <c:v>38</c:v>
                </c:pt>
                <c:pt idx="3">
                  <c:v>38</c:v>
                </c:pt>
                <c:pt idx="4">
                  <c:v>35</c:v>
                </c:pt>
                <c:pt idx="5">
                  <c:v>32</c:v>
                </c:pt>
                <c:pt idx="6">
                  <c:v>31</c:v>
                </c:pt>
                <c:pt idx="7">
                  <c:v>30</c:v>
                </c:pt>
                <c:pt idx="8">
                  <c:v>28</c:v>
                </c:pt>
                <c:pt idx="9">
                  <c:v>27</c:v>
                </c:pt>
                <c:pt idx="10">
                  <c:v>25</c:v>
                </c:pt>
                <c:pt idx="11">
                  <c:v>20</c:v>
                </c:pt>
                <c:pt idx="12">
                  <c:v>16</c:v>
                </c:pt>
                <c:pt idx="13">
                  <c:v>12</c:v>
                </c:pt>
                <c:pt idx="14">
                  <c:v>10</c:v>
                </c:pt>
                <c:pt idx="15">
                  <c:v>10</c:v>
                </c:pt>
                <c:pt idx="16">
                  <c:v>7</c:v>
                </c:pt>
                <c:pt idx="17">
                  <c:v>4</c:v>
                </c:pt>
                <c:pt idx="18">
                  <c:v>1</c:v>
                </c:pt>
                <c:pt idx="19">
                  <c:v>-2</c:v>
                </c:pt>
                <c:pt idx="20">
                  <c:v>-5</c:v>
                </c:pt>
              </c:numCache>
            </c:numRef>
          </c:val>
        </c:ser>
        <c:ser>
          <c:idx val="14"/>
          <c:order val="14"/>
          <c:tx>
            <c:strRef>
              <c:f>'Timing - 21 Cell'!$AA$68</c:f>
              <c:strCache>
                <c:ptCount val="1"/>
                <c:pt idx="0">
                  <c:v>5500</c:v>
                </c:pt>
              </c:strCache>
            </c:strRef>
          </c:tx>
          <c:spPr>
            <a:solidFill>
              <a:srgbClr val="008080"/>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Cell'!$AB$68:$AV$68</c:f>
              <c:numCache>
                <c:formatCode>0</c:formatCode>
                <c:ptCount val="21"/>
                <c:pt idx="0">
                  <c:v>38</c:v>
                </c:pt>
                <c:pt idx="1">
                  <c:v>38</c:v>
                </c:pt>
                <c:pt idx="2">
                  <c:v>38</c:v>
                </c:pt>
                <c:pt idx="3">
                  <c:v>38</c:v>
                </c:pt>
                <c:pt idx="4">
                  <c:v>35</c:v>
                </c:pt>
                <c:pt idx="5">
                  <c:v>32</c:v>
                </c:pt>
                <c:pt idx="6">
                  <c:v>31</c:v>
                </c:pt>
                <c:pt idx="7">
                  <c:v>30</c:v>
                </c:pt>
                <c:pt idx="8">
                  <c:v>28</c:v>
                </c:pt>
                <c:pt idx="9">
                  <c:v>27</c:v>
                </c:pt>
                <c:pt idx="10">
                  <c:v>25</c:v>
                </c:pt>
                <c:pt idx="11">
                  <c:v>20</c:v>
                </c:pt>
                <c:pt idx="12">
                  <c:v>15</c:v>
                </c:pt>
                <c:pt idx="13">
                  <c:v>13</c:v>
                </c:pt>
                <c:pt idx="14">
                  <c:v>11</c:v>
                </c:pt>
                <c:pt idx="15">
                  <c:v>9</c:v>
                </c:pt>
                <c:pt idx="16">
                  <c:v>6</c:v>
                </c:pt>
                <c:pt idx="17">
                  <c:v>3</c:v>
                </c:pt>
                <c:pt idx="18">
                  <c:v>0</c:v>
                </c:pt>
                <c:pt idx="19">
                  <c:v>-3</c:v>
                </c:pt>
                <c:pt idx="20">
                  <c:v>-6</c:v>
                </c:pt>
              </c:numCache>
            </c:numRef>
          </c:val>
        </c:ser>
        <c:ser>
          <c:idx val="15"/>
          <c:order val="15"/>
          <c:tx>
            <c:strRef>
              <c:f>'Timing - 21 Cell'!$AA$69</c:f>
              <c:strCache>
                <c:ptCount val="1"/>
                <c:pt idx="0">
                  <c:v>6000</c:v>
                </c:pt>
              </c:strCache>
            </c:strRef>
          </c:tx>
          <c:spPr>
            <a:solidFill>
              <a:srgbClr val="0000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Cell'!$AB$69:$AV$69</c:f>
              <c:numCache>
                <c:formatCode>0</c:formatCode>
                <c:ptCount val="21"/>
                <c:pt idx="0">
                  <c:v>38</c:v>
                </c:pt>
                <c:pt idx="1">
                  <c:v>38</c:v>
                </c:pt>
                <c:pt idx="2">
                  <c:v>38</c:v>
                </c:pt>
                <c:pt idx="3">
                  <c:v>38</c:v>
                </c:pt>
                <c:pt idx="4">
                  <c:v>35</c:v>
                </c:pt>
                <c:pt idx="5">
                  <c:v>34</c:v>
                </c:pt>
                <c:pt idx="6">
                  <c:v>32</c:v>
                </c:pt>
                <c:pt idx="7">
                  <c:v>31</c:v>
                </c:pt>
                <c:pt idx="8">
                  <c:v>30</c:v>
                </c:pt>
                <c:pt idx="9">
                  <c:v>28</c:v>
                </c:pt>
                <c:pt idx="10">
                  <c:v>26</c:v>
                </c:pt>
                <c:pt idx="11">
                  <c:v>23</c:v>
                </c:pt>
                <c:pt idx="12">
                  <c:v>18</c:v>
                </c:pt>
                <c:pt idx="13">
                  <c:v>16</c:v>
                </c:pt>
                <c:pt idx="14">
                  <c:v>14</c:v>
                </c:pt>
                <c:pt idx="15">
                  <c:v>13</c:v>
                </c:pt>
                <c:pt idx="16">
                  <c:v>10</c:v>
                </c:pt>
                <c:pt idx="17">
                  <c:v>7</c:v>
                </c:pt>
                <c:pt idx="18">
                  <c:v>4</c:v>
                </c:pt>
                <c:pt idx="19">
                  <c:v>1</c:v>
                </c:pt>
                <c:pt idx="20">
                  <c:v>-2</c:v>
                </c:pt>
              </c:numCache>
            </c:numRef>
          </c:val>
        </c:ser>
        <c:ser>
          <c:idx val="16"/>
          <c:order val="16"/>
          <c:tx>
            <c:strRef>
              <c:f>'Timing - 21 Cell'!$AA$70</c:f>
              <c:strCache>
                <c:ptCount val="1"/>
                <c:pt idx="0">
                  <c:v>6500</c:v>
                </c:pt>
              </c:strCache>
            </c:strRef>
          </c:tx>
          <c:spPr>
            <a:solidFill>
              <a:srgbClr val="00CC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Cell'!$AB$70:$AV$70</c:f>
              <c:numCache>
                <c:formatCode>0</c:formatCode>
                <c:ptCount val="21"/>
                <c:pt idx="0">
                  <c:v>38</c:v>
                </c:pt>
                <c:pt idx="1">
                  <c:v>38</c:v>
                </c:pt>
                <c:pt idx="2">
                  <c:v>38</c:v>
                </c:pt>
                <c:pt idx="3">
                  <c:v>38</c:v>
                </c:pt>
                <c:pt idx="4">
                  <c:v>38</c:v>
                </c:pt>
                <c:pt idx="5">
                  <c:v>37</c:v>
                </c:pt>
                <c:pt idx="6">
                  <c:v>35</c:v>
                </c:pt>
                <c:pt idx="7">
                  <c:v>34</c:v>
                </c:pt>
                <c:pt idx="8">
                  <c:v>34</c:v>
                </c:pt>
                <c:pt idx="9">
                  <c:v>32</c:v>
                </c:pt>
                <c:pt idx="10">
                  <c:v>30</c:v>
                </c:pt>
                <c:pt idx="11">
                  <c:v>27</c:v>
                </c:pt>
                <c:pt idx="12">
                  <c:v>22</c:v>
                </c:pt>
                <c:pt idx="13">
                  <c:v>20</c:v>
                </c:pt>
                <c:pt idx="14">
                  <c:v>18</c:v>
                </c:pt>
                <c:pt idx="15">
                  <c:v>15</c:v>
                </c:pt>
                <c:pt idx="16">
                  <c:v>12</c:v>
                </c:pt>
                <c:pt idx="17">
                  <c:v>9</c:v>
                </c:pt>
                <c:pt idx="18">
                  <c:v>6</c:v>
                </c:pt>
                <c:pt idx="19">
                  <c:v>3</c:v>
                </c:pt>
                <c:pt idx="20">
                  <c:v>0</c:v>
                </c:pt>
              </c:numCache>
            </c:numRef>
          </c:val>
        </c:ser>
        <c:ser>
          <c:idx val="17"/>
          <c:order val="17"/>
          <c:tx>
            <c:strRef>
              <c:f>'Timing - 21 Cell'!$AA$71</c:f>
              <c:strCache>
                <c:ptCount val="1"/>
                <c:pt idx="0">
                  <c:v>7000</c:v>
                </c:pt>
              </c:strCache>
            </c:strRef>
          </c:tx>
          <c:spPr>
            <a:solidFill>
              <a:srgbClr val="CCFFFF"/>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Cell'!$AB$71:$AV$71</c:f>
              <c:numCache>
                <c:formatCode>0</c:formatCode>
                <c:ptCount val="21"/>
                <c:pt idx="0">
                  <c:v>38</c:v>
                </c:pt>
                <c:pt idx="1">
                  <c:v>38</c:v>
                </c:pt>
                <c:pt idx="2">
                  <c:v>38</c:v>
                </c:pt>
                <c:pt idx="3">
                  <c:v>38</c:v>
                </c:pt>
                <c:pt idx="4">
                  <c:v>38</c:v>
                </c:pt>
                <c:pt idx="5">
                  <c:v>37</c:v>
                </c:pt>
                <c:pt idx="6">
                  <c:v>36</c:v>
                </c:pt>
                <c:pt idx="7">
                  <c:v>35</c:v>
                </c:pt>
                <c:pt idx="8">
                  <c:v>35</c:v>
                </c:pt>
                <c:pt idx="9">
                  <c:v>34</c:v>
                </c:pt>
                <c:pt idx="10">
                  <c:v>34</c:v>
                </c:pt>
                <c:pt idx="11">
                  <c:v>31</c:v>
                </c:pt>
                <c:pt idx="12">
                  <c:v>26</c:v>
                </c:pt>
                <c:pt idx="13">
                  <c:v>24</c:v>
                </c:pt>
                <c:pt idx="14">
                  <c:v>21</c:v>
                </c:pt>
                <c:pt idx="15">
                  <c:v>18</c:v>
                </c:pt>
                <c:pt idx="16">
                  <c:v>15</c:v>
                </c:pt>
                <c:pt idx="17">
                  <c:v>12</c:v>
                </c:pt>
                <c:pt idx="18">
                  <c:v>9</c:v>
                </c:pt>
                <c:pt idx="19">
                  <c:v>6</c:v>
                </c:pt>
                <c:pt idx="20">
                  <c:v>3</c:v>
                </c:pt>
              </c:numCache>
            </c:numRef>
          </c:val>
        </c:ser>
        <c:ser>
          <c:idx val="18"/>
          <c:order val="18"/>
          <c:tx>
            <c:strRef>
              <c:f>'Timing - 21 Cell'!$AA$72</c:f>
              <c:strCache>
                <c:ptCount val="1"/>
                <c:pt idx="0">
                  <c:v>7500</c:v>
                </c:pt>
              </c:strCache>
            </c:strRef>
          </c:tx>
          <c:spPr>
            <a:solidFill>
              <a:srgbClr val="CCFFCC"/>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Cell'!$AB$72:$AV$72</c:f>
              <c:numCache>
                <c:formatCode>0</c:formatCode>
                <c:ptCount val="21"/>
                <c:pt idx="0">
                  <c:v>38</c:v>
                </c:pt>
                <c:pt idx="1">
                  <c:v>38</c:v>
                </c:pt>
                <c:pt idx="2">
                  <c:v>38</c:v>
                </c:pt>
                <c:pt idx="3">
                  <c:v>38</c:v>
                </c:pt>
                <c:pt idx="4">
                  <c:v>38</c:v>
                </c:pt>
                <c:pt idx="5">
                  <c:v>37</c:v>
                </c:pt>
                <c:pt idx="6">
                  <c:v>36</c:v>
                </c:pt>
                <c:pt idx="7">
                  <c:v>35</c:v>
                </c:pt>
                <c:pt idx="8">
                  <c:v>35</c:v>
                </c:pt>
                <c:pt idx="9">
                  <c:v>34</c:v>
                </c:pt>
                <c:pt idx="10">
                  <c:v>34</c:v>
                </c:pt>
                <c:pt idx="11">
                  <c:v>31</c:v>
                </c:pt>
                <c:pt idx="12">
                  <c:v>26</c:v>
                </c:pt>
                <c:pt idx="13">
                  <c:v>24</c:v>
                </c:pt>
                <c:pt idx="14">
                  <c:v>21</c:v>
                </c:pt>
                <c:pt idx="15">
                  <c:v>18</c:v>
                </c:pt>
                <c:pt idx="16">
                  <c:v>15</c:v>
                </c:pt>
                <c:pt idx="17">
                  <c:v>12</c:v>
                </c:pt>
                <c:pt idx="18">
                  <c:v>9</c:v>
                </c:pt>
                <c:pt idx="19">
                  <c:v>6</c:v>
                </c:pt>
                <c:pt idx="20">
                  <c:v>3</c:v>
                </c:pt>
              </c:numCache>
            </c:numRef>
          </c:val>
        </c:ser>
        <c:ser>
          <c:idx val="19"/>
          <c:order val="19"/>
          <c:tx>
            <c:strRef>
              <c:f>'Timing - 21 Cell'!$AA$73</c:f>
              <c:strCache>
                <c:ptCount val="1"/>
                <c:pt idx="0">
                  <c:v>11000</c:v>
                </c:pt>
              </c:strCache>
            </c:strRef>
          </c:tx>
          <c:spPr>
            <a:solidFill>
              <a:srgbClr val="FFFF99"/>
            </a:solidFill>
            <a:ln w="12700">
              <a:solidFill>
                <a:srgbClr val="000000"/>
              </a:solidFill>
              <a:prstDash val="solid"/>
            </a:ln>
            <a:sp3d prstMaterial="flat"/>
          </c:spPr>
          <c:cat>
            <c:numRef>
              <c:f>'Timing - 21 Cell'!$AB$29:$AV$29</c:f>
              <c:numCache>
                <c:formatCode>General</c:formatCode>
                <c:ptCount val="21"/>
                <c:pt idx="0">
                  <c:v>0</c:v>
                </c:pt>
                <c:pt idx="1">
                  <c:v>10</c:v>
                </c:pt>
                <c:pt idx="2">
                  <c:v>20</c:v>
                </c:pt>
                <c:pt idx="3">
                  <c:v>30</c:v>
                </c:pt>
                <c:pt idx="4">
                  <c:v>40</c:v>
                </c:pt>
                <c:pt idx="5">
                  <c:v>50</c:v>
                </c:pt>
                <c:pt idx="6">
                  <c:v>60</c:v>
                </c:pt>
                <c:pt idx="7">
                  <c:v>70</c:v>
                </c:pt>
                <c:pt idx="8">
                  <c:v>80</c:v>
                </c:pt>
                <c:pt idx="9">
                  <c:v>90</c:v>
                </c:pt>
                <c:pt idx="10">
                  <c:v>100</c:v>
                </c:pt>
                <c:pt idx="11">
                  <c:v>120</c:v>
                </c:pt>
                <c:pt idx="12">
                  <c:v>140</c:v>
                </c:pt>
                <c:pt idx="13">
                  <c:v>160</c:v>
                </c:pt>
                <c:pt idx="14">
                  <c:v>180</c:v>
                </c:pt>
                <c:pt idx="15">
                  <c:v>200</c:v>
                </c:pt>
                <c:pt idx="16">
                  <c:v>220</c:v>
                </c:pt>
                <c:pt idx="17">
                  <c:v>240</c:v>
                </c:pt>
                <c:pt idx="18">
                  <c:v>260</c:v>
                </c:pt>
                <c:pt idx="19">
                  <c:v>280</c:v>
                </c:pt>
                <c:pt idx="20">
                  <c:v>300</c:v>
                </c:pt>
              </c:numCache>
            </c:numRef>
          </c:cat>
          <c:val>
            <c:numRef>
              <c:f>'Timing - 21 Cell'!$AB$73:$AV$73</c:f>
              <c:numCache>
                <c:formatCode>0</c:formatCode>
                <c:ptCount val="21"/>
                <c:pt idx="0">
                  <c:v>38</c:v>
                </c:pt>
                <c:pt idx="1">
                  <c:v>38</c:v>
                </c:pt>
                <c:pt idx="2">
                  <c:v>38</c:v>
                </c:pt>
                <c:pt idx="3">
                  <c:v>38</c:v>
                </c:pt>
                <c:pt idx="4">
                  <c:v>38</c:v>
                </c:pt>
                <c:pt idx="5">
                  <c:v>37</c:v>
                </c:pt>
                <c:pt idx="6">
                  <c:v>36</c:v>
                </c:pt>
                <c:pt idx="7">
                  <c:v>35</c:v>
                </c:pt>
                <c:pt idx="8">
                  <c:v>35</c:v>
                </c:pt>
                <c:pt idx="9">
                  <c:v>34</c:v>
                </c:pt>
                <c:pt idx="10">
                  <c:v>34</c:v>
                </c:pt>
                <c:pt idx="11">
                  <c:v>31</c:v>
                </c:pt>
                <c:pt idx="12">
                  <c:v>26</c:v>
                </c:pt>
                <c:pt idx="13">
                  <c:v>24</c:v>
                </c:pt>
                <c:pt idx="14">
                  <c:v>21</c:v>
                </c:pt>
                <c:pt idx="15">
                  <c:v>18</c:v>
                </c:pt>
                <c:pt idx="16">
                  <c:v>15</c:v>
                </c:pt>
                <c:pt idx="17">
                  <c:v>12</c:v>
                </c:pt>
                <c:pt idx="18">
                  <c:v>9</c:v>
                </c:pt>
                <c:pt idx="19">
                  <c:v>6</c:v>
                </c:pt>
                <c:pt idx="20">
                  <c:v>3</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
            <c:idx val="40"/>
            <c:spPr>
              <a:solidFill>
                <a:srgbClr val="000000"/>
              </a:solidFill>
              <a:ln w="12700">
                <a:solidFill>
                  <a:srgbClr val="000000"/>
                </a:solidFill>
                <a:prstDash val="solid"/>
              </a:ln>
              <a:sp3d prstMaterial="flat"/>
            </c:spPr>
          </c:bandFmt>
          <c:bandFmt>
            <c:idx val="41"/>
            <c:spPr>
              <a:solidFill>
                <a:srgbClr val="FFFFFF"/>
              </a:solidFill>
              <a:ln w="12700">
                <a:solidFill>
                  <a:srgbClr val="000000"/>
                </a:solidFill>
                <a:prstDash val="solid"/>
              </a:ln>
              <a:sp3d prstMaterial="flat"/>
            </c:spPr>
          </c:bandFmt>
          <c:bandFmt>
            <c:idx val="42"/>
            <c:spPr>
              <a:solidFill>
                <a:srgbClr val="FF0000"/>
              </a:solidFill>
              <a:ln w="12700">
                <a:solidFill>
                  <a:srgbClr val="000000"/>
                </a:solidFill>
                <a:prstDash val="solid"/>
              </a:ln>
              <a:sp3d prstMaterial="flat"/>
            </c:spPr>
          </c:bandFmt>
          <c:bandFmt>
            <c:idx val="43"/>
            <c:spPr>
              <a:solidFill>
                <a:srgbClr val="00FF00"/>
              </a:solidFill>
              <a:ln w="12700">
                <a:solidFill>
                  <a:srgbClr val="000000"/>
                </a:solidFill>
                <a:prstDash val="solid"/>
              </a:ln>
              <a:sp3d prstMaterial="flat"/>
            </c:spPr>
          </c:bandFmt>
          <c:bandFmt>
            <c:idx val="44"/>
            <c:spPr>
              <a:solidFill>
                <a:srgbClr val="0000FF"/>
              </a:solidFill>
              <a:ln w="12700">
                <a:solidFill>
                  <a:srgbClr val="000000"/>
                </a:solidFill>
                <a:prstDash val="solid"/>
              </a:ln>
              <a:sp3d prstMaterial="flat"/>
            </c:spPr>
          </c:bandFmt>
          <c:bandFmt>
            <c:idx val="45"/>
            <c:spPr>
              <a:solidFill>
                <a:srgbClr val="FFFF00"/>
              </a:solidFill>
              <a:ln w="12700">
                <a:solidFill>
                  <a:srgbClr val="000000"/>
                </a:solidFill>
                <a:prstDash val="solid"/>
              </a:ln>
              <a:sp3d prstMaterial="flat"/>
            </c:spPr>
          </c:bandFmt>
          <c:bandFmt>
            <c:idx val="46"/>
            <c:spPr>
              <a:solidFill>
                <a:srgbClr val="FF00FF"/>
              </a:solidFill>
              <a:ln w="12700">
                <a:solidFill>
                  <a:srgbClr val="000000"/>
                </a:solidFill>
                <a:prstDash val="solid"/>
              </a:ln>
              <a:sp3d prstMaterial="flat"/>
            </c:spPr>
          </c:bandFmt>
          <c:bandFmt>
            <c:idx val="47"/>
            <c:spPr>
              <a:solidFill>
                <a:srgbClr val="00FFFF"/>
              </a:solidFill>
              <a:ln w="12700">
                <a:solidFill>
                  <a:srgbClr val="000000"/>
                </a:solidFill>
                <a:prstDash val="solid"/>
              </a:ln>
              <a:sp3d prstMaterial="flat"/>
            </c:spPr>
          </c:bandFmt>
        </c:bandFmts>
        <c:axId val="83304448"/>
        <c:axId val="83305984"/>
        <c:axId val="83291200"/>
      </c:surfaceChart>
      <c:catAx>
        <c:axId val="83304448"/>
        <c:scaling>
          <c:orientation val="minMax"/>
        </c:scaling>
        <c:axPos val="b"/>
        <c:numFmt formatCode="General" sourceLinked="1"/>
        <c:tickLblPos val="low"/>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83305984"/>
        <c:crosses val="autoZero"/>
        <c:auto val="1"/>
        <c:lblAlgn val="ctr"/>
        <c:lblOffset val="100"/>
        <c:tickLblSkip val="2"/>
        <c:tickMarkSkip val="1"/>
        <c:noMultiLvlLbl val="1"/>
      </c:catAx>
      <c:valAx>
        <c:axId val="83305984"/>
        <c:scaling>
          <c:orientation val="minMax"/>
          <c:min val="-10"/>
        </c:scaling>
        <c:axPos val="l"/>
        <c:majorGridlines>
          <c:spPr>
            <a:ln w="3175">
              <a:solidFill>
                <a:srgbClr val="C0C0C0"/>
              </a:solidFill>
              <a:prstDash val="solid"/>
            </a:ln>
          </c:spPr>
        </c:majorGridlines>
        <c:numFmt formatCode="0" sourceLinked="1"/>
        <c:majorTickMark val="none"/>
        <c:tickLblPos val="none"/>
        <c:spPr>
          <a:ln w="3175">
            <a:solidFill>
              <a:srgbClr val="000000"/>
            </a:solidFill>
            <a:prstDash val="solid"/>
          </a:ln>
        </c:spPr>
        <c:crossAx val="83304448"/>
        <c:crosses val="autoZero"/>
        <c:crossBetween val="midCat"/>
        <c:majorUnit val="1"/>
        <c:minorUnit val="0.5"/>
      </c:valAx>
      <c:serAx>
        <c:axId val="83291200"/>
        <c:scaling>
          <c:orientation val="maxMin"/>
        </c:scaling>
        <c:axPos val="b"/>
        <c:numFmt formatCode="General" sourceLinked="1"/>
        <c:tickLblPos val="low"/>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3305984"/>
        <c:crosses val="autoZero"/>
        <c:tickLblSkip val="2"/>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3.2586862233099596E-2"/>
          <c:y val="3.6585527947402358E-2"/>
          <c:w val="0.84986536703923754"/>
          <c:h val="0.82752979881029132"/>
        </c:manualLayout>
      </c:layout>
      <c:surface3DChart>
        <c:ser>
          <c:idx val="0"/>
          <c:order val="0"/>
          <c:tx>
            <c:strRef>
              <c:f>'Fuel - 20 Cell'!$W$52</c:f>
              <c:strCache>
                <c:ptCount val="1"/>
                <c:pt idx="0">
                  <c:v>10</c:v>
                </c:pt>
              </c:strCache>
            </c:strRef>
          </c:tx>
          <c:spPr>
            <a:solidFill>
              <a:srgbClr val="9999FF"/>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Cell'!$W$53:$W$67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14.2545</c:v>
                </c:pt>
                <c:pt idx="12">
                  <c:v>14.0418</c:v>
                </c:pt>
                <c:pt idx="13">
                  <c:v>13.8353</c:v>
                </c:pt>
                <c:pt idx="14">
                  <c:v>13.8353</c:v>
                </c:pt>
              </c:numCache>
            </c:numRef>
          </c:val>
        </c:ser>
        <c:ser>
          <c:idx val="1"/>
          <c:order val="1"/>
          <c:tx>
            <c:strRef>
              <c:f>'Fuel - 20 Cell'!$X$52</c:f>
              <c:strCache>
                <c:ptCount val="1"/>
                <c:pt idx="0">
                  <c:v>20</c:v>
                </c:pt>
              </c:strCache>
            </c:strRef>
          </c:tx>
          <c:spPr>
            <a:solidFill>
              <a:srgbClr val="993366"/>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Cell'!$X$53:$X$67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14.2545</c:v>
                </c:pt>
                <c:pt idx="12">
                  <c:v>14.0418</c:v>
                </c:pt>
                <c:pt idx="13">
                  <c:v>13.8353</c:v>
                </c:pt>
                <c:pt idx="14">
                  <c:v>13.8353</c:v>
                </c:pt>
              </c:numCache>
            </c:numRef>
          </c:val>
        </c:ser>
        <c:ser>
          <c:idx val="2"/>
          <c:order val="2"/>
          <c:tx>
            <c:strRef>
              <c:f>'Fuel - 20 Cell'!$Y$52</c:f>
              <c:strCache>
                <c:ptCount val="1"/>
                <c:pt idx="0">
                  <c:v>30</c:v>
                </c:pt>
              </c:strCache>
            </c:strRef>
          </c:tx>
          <c:spPr>
            <a:solidFill>
              <a:srgbClr val="FFFFCC"/>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Cell'!$Y$53:$Y$67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14.2545</c:v>
                </c:pt>
                <c:pt idx="12">
                  <c:v>14.0418</c:v>
                </c:pt>
                <c:pt idx="13">
                  <c:v>13.8353</c:v>
                </c:pt>
                <c:pt idx="14">
                  <c:v>13.8353</c:v>
                </c:pt>
              </c:numCache>
            </c:numRef>
          </c:val>
        </c:ser>
        <c:ser>
          <c:idx val="3"/>
          <c:order val="3"/>
          <c:tx>
            <c:strRef>
              <c:f>'Fuel - 20 Cell'!$Z$52</c:f>
              <c:strCache>
                <c:ptCount val="1"/>
                <c:pt idx="0">
                  <c:v>40</c:v>
                </c:pt>
              </c:strCache>
            </c:strRef>
          </c:tx>
          <c:spPr>
            <a:solidFill>
              <a:srgbClr val="CCFFFF"/>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Cell'!$Z$53:$Z$67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14.2545</c:v>
                </c:pt>
                <c:pt idx="12">
                  <c:v>13.3447</c:v>
                </c:pt>
                <c:pt idx="13">
                  <c:v>13.066700000000001</c:v>
                </c:pt>
                <c:pt idx="14">
                  <c:v>13.066700000000001</c:v>
                </c:pt>
              </c:numCache>
            </c:numRef>
          </c:val>
        </c:ser>
        <c:ser>
          <c:idx val="4"/>
          <c:order val="4"/>
          <c:tx>
            <c:strRef>
              <c:f>'Fuel - 20 Cell'!$AA$52</c:f>
              <c:strCache>
                <c:ptCount val="1"/>
                <c:pt idx="0">
                  <c:v>50</c:v>
                </c:pt>
              </c:strCache>
            </c:strRef>
          </c:tx>
          <c:spPr>
            <a:solidFill>
              <a:srgbClr val="660066"/>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Cell'!$AA$53:$AA$67</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14.3634</c:v>
                </c:pt>
                <c:pt idx="11">
                  <c:v>13.734299999999999</c:v>
                </c:pt>
                <c:pt idx="12">
                  <c:v>12.887700000000001</c:v>
                </c:pt>
                <c:pt idx="13">
                  <c:v>12.544</c:v>
                </c:pt>
                <c:pt idx="14">
                  <c:v>12.544</c:v>
                </c:pt>
              </c:numCache>
            </c:numRef>
          </c:val>
        </c:ser>
        <c:ser>
          <c:idx val="5"/>
          <c:order val="5"/>
          <c:tx>
            <c:strRef>
              <c:f>'Fuel - 20 Cell'!$AB$52</c:f>
              <c:strCache>
                <c:ptCount val="1"/>
                <c:pt idx="0">
                  <c:v>60</c:v>
                </c:pt>
              </c:strCache>
            </c:strRef>
          </c:tx>
          <c:spPr>
            <a:solidFill>
              <a:srgbClr val="FF8080"/>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Cell'!$AB$53:$AB$67</c:f>
              <c:numCache>
                <c:formatCode>0.00</c:formatCode>
                <c:ptCount val="15"/>
                <c:pt idx="0">
                  <c:v>13.3447</c:v>
                </c:pt>
                <c:pt idx="1">
                  <c:v>14.7</c:v>
                </c:pt>
                <c:pt idx="2">
                  <c:v>14.7</c:v>
                </c:pt>
                <c:pt idx="3">
                  <c:v>14.7</c:v>
                </c:pt>
                <c:pt idx="4">
                  <c:v>14.7</c:v>
                </c:pt>
                <c:pt idx="5">
                  <c:v>14.7</c:v>
                </c:pt>
                <c:pt idx="6">
                  <c:v>14.7</c:v>
                </c:pt>
                <c:pt idx="7">
                  <c:v>14.7</c:v>
                </c:pt>
                <c:pt idx="8">
                  <c:v>14.7</c:v>
                </c:pt>
                <c:pt idx="9">
                  <c:v>14.473800000000001</c:v>
                </c:pt>
                <c:pt idx="10">
                  <c:v>13.8353</c:v>
                </c:pt>
                <c:pt idx="11">
                  <c:v>13.066700000000001</c:v>
                </c:pt>
                <c:pt idx="12">
                  <c:v>12.2182</c:v>
                </c:pt>
                <c:pt idx="13">
                  <c:v>11.614800000000001</c:v>
                </c:pt>
                <c:pt idx="14">
                  <c:v>11.614800000000001</c:v>
                </c:pt>
              </c:numCache>
            </c:numRef>
          </c:val>
        </c:ser>
        <c:ser>
          <c:idx val="6"/>
          <c:order val="6"/>
          <c:tx>
            <c:strRef>
              <c:f>'Fuel - 20 Cell'!$AC$52</c:f>
              <c:strCache>
                <c:ptCount val="1"/>
                <c:pt idx="0">
                  <c:v>70</c:v>
                </c:pt>
              </c:strCache>
            </c:strRef>
          </c:tx>
          <c:spPr>
            <a:solidFill>
              <a:srgbClr val="0066CC"/>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Cell'!$AC$53:$AC$67</c:f>
              <c:numCache>
                <c:formatCode>0.00</c:formatCode>
                <c:ptCount val="15"/>
                <c:pt idx="0">
                  <c:v>13.3447</c:v>
                </c:pt>
                <c:pt idx="1">
                  <c:v>14.7</c:v>
                </c:pt>
                <c:pt idx="2">
                  <c:v>14.7</c:v>
                </c:pt>
                <c:pt idx="3">
                  <c:v>14.7</c:v>
                </c:pt>
                <c:pt idx="4">
                  <c:v>14.7</c:v>
                </c:pt>
                <c:pt idx="5">
                  <c:v>14.7</c:v>
                </c:pt>
                <c:pt idx="6">
                  <c:v>14.7</c:v>
                </c:pt>
                <c:pt idx="7">
                  <c:v>14.7</c:v>
                </c:pt>
                <c:pt idx="8">
                  <c:v>14.0418</c:v>
                </c:pt>
                <c:pt idx="9">
                  <c:v>14.0418</c:v>
                </c:pt>
                <c:pt idx="10">
                  <c:v>13.3447</c:v>
                </c:pt>
                <c:pt idx="11">
                  <c:v>12.2182</c:v>
                </c:pt>
                <c:pt idx="12">
                  <c:v>11.403600000000001</c:v>
                </c:pt>
                <c:pt idx="13">
                  <c:v>10.876300000000001</c:v>
                </c:pt>
                <c:pt idx="14">
                  <c:v>10.876300000000001</c:v>
                </c:pt>
              </c:numCache>
            </c:numRef>
          </c:val>
        </c:ser>
        <c:ser>
          <c:idx val="7"/>
          <c:order val="7"/>
          <c:tx>
            <c:strRef>
              <c:f>'Fuel - 20 Cell'!$AD$52</c:f>
              <c:strCache>
                <c:ptCount val="1"/>
                <c:pt idx="0">
                  <c:v>80</c:v>
                </c:pt>
              </c:strCache>
            </c:strRef>
          </c:tx>
          <c:spPr>
            <a:solidFill>
              <a:srgbClr val="CCCCFF"/>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Cell'!$AD$53:$AD$67</c:f>
              <c:numCache>
                <c:formatCode>0.00</c:formatCode>
                <c:ptCount val="15"/>
                <c:pt idx="0">
                  <c:v>13.3447</c:v>
                </c:pt>
                <c:pt idx="1">
                  <c:v>14.7</c:v>
                </c:pt>
                <c:pt idx="2">
                  <c:v>14.7</c:v>
                </c:pt>
                <c:pt idx="3">
                  <c:v>14.7</c:v>
                </c:pt>
                <c:pt idx="4">
                  <c:v>14.7</c:v>
                </c:pt>
                <c:pt idx="5">
                  <c:v>14.7</c:v>
                </c:pt>
                <c:pt idx="6">
                  <c:v>14.7</c:v>
                </c:pt>
                <c:pt idx="7">
                  <c:v>14.7</c:v>
                </c:pt>
                <c:pt idx="8">
                  <c:v>13.5367</c:v>
                </c:pt>
                <c:pt idx="9">
                  <c:v>13.157999999999999</c:v>
                </c:pt>
                <c:pt idx="10">
                  <c:v>12.3789</c:v>
                </c:pt>
                <c:pt idx="11">
                  <c:v>11.2</c:v>
                </c:pt>
                <c:pt idx="12">
                  <c:v>10.752000000000001</c:v>
                </c:pt>
                <c:pt idx="13">
                  <c:v>10.5708</c:v>
                </c:pt>
                <c:pt idx="14">
                  <c:v>10.5708</c:v>
                </c:pt>
              </c:numCache>
            </c:numRef>
          </c:val>
        </c:ser>
        <c:ser>
          <c:idx val="8"/>
          <c:order val="8"/>
          <c:tx>
            <c:strRef>
              <c:f>'Fuel - 20 Cell'!$AE$52</c:f>
              <c:strCache>
                <c:ptCount val="1"/>
                <c:pt idx="0">
                  <c:v>90</c:v>
                </c:pt>
              </c:strCache>
            </c:strRef>
          </c:tx>
          <c:spPr>
            <a:solidFill>
              <a:srgbClr val="000080"/>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Cell'!$AE$53:$AE$67</c:f>
              <c:numCache>
                <c:formatCode>0.00</c:formatCode>
                <c:ptCount val="15"/>
                <c:pt idx="0">
                  <c:v>11.9847</c:v>
                </c:pt>
                <c:pt idx="1">
                  <c:v>13.066700000000001</c:v>
                </c:pt>
                <c:pt idx="2">
                  <c:v>14.147399999999999</c:v>
                </c:pt>
                <c:pt idx="3">
                  <c:v>14.147399999999999</c:v>
                </c:pt>
                <c:pt idx="4">
                  <c:v>14.2545</c:v>
                </c:pt>
                <c:pt idx="5">
                  <c:v>14.2545</c:v>
                </c:pt>
                <c:pt idx="6">
                  <c:v>14.2545</c:v>
                </c:pt>
                <c:pt idx="7">
                  <c:v>13.937799999999999</c:v>
                </c:pt>
                <c:pt idx="8">
                  <c:v>13.157999999999999</c:v>
                </c:pt>
                <c:pt idx="9">
                  <c:v>12.298</c:v>
                </c:pt>
                <c:pt idx="10">
                  <c:v>11.614800000000001</c:v>
                </c:pt>
                <c:pt idx="11">
                  <c:v>11.003500000000001</c:v>
                </c:pt>
                <c:pt idx="12">
                  <c:v>10.690899999999999</c:v>
                </c:pt>
                <c:pt idx="13">
                  <c:v>10.4533</c:v>
                </c:pt>
                <c:pt idx="14">
                  <c:v>10.4533</c:v>
                </c:pt>
              </c:numCache>
            </c:numRef>
          </c:val>
        </c:ser>
        <c:ser>
          <c:idx val="9"/>
          <c:order val="9"/>
          <c:tx>
            <c:strRef>
              <c:f>'Fuel - 20 Cell'!$AF$52</c:f>
              <c:strCache>
                <c:ptCount val="1"/>
                <c:pt idx="0">
                  <c:v>100</c:v>
                </c:pt>
              </c:strCache>
            </c:strRef>
          </c:tx>
          <c:spPr>
            <a:solidFill>
              <a:srgbClr val="FF00FF"/>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Cell'!$AF$53:$AF$67</c:f>
              <c:numCache>
                <c:formatCode>0.00</c:formatCode>
                <c:ptCount val="15"/>
                <c:pt idx="0">
                  <c:v>11.9847</c:v>
                </c:pt>
                <c:pt idx="1">
                  <c:v>13.066700000000001</c:v>
                </c:pt>
                <c:pt idx="2">
                  <c:v>13.6348</c:v>
                </c:pt>
                <c:pt idx="3">
                  <c:v>13.6348</c:v>
                </c:pt>
                <c:pt idx="4">
                  <c:v>13.937799999999999</c:v>
                </c:pt>
                <c:pt idx="5">
                  <c:v>14.0418</c:v>
                </c:pt>
                <c:pt idx="6">
                  <c:v>14.0418</c:v>
                </c:pt>
                <c:pt idx="7">
                  <c:v>13.3447</c:v>
                </c:pt>
                <c:pt idx="8">
                  <c:v>12.298</c:v>
                </c:pt>
                <c:pt idx="9">
                  <c:v>11.614800000000001</c:v>
                </c:pt>
                <c:pt idx="10">
                  <c:v>11.267099999999999</c:v>
                </c:pt>
                <c:pt idx="11">
                  <c:v>10.690899999999999</c:v>
                </c:pt>
                <c:pt idx="12">
                  <c:v>10.5708</c:v>
                </c:pt>
                <c:pt idx="13">
                  <c:v>10.3956</c:v>
                </c:pt>
                <c:pt idx="14">
                  <c:v>10.3956</c:v>
                </c:pt>
              </c:numCache>
            </c:numRef>
          </c:val>
        </c:ser>
        <c:ser>
          <c:idx val="10"/>
          <c:order val="10"/>
          <c:tx>
            <c:strRef>
              <c:f>'Fuel - 20 Cell'!$AG$52</c:f>
              <c:strCache>
                <c:ptCount val="1"/>
                <c:pt idx="0">
                  <c:v>120</c:v>
                </c:pt>
              </c:strCache>
            </c:strRef>
          </c:tx>
          <c:spPr>
            <a:solidFill>
              <a:srgbClr val="FFFF00"/>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Cell'!$AG$53:$AG$67</c:f>
              <c:numCache>
                <c:formatCode>0.00</c:formatCode>
                <c:ptCount val="15"/>
                <c:pt idx="0">
                  <c:v>11.686999999999999</c:v>
                </c:pt>
                <c:pt idx="1">
                  <c:v>12.7135</c:v>
                </c:pt>
                <c:pt idx="2">
                  <c:v>12.7135</c:v>
                </c:pt>
                <c:pt idx="3">
                  <c:v>13.066700000000001</c:v>
                </c:pt>
                <c:pt idx="4">
                  <c:v>13.6348</c:v>
                </c:pt>
                <c:pt idx="5">
                  <c:v>13.8353</c:v>
                </c:pt>
                <c:pt idx="6">
                  <c:v>13.066700000000001</c:v>
                </c:pt>
                <c:pt idx="7">
                  <c:v>11.908899999999999</c:v>
                </c:pt>
                <c:pt idx="8">
                  <c:v>11.403600000000001</c:v>
                </c:pt>
                <c:pt idx="9">
                  <c:v>11.133699999999999</c:v>
                </c:pt>
                <c:pt idx="10">
                  <c:v>10.876300000000001</c:v>
                </c:pt>
                <c:pt idx="11">
                  <c:v>10.511699999999999</c:v>
                </c:pt>
                <c:pt idx="12">
                  <c:v>10.226100000000001</c:v>
                </c:pt>
                <c:pt idx="13">
                  <c:v>10.061999999999999</c:v>
                </c:pt>
                <c:pt idx="14">
                  <c:v>10.061999999999999</c:v>
                </c:pt>
              </c:numCache>
            </c:numRef>
          </c:val>
        </c:ser>
        <c:ser>
          <c:idx val="11"/>
          <c:order val="11"/>
          <c:tx>
            <c:strRef>
              <c:f>'Fuel - 20 Cell'!$AH$52</c:f>
              <c:strCache>
                <c:ptCount val="1"/>
                <c:pt idx="0">
                  <c:v>140</c:v>
                </c:pt>
              </c:strCache>
            </c:strRef>
          </c:tx>
          <c:spPr>
            <a:solidFill>
              <a:srgbClr val="00FFFF"/>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Cell'!$AH$53:$AH$67</c:f>
              <c:numCache>
                <c:formatCode>0.00</c:formatCode>
                <c:ptCount val="15"/>
                <c:pt idx="0">
                  <c:v>11.403600000000001</c:v>
                </c:pt>
                <c:pt idx="1">
                  <c:v>12.3789</c:v>
                </c:pt>
                <c:pt idx="2">
                  <c:v>12.544</c:v>
                </c:pt>
                <c:pt idx="3">
                  <c:v>12.6282</c:v>
                </c:pt>
                <c:pt idx="4">
                  <c:v>13.066700000000001</c:v>
                </c:pt>
                <c:pt idx="5">
                  <c:v>12.887700000000001</c:v>
                </c:pt>
                <c:pt idx="6">
                  <c:v>11.614800000000001</c:v>
                </c:pt>
                <c:pt idx="7">
                  <c:v>10.939500000000001</c:v>
                </c:pt>
                <c:pt idx="8">
                  <c:v>10.690899999999999</c:v>
                </c:pt>
                <c:pt idx="9">
                  <c:v>10.752000000000001</c:v>
                </c:pt>
                <c:pt idx="10">
                  <c:v>10.116099999999999</c:v>
                </c:pt>
                <c:pt idx="11">
                  <c:v>10.0085</c:v>
                </c:pt>
                <c:pt idx="12">
                  <c:v>9.8000000000000007</c:v>
                </c:pt>
                <c:pt idx="13">
                  <c:v>9.6989699999999992</c:v>
                </c:pt>
                <c:pt idx="14">
                  <c:v>9.6989699999999992</c:v>
                </c:pt>
              </c:numCache>
            </c:numRef>
          </c:val>
        </c:ser>
        <c:ser>
          <c:idx val="12"/>
          <c:order val="12"/>
          <c:tx>
            <c:strRef>
              <c:f>'Fuel - 20 Cell'!$AI$52</c:f>
              <c:strCache>
                <c:ptCount val="1"/>
                <c:pt idx="0">
                  <c:v>160</c:v>
                </c:pt>
              </c:strCache>
            </c:strRef>
          </c:tx>
          <c:spPr>
            <a:solidFill>
              <a:srgbClr val="800080"/>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Cell'!$AI$53:$AI$67</c:f>
              <c:numCache>
                <c:formatCode>0.00</c:formatCode>
                <c:ptCount val="15"/>
                <c:pt idx="0">
                  <c:v>11.133699999999999</c:v>
                </c:pt>
                <c:pt idx="1">
                  <c:v>12.061500000000001</c:v>
                </c:pt>
                <c:pt idx="2">
                  <c:v>12.3789</c:v>
                </c:pt>
                <c:pt idx="3">
                  <c:v>12.298</c:v>
                </c:pt>
                <c:pt idx="4">
                  <c:v>12.8</c:v>
                </c:pt>
                <c:pt idx="5">
                  <c:v>11.068199999999999</c:v>
                </c:pt>
                <c:pt idx="6">
                  <c:v>10.752000000000001</c:v>
                </c:pt>
                <c:pt idx="7">
                  <c:v>10.3956</c:v>
                </c:pt>
                <c:pt idx="8">
                  <c:v>10.282</c:v>
                </c:pt>
                <c:pt idx="9">
                  <c:v>10.116099999999999</c:v>
                </c:pt>
                <c:pt idx="10">
                  <c:v>9.7492199999999993</c:v>
                </c:pt>
                <c:pt idx="11">
                  <c:v>9.6989699999999992</c:v>
                </c:pt>
                <c:pt idx="12">
                  <c:v>9.4552800000000001</c:v>
                </c:pt>
                <c:pt idx="13">
                  <c:v>9.3611900000000006</c:v>
                </c:pt>
                <c:pt idx="14">
                  <c:v>9.3611900000000006</c:v>
                </c:pt>
              </c:numCache>
            </c:numRef>
          </c:val>
        </c:ser>
        <c:ser>
          <c:idx val="13"/>
          <c:order val="13"/>
          <c:tx>
            <c:strRef>
              <c:f>'Fuel - 20 Cell'!$AJ$52</c:f>
              <c:strCache>
                <c:ptCount val="1"/>
                <c:pt idx="0">
                  <c:v>180</c:v>
                </c:pt>
              </c:strCache>
            </c:strRef>
          </c:tx>
          <c:spPr>
            <a:solidFill>
              <a:srgbClr val="800000"/>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Cell'!$AJ$53:$AJ$67</c:f>
              <c:numCache>
                <c:formatCode>0.00</c:formatCode>
                <c:ptCount val="15"/>
                <c:pt idx="0">
                  <c:v>10.876300000000001</c:v>
                </c:pt>
                <c:pt idx="1">
                  <c:v>11.76</c:v>
                </c:pt>
                <c:pt idx="2">
                  <c:v>12.061500000000001</c:v>
                </c:pt>
                <c:pt idx="3">
                  <c:v>12.1394</c:v>
                </c:pt>
                <c:pt idx="4">
                  <c:v>12.544</c:v>
                </c:pt>
                <c:pt idx="5">
                  <c:v>10.5708</c:v>
                </c:pt>
                <c:pt idx="6">
                  <c:v>10.0085</c:v>
                </c:pt>
                <c:pt idx="7">
                  <c:v>9.8513099999999998</c:v>
                </c:pt>
                <c:pt idx="8">
                  <c:v>9.9555600000000002</c:v>
                </c:pt>
                <c:pt idx="9">
                  <c:v>9.6492299999999993</c:v>
                </c:pt>
                <c:pt idx="10">
                  <c:v>9.4079999999999995</c:v>
                </c:pt>
                <c:pt idx="11">
                  <c:v>9.3148499999999999</c:v>
                </c:pt>
                <c:pt idx="12">
                  <c:v>9.1339799999999993</c:v>
                </c:pt>
                <c:pt idx="13">
                  <c:v>8.87547</c:v>
                </c:pt>
                <c:pt idx="14">
                  <c:v>8.87547</c:v>
                </c:pt>
              </c:numCache>
            </c:numRef>
          </c:val>
        </c:ser>
        <c:ser>
          <c:idx val="14"/>
          <c:order val="14"/>
          <c:tx>
            <c:strRef>
              <c:f>'Fuel - 20 Cell'!$AK$52</c:f>
              <c:strCache>
                <c:ptCount val="1"/>
                <c:pt idx="0">
                  <c:v>200</c:v>
                </c:pt>
              </c:strCache>
            </c:strRef>
          </c:tx>
          <c:spPr>
            <a:solidFill>
              <a:srgbClr val="008080"/>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Cell'!$AK$53:$AK$67</c:f>
              <c:numCache>
                <c:formatCode>0.00</c:formatCode>
                <c:ptCount val="15"/>
                <c:pt idx="0">
                  <c:v>10.6305</c:v>
                </c:pt>
                <c:pt idx="1">
                  <c:v>11.4732</c:v>
                </c:pt>
                <c:pt idx="2">
                  <c:v>11.76</c:v>
                </c:pt>
                <c:pt idx="3">
                  <c:v>11.834</c:v>
                </c:pt>
                <c:pt idx="4">
                  <c:v>12.2182</c:v>
                </c:pt>
                <c:pt idx="5">
                  <c:v>10.282</c:v>
                </c:pt>
                <c:pt idx="6">
                  <c:v>9.9555600000000002</c:v>
                </c:pt>
                <c:pt idx="7">
                  <c:v>9.7492199999999993</c:v>
                </c:pt>
                <c:pt idx="8">
                  <c:v>9.8513099999999998</c:v>
                </c:pt>
                <c:pt idx="9">
                  <c:v>9.5512700000000006</c:v>
                </c:pt>
                <c:pt idx="10">
                  <c:v>9.3148499999999999</c:v>
                </c:pt>
                <c:pt idx="11">
                  <c:v>9.0898599999999998</c:v>
                </c:pt>
                <c:pt idx="12">
                  <c:v>9.0461500000000008</c:v>
                </c:pt>
                <c:pt idx="13">
                  <c:v>8.6709700000000005</c:v>
                </c:pt>
                <c:pt idx="14">
                  <c:v>8.6709700000000005</c:v>
                </c:pt>
              </c:numCache>
            </c:numRef>
          </c:val>
        </c:ser>
        <c:ser>
          <c:idx val="15"/>
          <c:order val="15"/>
          <c:tx>
            <c:strRef>
              <c:f>'Fuel - 20 Cell'!$AL$52</c:f>
              <c:strCache>
                <c:ptCount val="1"/>
                <c:pt idx="0">
                  <c:v>220</c:v>
                </c:pt>
              </c:strCache>
            </c:strRef>
          </c:tx>
          <c:spPr>
            <a:solidFill>
              <a:srgbClr val="0000FF"/>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Cell'!$AL$53:$AL$67</c:f>
              <c:numCache>
                <c:formatCode>0.00</c:formatCode>
                <c:ptCount val="15"/>
                <c:pt idx="0">
                  <c:v>10.3956</c:v>
                </c:pt>
                <c:pt idx="1">
                  <c:v>11.2</c:v>
                </c:pt>
                <c:pt idx="2">
                  <c:v>11.4732</c:v>
                </c:pt>
                <c:pt idx="3">
                  <c:v>11.5436</c:v>
                </c:pt>
                <c:pt idx="4">
                  <c:v>11.908899999999999</c:v>
                </c:pt>
                <c:pt idx="5">
                  <c:v>10.061999999999999</c:v>
                </c:pt>
                <c:pt idx="6">
                  <c:v>9.9031599999999997</c:v>
                </c:pt>
                <c:pt idx="7">
                  <c:v>9.6492299999999993</c:v>
                </c:pt>
                <c:pt idx="8">
                  <c:v>9.6492299999999993</c:v>
                </c:pt>
                <c:pt idx="9">
                  <c:v>9.4552800000000001</c:v>
                </c:pt>
                <c:pt idx="10">
                  <c:v>9.2235300000000002</c:v>
                </c:pt>
                <c:pt idx="11">
                  <c:v>8.87547</c:v>
                </c:pt>
                <c:pt idx="12">
                  <c:v>8.87547</c:v>
                </c:pt>
                <c:pt idx="13">
                  <c:v>8.6709700000000005</c:v>
                </c:pt>
                <c:pt idx="14">
                  <c:v>8.6709700000000005</c:v>
                </c:pt>
              </c:numCache>
            </c:numRef>
          </c:val>
        </c:ser>
        <c:ser>
          <c:idx val="16"/>
          <c:order val="16"/>
          <c:tx>
            <c:strRef>
              <c:f>'Fuel - 20 Cell'!$AM$52</c:f>
              <c:strCache>
                <c:ptCount val="1"/>
                <c:pt idx="0">
                  <c:v>240</c:v>
                </c:pt>
              </c:strCache>
            </c:strRef>
          </c:tx>
          <c:spPr>
            <a:solidFill>
              <a:srgbClr val="00CCFF"/>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Cell'!$AM$53:$AM$67</c:f>
              <c:numCache>
                <c:formatCode>0.00</c:formatCode>
                <c:ptCount val="15"/>
                <c:pt idx="0">
                  <c:v>10.1708</c:v>
                </c:pt>
                <c:pt idx="1">
                  <c:v>10.939500000000001</c:v>
                </c:pt>
                <c:pt idx="2">
                  <c:v>11.2</c:v>
                </c:pt>
                <c:pt idx="3">
                  <c:v>11.267099999999999</c:v>
                </c:pt>
                <c:pt idx="4">
                  <c:v>11.614800000000001</c:v>
                </c:pt>
                <c:pt idx="5">
                  <c:v>9.8513099999999998</c:v>
                </c:pt>
                <c:pt idx="6">
                  <c:v>9.6989699999999992</c:v>
                </c:pt>
                <c:pt idx="7">
                  <c:v>9.4552800000000001</c:v>
                </c:pt>
                <c:pt idx="8">
                  <c:v>9.4552800000000001</c:v>
                </c:pt>
                <c:pt idx="9">
                  <c:v>9.2689699999999995</c:v>
                </c:pt>
                <c:pt idx="10">
                  <c:v>9.0461500000000008</c:v>
                </c:pt>
                <c:pt idx="11">
                  <c:v>8.7111099999999997</c:v>
                </c:pt>
                <c:pt idx="12">
                  <c:v>8.7111099999999997</c:v>
                </c:pt>
                <c:pt idx="13">
                  <c:v>8.6709700000000005</c:v>
                </c:pt>
                <c:pt idx="14">
                  <c:v>8.6709700000000005</c:v>
                </c:pt>
              </c:numCache>
            </c:numRef>
          </c:val>
        </c:ser>
        <c:ser>
          <c:idx val="17"/>
          <c:order val="17"/>
          <c:tx>
            <c:strRef>
              <c:f>'Fuel - 20 Cell'!$AN$52</c:f>
              <c:strCache>
                <c:ptCount val="1"/>
                <c:pt idx="0">
                  <c:v>260</c:v>
                </c:pt>
              </c:strCache>
            </c:strRef>
          </c:tx>
          <c:spPr>
            <a:solidFill>
              <a:srgbClr val="CCFFFF"/>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Cell'!$AN$53:$AN$67</c:f>
              <c:numCache>
                <c:formatCode>0.00</c:formatCode>
                <c:ptCount val="15"/>
                <c:pt idx="0">
                  <c:v>9.9555600000000002</c:v>
                </c:pt>
                <c:pt idx="1">
                  <c:v>10.690899999999999</c:v>
                </c:pt>
                <c:pt idx="2">
                  <c:v>10.939500000000001</c:v>
                </c:pt>
                <c:pt idx="3">
                  <c:v>11.003500000000001</c:v>
                </c:pt>
                <c:pt idx="4">
                  <c:v>11.334899999999999</c:v>
                </c:pt>
                <c:pt idx="5">
                  <c:v>9.6492299999999993</c:v>
                </c:pt>
                <c:pt idx="6">
                  <c:v>9.6</c:v>
                </c:pt>
                <c:pt idx="7">
                  <c:v>9.2689699999999995</c:v>
                </c:pt>
                <c:pt idx="8">
                  <c:v>9.2689699999999995</c:v>
                </c:pt>
                <c:pt idx="9">
                  <c:v>9.0898599999999998</c:v>
                </c:pt>
                <c:pt idx="10">
                  <c:v>8.87547</c:v>
                </c:pt>
                <c:pt idx="11">
                  <c:v>8.6709700000000005</c:v>
                </c:pt>
                <c:pt idx="12">
                  <c:v>8.6709700000000005</c:v>
                </c:pt>
                <c:pt idx="13">
                  <c:v>8.6709700000000005</c:v>
                </c:pt>
                <c:pt idx="14">
                  <c:v>8.6709700000000005</c:v>
                </c:pt>
              </c:numCache>
            </c:numRef>
          </c:val>
        </c:ser>
        <c:ser>
          <c:idx val="18"/>
          <c:order val="18"/>
          <c:tx>
            <c:strRef>
              <c:f>'Fuel - 20 Cell'!$AO$52</c:f>
              <c:strCache>
                <c:ptCount val="1"/>
                <c:pt idx="0">
                  <c:v>280</c:v>
                </c:pt>
              </c:strCache>
            </c:strRef>
          </c:tx>
          <c:spPr>
            <a:solidFill>
              <a:srgbClr val="CCFFCC"/>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Cell'!$AO$53:$AO$67</c:f>
              <c:numCache>
                <c:formatCode>0.00</c:formatCode>
                <c:ptCount val="15"/>
                <c:pt idx="0">
                  <c:v>9.9555600000000002</c:v>
                </c:pt>
                <c:pt idx="1">
                  <c:v>10.690899999999999</c:v>
                </c:pt>
                <c:pt idx="2">
                  <c:v>10.939500000000001</c:v>
                </c:pt>
                <c:pt idx="3">
                  <c:v>11.003500000000001</c:v>
                </c:pt>
                <c:pt idx="4">
                  <c:v>11.334899999999999</c:v>
                </c:pt>
                <c:pt idx="5">
                  <c:v>9.6492299999999993</c:v>
                </c:pt>
                <c:pt idx="6">
                  <c:v>9.6</c:v>
                </c:pt>
                <c:pt idx="7">
                  <c:v>9.2689699999999995</c:v>
                </c:pt>
                <c:pt idx="8">
                  <c:v>9.2689699999999995</c:v>
                </c:pt>
                <c:pt idx="9">
                  <c:v>9.0898599999999998</c:v>
                </c:pt>
                <c:pt idx="10">
                  <c:v>8.87547</c:v>
                </c:pt>
                <c:pt idx="11">
                  <c:v>8.6709700000000005</c:v>
                </c:pt>
                <c:pt idx="12">
                  <c:v>8.6709700000000005</c:v>
                </c:pt>
                <c:pt idx="13">
                  <c:v>8.6709700000000005</c:v>
                </c:pt>
                <c:pt idx="14">
                  <c:v>8.6709700000000005</c:v>
                </c:pt>
              </c:numCache>
            </c:numRef>
          </c:val>
        </c:ser>
        <c:ser>
          <c:idx val="19"/>
          <c:order val="19"/>
          <c:tx>
            <c:strRef>
              <c:f>'Fuel - 20 Cell'!$AP$52</c:f>
              <c:strCache>
                <c:ptCount val="1"/>
                <c:pt idx="0">
                  <c:v>300</c:v>
                </c:pt>
              </c:strCache>
            </c:strRef>
          </c:tx>
          <c:spPr>
            <a:solidFill>
              <a:srgbClr val="FFFF99"/>
            </a:solidFill>
            <a:ln w="12700">
              <a:solidFill>
                <a:srgbClr val="000000"/>
              </a:solidFill>
              <a:prstDash val="solid"/>
            </a:ln>
            <a:sp3d prstMaterial="flat"/>
          </c:spPr>
          <c:cat>
            <c:numRef>
              <c:f>'Fuel - 20 Cell'!$V$53:$V$67</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Cell'!$AP$53:$AP$67</c:f>
              <c:numCache>
                <c:formatCode>0.00</c:formatCode>
                <c:ptCount val="15"/>
                <c:pt idx="0">
                  <c:v>9.9555600000000002</c:v>
                </c:pt>
                <c:pt idx="1">
                  <c:v>10.690899999999999</c:v>
                </c:pt>
                <c:pt idx="2">
                  <c:v>10.939500000000001</c:v>
                </c:pt>
                <c:pt idx="3">
                  <c:v>11.003500000000001</c:v>
                </c:pt>
                <c:pt idx="4">
                  <c:v>11.334899999999999</c:v>
                </c:pt>
                <c:pt idx="5">
                  <c:v>9.6492299999999993</c:v>
                </c:pt>
                <c:pt idx="6">
                  <c:v>9.6</c:v>
                </c:pt>
                <c:pt idx="7">
                  <c:v>9.2689699999999995</c:v>
                </c:pt>
                <c:pt idx="8">
                  <c:v>9.2689699999999995</c:v>
                </c:pt>
                <c:pt idx="9">
                  <c:v>9.0898599999999998</c:v>
                </c:pt>
                <c:pt idx="10">
                  <c:v>8.87547</c:v>
                </c:pt>
                <c:pt idx="11">
                  <c:v>8.6709700000000005</c:v>
                </c:pt>
                <c:pt idx="12">
                  <c:v>8.6709700000000005</c:v>
                </c:pt>
                <c:pt idx="13">
                  <c:v>8.6709700000000005</c:v>
                </c:pt>
                <c:pt idx="14">
                  <c:v>8.6709700000000005</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84923520"/>
        <c:axId val="84925440"/>
        <c:axId val="84897792"/>
      </c:surface3DChart>
      <c:catAx>
        <c:axId val="84923520"/>
        <c:scaling>
          <c:orientation val="maxMin"/>
        </c:scaling>
        <c:axPos val="b"/>
        <c:title>
          <c:tx>
            <c:rich>
              <a:bodyPr rot="5400000" vert="horz"/>
              <a:lstStyle/>
              <a:p>
                <a:pPr algn="ctr">
                  <a:defRPr sz="1025" b="1" i="0" u="none" strike="noStrike" baseline="0">
                    <a:solidFill>
                      <a:srgbClr val="000000"/>
                    </a:solidFill>
                    <a:latin typeface="Arial"/>
                    <a:ea typeface="Arial"/>
                    <a:cs typeface="Arial"/>
                  </a:defRPr>
                </a:pPr>
                <a:r>
                  <a:rPr lang="en-US"/>
                  <a:t>RPM</a:t>
                </a:r>
              </a:p>
            </c:rich>
          </c:tx>
          <c:layout>
            <c:manualLayout>
              <c:xMode val="edge"/>
              <c:yMode val="edge"/>
              <c:x val="0.94548203942766795"/>
              <c:y val="0.41463601271396539"/>
            </c:manualLayout>
          </c:layout>
          <c:spPr>
            <a:noFill/>
            <a:ln w="25400">
              <a:noFill/>
            </a:ln>
          </c:spPr>
        </c:title>
        <c:numFmt formatCode="General" sourceLinked="1"/>
        <c:tickLblPos val="low"/>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84925440"/>
        <c:crosses val="autoZero"/>
        <c:auto val="1"/>
        <c:lblAlgn val="ctr"/>
        <c:lblOffset val="100"/>
        <c:tickLblSkip val="1"/>
        <c:tickMarkSkip val="1"/>
        <c:noMultiLvlLbl val="1"/>
      </c:catAx>
      <c:valAx>
        <c:axId val="84925440"/>
        <c:scaling>
          <c:orientation val="minMax"/>
          <c:max val="15"/>
          <c:min val="8"/>
        </c:scaling>
        <c:delete val="1"/>
        <c:axPos val="r"/>
        <c:majorGridlines>
          <c:spPr>
            <a:ln w="3175">
              <a:solidFill>
                <a:srgbClr val="000000"/>
              </a:solidFill>
              <a:prstDash val="solid"/>
            </a:ln>
          </c:spPr>
        </c:majorGridlines>
        <c:title>
          <c:tx>
            <c:rich>
              <a:bodyPr rot="0" vert="horz"/>
              <a:lstStyle/>
              <a:p>
                <a:pPr algn="ctr">
                  <a:defRPr sz="1025" b="1" i="0" u="none" strike="noStrike" baseline="0">
                    <a:solidFill>
                      <a:srgbClr val="000000"/>
                    </a:solidFill>
                    <a:latin typeface="Arial"/>
                    <a:ea typeface="Arial"/>
                    <a:cs typeface="Arial"/>
                  </a:defRPr>
                </a:pPr>
                <a:r>
                  <a:rPr lang="en-US"/>
                  <a:t>Trim</a:t>
                </a:r>
              </a:p>
            </c:rich>
          </c:tx>
          <c:layout>
            <c:manualLayout>
              <c:xMode val="edge"/>
              <c:yMode val="edge"/>
              <c:x val="9.1244057779490892E-3"/>
              <c:y val="0.8362406793059497"/>
            </c:manualLayout>
          </c:layout>
          <c:spPr>
            <a:noFill/>
            <a:ln w="25400">
              <a:noFill/>
            </a:ln>
          </c:spPr>
        </c:title>
        <c:numFmt formatCode="0.00" sourceLinked="1"/>
        <c:tickLblPos val="none"/>
        <c:crossAx val="84923520"/>
        <c:crosses val="autoZero"/>
        <c:crossBetween val="midCat"/>
        <c:majorUnit val="0.25"/>
        <c:minorUnit val="0.1"/>
      </c:valAx>
      <c:serAx>
        <c:axId val="84897792"/>
        <c:scaling>
          <c:orientation val="maxMin"/>
        </c:scaling>
        <c:axPos val="b"/>
        <c:title>
          <c:tx>
            <c:rich>
              <a:bodyPr/>
              <a:lstStyle/>
              <a:p>
                <a:pPr>
                  <a:defRPr sz="1025" b="1" i="0" u="none" strike="noStrike" baseline="0">
                    <a:solidFill>
                      <a:srgbClr val="000000"/>
                    </a:solidFill>
                    <a:latin typeface="Arial"/>
                    <a:ea typeface="Arial"/>
                    <a:cs typeface="Arial"/>
                  </a:defRPr>
                </a:pPr>
                <a:r>
                  <a:rPr lang="en-US"/>
                  <a:t>Load</a:t>
                </a:r>
              </a:p>
            </c:rich>
          </c:tx>
          <c:layout>
            <c:manualLayout>
              <c:xMode val="edge"/>
              <c:yMode val="edge"/>
              <c:x val="0.43014655947726821"/>
              <c:y val="0.92160691208015266"/>
            </c:manualLayout>
          </c:layout>
          <c:spPr>
            <a:noFill/>
            <a:ln w="25400">
              <a:noFill/>
            </a:ln>
          </c:spPr>
        </c:title>
        <c:numFmt formatCode="General" sourceLinked="1"/>
        <c:tickLblPos val="low"/>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84925440"/>
        <c:crosses val="autoZero"/>
        <c:tickLblSkip val="7"/>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3.6497285701071566E-2"/>
          <c:y val="3.5598783630971645E-2"/>
          <c:w val="0.84595494357126555"/>
          <c:h val="0.83233346489557503"/>
        </c:manualLayout>
      </c:layout>
      <c:surface3DChart>
        <c:ser>
          <c:idx val="0"/>
          <c:order val="0"/>
          <c:tx>
            <c:strRef>
              <c:f>'Fuel - 20 Cell'!$W$28</c:f>
              <c:strCache>
                <c:ptCount val="1"/>
                <c:pt idx="0">
                  <c:v>10</c:v>
                </c:pt>
              </c:strCache>
            </c:strRef>
          </c:tx>
          <c:spPr>
            <a:solidFill>
              <a:srgbClr val="9999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Cell'!$W$29:$W$43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1"/>
          <c:order val="1"/>
          <c:tx>
            <c:strRef>
              <c:f>'Fuel - 20 Cell'!$X$28</c:f>
              <c:strCache>
                <c:ptCount val="1"/>
                <c:pt idx="0">
                  <c:v>20</c:v>
                </c:pt>
              </c:strCache>
            </c:strRef>
          </c:tx>
          <c:spPr>
            <a:solidFill>
              <a:srgbClr val="993366"/>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Cell'!$X$29:$X$43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2"/>
          <c:order val="2"/>
          <c:tx>
            <c:strRef>
              <c:f>'Fuel - 20 Cell'!$Y$28</c:f>
              <c:strCache>
                <c:ptCount val="1"/>
                <c:pt idx="0">
                  <c:v>30</c:v>
                </c:pt>
              </c:strCache>
            </c:strRef>
          </c:tx>
          <c:spPr>
            <a:solidFill>
              <a:srgbClr val="FFFFCC"/>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Cell'!$Y$29:$Y$43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3"/>
          <c:order val="3"/>
          <c:tx>
            <c:strRef>
              <c:f>'Fuel - 20 Cell'!$Z$28</c:f>
              <c:strCache>
                <c:ptCount val="1"/>
                <c:pt idx="0">
                  <c:v>40</c:v>
                </c:pt>
              </c:strCache>
            </c:strRef>
          </c:tx>
          <c:spPr>
            <a:solidFill>
              <a:srgbClr val="CCFF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Cell'!$Z$29:$Z$43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13.6348</c:v>
                </c:pt>
                <c:pt idx="13">
                  <c:v>13.44</c:v>
                </c:pt>
                <c:pt idx="14">
                  <c:v>13.44</c:v>
                </c:pt>
              </c:numCache>
            </c:numRef>
          </c:val>
        </c:ser>
        <c:ser>
          <c:idx val="4"/>
          <c:order val="4"/>
          <c:tx>
            <c:strRef>
              <c:f>'Fuel - 20 Cell'!$AA$28</c:f>
              <c:strCache>
                <c:ptCount val="1"/>
                <c:pt idx="0">
                  <c:v>50</c:v>
                </c:pt>
              </c:strCache>
            </c:strRef>
          </c:tx>
          <c:spPr>
            <a:solidFill>
              <a:srgbClr val="660066"/>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Cell'!$AA$29:$AA$43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14.473800000000001</c:v>
                </c:pt>
                <c:pt idx="11">
                  <c:v>13.937799999999999</c:v>
                </c:pt>
                <c:pt idx="12">
                  <c:v>13.2507</c:v>
                </c:pt>
                <c:pt idx="13">
                  <c:v>12.976599999999999</c:v>
                </c:pt>
                <c:pt idx="14">
                  <c:v>12.976599999999999</c:v>
                </c:pt>
              </c:numCache>
            </c:numRef>
          </c:val>
        </c:ser>
        <c:ser>
          <c:idx val="5"/>
          <c:order val="5"/>
          <c:tx>
            <c:strRef>
              <c:f>'Fuel - 20 Cell'!$AB$28</c:f>
              <c:strCache>
                <c:ptCount val="1"/>
                <c:pt idx="0">
                  <c:v>60</c:v>
                </c:pt>
              </c:strCache>
            </c:strRef>
          </c:tx>
          <c:spPr>
            <a:solidFill>
              <a:srgbClr val="FF808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Cell'!$AB$29:$AB$43</c:f>
              <c:numCache>
                <c:formatCode>0.00</c:formatCode>
                <c:ptCount val="15"/>
                <c:pt idx="0">
                  <c:v>13.3447</c:v>
                </c:pt>
                <c:pt idx="1">
                  <c:v>14.7</c:v>
                </c:pt>
                <c:pt idx="2">
                  <c:v>14.7</c:v>
                </c:pt>
                <c:pt idx="3">
                  <c:v>14.7</c:v>
                </c:pt>
                <c:pt idx="4">
                  <c:v>14.7</c:v>
                </c:pt>
                <c:pt idx="5">
                  <c:v>14.7</c:v>
                </c:pt>
                <c:pt idx="6">
                  <c:v>14.7</c:v>
                </c:pt>
                <c:pt idx="7">
                  <c:v>14.7</c:v>
                </c:pt>
                <c:pt idx="8">
                  <c:v>14.7</c:v>
                </c:pt>
                <c:pt idx="9">
                  <c:v>14.473800000000001</c:v>
                </c:pt>
                <c:pt idx="10">
                  <c:v>14.0418</c:v>
                </c:pt>
                <c:pt idx="11">
                  <c:v>13.44</c:v>
                </c:pt>
                <c:pt idx="12">
                  <c:v>12.7135</c:v>
                </c:pt>
                <c:pt idx="13">
                  <c:v>12.2182</c:v>
                </c:pt>
                <c:pt idx="14">
                  <c:v>12.2182</c:v>
                </c:pt>
              </c:numCache>
            </c:numRef>
          </c:val>
        </c:ser>
        <c:ser>
          <c:idx val="6"/>
          <c:order val="6"/>
          <c:tx>
            <c:strRef>
              <c:f>'Fuel - 20 Cell'!$AC$28</c:f>
              <c:strCache>
                <c:ptCount val="1"/>
                <c:pt idx="0">
                  <c:v>70</c:v>
                </c:pt>
              </c:strCache>
            </c:strRef>
          </c:tx>
          <c:spPr>
            <a:solidFill>
              <a:srgbClr val="0066CC"/>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Cell'!$AC$29:$AC$43</c:f>
              <c:numCache>
                <c:formatCode>0.00</c:formatCode>
                <c:ptCount val="15"/>
                <c:pt idx="0">
                  <c:v>13.3447</c:v>
                </c:pt>
                <c:pt idx="1">
                  <c:v>14.7</c:v>
                </c:pt>
                <c:pt idx="2">
                  <c:v>14.7</c:v>
                </c:pt>
                <c:pt idx="3">
                  <c:v>14.7</c:v>
                </c:pt>
                <c:pt idx="4">
                  <c:v>14.7</c:v>
                </c:pt>
                <c:pt idx="5">
                  <c:v>14.7</c:v>
                </c:pt>
                <c:pt idx="6">
                  <c:v>14.7</c:v>
                </c:pt>
                <c:pt idx="7">
                  <c:v>14.7</c:v>
                </c:pt>
                <c:pt idx="8">
                  <c:v>14.147399999999999</c:v>
                </c:pt>
                <c:pt idx="9">
                  <c:v>14.147399999999999</c:v>
                </c:pt>
                <c:pt idx="10">
                  <c:v>13.6348</c:v>
                </c:pt>
                <c:pt idx="11">
                  <c:v>12.7135</c:v>
                </c:pt>
                <c:pt idx="12">
                  <c:v>12.061500000000001</c:v>
                </c:pt>
                <c:pt idx="13">
                  <c:v>11.614800000000001</c:v>
                </c:pt>
                <c:pt idx="14">
                  <c:v>11.614800000000001</c:v>
                </c:pt>
              </c:numCache>
            </c:numRef>
          </c:val>
        </c:ser>
        <c:ser>
          <c:idx val="7"/>
          <c:order val="7"/>
          <c:tx>
            <c:strRef>
              <c:f>'Fuel - 20 Cell'!$AD$28</c:f>
              <c:strCache>
                <c:ptCount val="1"/>
                <c:pt idx="0">
                  <c:v>80</c:v>
                </c:pt>
              </c:strCache>
            </c:strRef>
          </c:tx>
          <c:spPr>
            <a:solidFill>
              <a:srgbClr val="CCCC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Cell'!$AD$29:$AD$43</c:f>
              <c:numCache>
                <c:formatCode>0.00</c:formatCode>
                <c:ptCount val="15"/>
                <c:pt idx="0">
                  <c:v>13.3447</c:v>
                </c:pt>
                <c:pt idx="1">
                  <c:v>14.7</c:v>
                </c:pt>
                <c:pt idx="2">
                  <c:v>14.7</c:v>
                </c:pt>
                <c:pt idx="3">
                  <c:v>14.7</c:v>
                </c:pt>
                <c:pt idx="4">
                  <c:v>14.7</c:v>
                </c:pt>
                <c:pt idx="5">
                  <c:v>14.7</c:v>
                </c:pt>
                <c:pt idx="6">
                  <c:v>14.7</c:v>
                </c:pt>
                <c:pt idx="7">
                  <c:v>14.7</c:v>
                </c:pt>
                <c:pt idx="8">
                  <c:v>13.734299999999999</c:v>
                </c:pt>
                <c:pt idx="9">
                  <c:v>13.44</c:v>
                </c:pt>
                <c:pt idx="10">
                  <c:v>12.8</c:v>
                </c:pt>
                <c:pt idx="11">
                  <c:v>11.834</c:v>
                </c:pt>
                <c:pt idx="12">
                  <c:v>11.4732</c:v>
                </c:pt>
                <c:pt idx="13">
                  <c:v>11.334899999999999</c:v>
                </c:pt>
                <c:pt idx="14">
                  <c:v>11.334899999999999</c:v>
                </c:pt>
              </c:numCache>
            </c:numRef>
          </c:val>
        </c:ser>
        <c:ser>
          <c:idx val="8"/>
          <c:order val="8"/>
          <c:tx>
            <c:strRef>
              <c:f>'Fuel - 20 Cell'!$AE$28</c:f>
              <c:strCache>
                <c:ptCount val="1"/>
                <c:pt idx="0">
                  <c:v>90</c:v>
                </c:pt>
              </c:strCache>
            </c:strRef>
          </c:tx>
          <c:spPr>
            <a:solidFill>
              <a:srgbClr val="00008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Cell'!$AE$29:$AE$43</c:f>
              <c:numCache>
                <c:formatCode>0.00</c:formatCode>
                <c:ptCount val="15"/>
                <c:pt idx="0">
                  <c:v>12.544</c:v>
                </c:pt>
                <c:pt idx="1">
                  <c:v>13.44</c:v>
                </c:pt>
                <c:pt idx="2">
                  <c:v>14.2545</c:v>
                </c:pt>
                <c:pt idx="3">
                  <c:v>14.2545</c:v>
                </c:pt>
                <c:pt idx="4">
                  <c:v>14.3634</c:v>
                </c:pt>
                <c:pt idx="5">
                  <c:v>14.3634</c:v>
                </c:pt>
                <c:pt idx="6">
                  <c:v>14.3634</c:v>
                </c:pt>
                <c:pt idx="7">
                  <c:v>14.147399999999999</c:v>
                </c:pt>
                <c:pt idx="8">
                  <c:v>13.44</c:v>
                </c:pt>
                <c:pt idx="9">
                  <c:v>12.8</c:v>
                </c:pt>
                <c:pt idx="10">
                  <c:v>12.2182</c:v>
                </c:pt>
                <c:pt idx="11">
                  <c:v>11.686999999999999</c:v>
                </c:pt>
                <c:pt idx="12">
                  <c:v>11.4732</c:v>
                </c:pt>
                <c:pt idx="13">
                  <c:v>11.267099999999999</c:v>
                </c:pt>
                <c:pt idx="14">
                  <c:v>11.267099999999999</c:v>
                </c:pt>
              </c:numCache>
            </c:numRef>
          </c:val>
        </c:ser>
        <c:ser>
          <c:idx val="9"/>
          <c:order val="9"/>
          <c:tx>
            <c:strRef>
              <c:f>'Fuel - 20 Cell'!$AF$28</c:f>
              <c:strCache>
                <c:ptCount val="1"/>
                <c:pt idx="0">
                  <c:v>100</c:v>
                </c:pt>
              </c:strCache>
            </c:strRef>
          </c:tx>
          <c:spPr>
            <a:solidFill>
              <a:srgbClr val="FF00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Cell'!$AF$29:$AF$43</c:f>
              <c:numCache>
                <c:formatCode>0.00</c:formatCode>
                <c:ptCount val="15"/>
                <c:pt idx="0">
                  <c:v>12.544</c:v>
                </c:pt>
                <c:pt idx="1">
                  <c:v>13.44</c:v>
                </c:pt>
                <c:pt idx="2">
                  <c:v>13.8353</c:v>
                </c:pt>
                <c:pt idx="3">
                  <c:v>13.8353</c:v>
                </c:pt>
                <c:pt idx="4">
                  <c:v>14.147399999999999</c:v>
                </c:pt>
                <c:pt idx="5">
                  <c:v>14.147399999999999</c:v>
                </c:pt>
                <c:pt idx="6">
                  <c:v>14.147399999999999</c:v>
                </c:pt>
                <c:pt idx="7">
                  <c:v>13.6348</c:v>
                </c:pt>
                <c:pt idx="8">
                  <c:v>12.8</c:v>
                </c:pt>
                <c:pt idx="9">
                  <c:v>12.2182</c:v>
                </c:pt>
                <c:pt idx="10">
                  <c:v>11.908899999999999</c:v>
                </c:pt>
                <c:pt idx="11">
                  <c:v>11.4732</c:v>
                </c:pt>
                <c:pt idx="12">
                  <c:v>11.334899999999999</c:v>
                </c:pt>
                <c:pt idx="13">
                  <c:v>11.2</c:v>
                </c:pt>
                <c:pt idx="14">
                  <c:v>11.2</c:v>
                </c:pt>
              </c:numCache>
            </c:numRef>
          </c:val>
        </c:ser>
        <c:ser>
          <c:idx val="10"/>
          <c:order val="10"/>
          <c:tx>
            <c:strRef>
              <c:f>'Fuel - 20 Cell'!$AG$28</c:f>
              <c:strCache>
                <c:ptCount val="1"/>
                <c:pt idx="0">
                  <c:v>120</c:v>
                </c:pt>
              </c:strCache>
            </c:strRef>
          </c:tx>
          <c:spPr>
            <a:solidFill>
              <a:srgbClr val="FFFF0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Cell'!$AG$29:$AG$43</c:f>
              <c:numCache>
                <c:formatCode>0.00</c:formatCode>
                <c:ptCount val="15"/>
                <c:pt idx="0">
                  <c:v>12.298</c:v>
                </c:pt>
                <c:pt idx="1">
                  <c:v>13.157999999999999</c:v>
                </c:pt>
                <c:pt idx="2">
                  <c:v>13.157999999999999</c:v>
                </c:pt>
                <c:pt idx="3">
                  <c:v>13.44</c:v>
                </c:pt>
                <c:pt idx="4">
                  <c:v>13.8353</c:v>
                </c:pt>
                <c:pt idx="5">
                  <c:v>14.0418</c:v>
                </c:pt>
                <c:pt idx="6">
                  <c:v>13.44</c:v>
                </c:pt>
                <c:pt idx="7">
                  <c:v>12.460900000000001</c:v>
                </c:pt>
                <c:pt idx="8">
                  <c:v>12.061500000000001</c:v>
                </c:pt>
                <c:pt idx="9">
                  <c:v>11.834</c:v>
                </c:pt>
                <c:pt idx="10">
                  <c:v>11.614800000000001</c:v>
                </c:pt>
                <c:pt idx="11">
                  <c:v>11.267099999999999</c:v>
                </c:pt>
                <c:pt idx="12">
                  <c:v>11.068199999999999</c:v>
                </c:pt>
                <c:pt idx="13">
                  <c:v>10.939500000000001</c:v>
                </c:pt>
                <c:pt idx="14">
                  <c:v>10.939500000000001</c:v>
                </c:pt>
              </c:numCache>
            </c:numRef>
          </c:val>
        </c:ser>
        <c:ser>
          <c:idx val="11"/>
          <c:order val="11"/>
          <c:tx>
            <c:strRef>
              <c:f>'Fuel - 20 Cell'!$AH$28</c:f>
              <c:strCache>
                <c:ptCount val="1"/>
                <c:pt idx="0">
                  <c:v>140</c:v>
                </c:pt>
              </c:strCache>
            </c:strRef>
          </c:tx>
          <c:spPr>
            <a:solidFill>
              <a:srgbClr val="00FF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Cell'!$AH$29:$AH$43</c:f>
              <c:numCache>
                <c:formatCode>0.00</c:formatCode>
                <c:ptCount val="15"/>
                <c:pt idx="0">
                  <c:v>12.061500000000001</c:v>
                </c:pt>
                <c:pt idx="1">
                  <c:v>12.8</c:v>
                </c:pt>
                <c:pt idx="2">
                  <c:v>12.976599999999999</c:v>
                </c:pt>
                <c:pt idx="3">
                  <c:v>13.066700000000001</c:v>
                </c:pt>
                <c:pt idx="4">
                  <c:v>13.44</c:v>
                </c:pt>
                <c:pt idx="5">
                  <c:v>13.2507</c:v>
                </c:pt>
                <c:pt idx="6">
                  <c:v>12.2182</c:v>
                </c:pt>
                <c:pt idx="7">
                  <c:v>11.614800000000001</c:v>
                </c:pt>
                <c:pt idx="8">
                  <c:v>11.4732</c:v>
                </c:pt>
                <c:pt idx="9">
                  <c:v>11.4732</c:v>
                </c:pt>
                <c:pt idx="10">
                  <c:v>10.939500000000001</c:v>
                </c:pt>
                <c:pt idx="11">
                  <c:v>10.876300000000001</c:v>
                </c:pt>
                <c:pt idx="12">
                  <c:v>10.690899999999999</c:v>
                </c:pt>
                <c:pt idx="13">
                  <c:v>10.5708</c:v>
                </c:pt>
                <c:pt idx="14">
                  <c:v>10.5708</c:v>
                </c:pt>
              </c:numCache>
            </c:numRef>
          </c:val>
        </c:ser>
        <c:ser>
          <c:idx val="12"/>
          <c:order val="12"/>
          <c:tx>
            <c:strRef>
              <c:f>'Fuel - 20 Cell'!$AI$28</c:f>
              <c:strCache>
                <c:ptCount val="1"/>
                <c:pt idx="0">
                  <c:v>160</c:v>
                </c:pt>
              </c:strCache>
            </c:strRef>
          </c:tx>
          <c:spPr>
            <a:solidFill>
              <a:srgbClr val="80008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Cell'!$AI$29:$AI$43</c:f>
              <c:numCache>
                <c:formatCode>0.00</c:formatCode>
                <c:ptCount val="15"/>
                <c:pt idx="0">
                  <c:v>11.834</c:v>
                </c:pt>
                <c:pt idx="1">
                  <c:v>12.544</c:v>
                </c:pt>
                <c:pt idx="2">
                  <c:v>12.8</c:v>
                </c:pt>
                <c:pt idx="3">
                  <c:v>12.8</c:v>
                </c:pt>
                <c:pt idx="4">
                  <c:v>13.157999999999999</c:v>
                </c:pt>
                <c:pt idx="5">
                  <c:v>11.76</c:v>
                </c:pt>
                <c:pt idx="6">
                  <c:v>11.4732</c:v>
                </c:pt>
                <c:pt idx="7">
                  <c:v>11.2</c:v>
                </c:pt>
                <c:pt idx="8">
                  <c:v>11.068199999999999</c:v>
                </c:pt>
                <c:pt idx="9">
                  <c:v>10.939500000000001</c:v>
                </c:pt>
                <c:pt idx="10">
                  <c:v>10.6305</c:v>
                </c:pt>
                <c:pt idx="11">
                  <c:v>10.5708</c:v>
                </c:pt>
                <c:pt idx="12">
                  <c:v>10.3956</c:v>
                </c:pt>
                <c:pt idx="13">
                  <c:v>10.282</c:v>
                </c:pt>
                <c:pt idx="14">
                  <c:v>10.282</c:v>
                </c:pt>
              </c:numCache>
            </c:numRef>
          </c:val>
        </c:ser>
        <c:ser>
          <c:idx val="13"/>
          <c:order val="13"/>
          <c:tx>
            <c:strRef>
              <c:f>'Fuel - 20 Cell'!$AJ$28</c:f>
              <c:strCache>
                <c:ptCount val="1"/>
                <c:pt idx="0">
                  <c:v>180</c:v>
                </c:pt>
              </c:strCache>
            </c:strRef>
          </c:tx>
          <c:spPr>
            <a:solidFill>
              <a:srgbClr val="80000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Cell'!$AJ$29:$AJ$43</c:f>
              <c:numCache>
                <c:formatCode>0.00</c:formatCode>
                <c:ptCount val="15"/>
                <c:pt idx="0">
                  <c:v>11.614800000000001</c:v>
                </c:pt>
                <c:pt idx="1">
                  <c:v>12.298</c:v>
                </c:pt>
                <c:pt idx="2">
                  <c:v>12.544</c:v>
                </c:pt>
                <c:pt idx="3">
                  <c:v>12.6282</c:v>
                </c:pt>
                <c:pt idx="4">
                  <c:v>12.976599999999999</c:v>
                </c:pt>
                <c:pt idx="5">
                  <c:v>11.334899999999999</c:v>
                </c:pt>
                <c:pt idx="6">
                  <c:v>10.876300000000001</c:v>
                </c:pt>
                <c:pt idx="7">
                  <c:v>10.752000000000001</c:v>
                </c:pt>
                <c:pt idx="8">
                  <c:v>10.813800000000001</c:v>
                </c:pt>
                <c:pt idx="9">
                  <c:v>10.5708</c:v>
                </c:pt>
                <c:pt idx="10">
                  <c:v>10.3385</c:v>
                </c:pt>
                <c:pt idx="11">
                  <c:v>10.282</c:v>
                </c:pt>
                <c:pt idx="12">
                  <c:v>10.116099999999999</c:v>
                </c:pt>
                <c:pt idx="13">
                  <c:v>9.9031599999999997</c:v>
                </c:pt>
                <c:pt idx="14">
                  <c:v>9.9031599999999997</c:v>
                </c:pt>
              </c:numCache>
            </c:numRef>
          </c:val>
        </c:ser>
        <c:ser>
          <c:idx val="14"/>
          <c:order val="14"/>
          <c:tx>
            <c:strRef>
              <c:f>'Fuel - 20 Cell'!$AK$28</c:f>
              <c:strCache>
                <c:ptCount val="1"/>
                <c:pt idx="0">
                  <c:v>200</c:v>
                </c:pt>
              </c:strCache>
            </c:strRef>
          </c:tx>
          <c:spPr>
            <a:solidFill>
              <a:srgbClr val="00808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Cell'!$AK$29:$AK$43</c:f>
              <c:numCache>
                <c:formatCode>0.00</c:formatCode>
                <c:ptCount val="15"/>
                <c:pt idx="0">
                  <c:v>11.403600000000001</c:v>
                </c:pt>
                <c:pt idx="1">
                  <c:v>12.061500000000001</c:v>
                </c:pt>
                <c:pt idx="2">
                  <c:v>12.298</c:v>
                </c:pt>
                <c:pt idx="3">
                  <c:v>12.3789</c:v>
                </c:pt>
                <c:pt idx="4">
                  <c:v>12.7135</c:v>
                </c:pt>
                <c:pt idx="5">
                  <c:v>11.068199999999999</c:v>
                </c:pt>
                <c:pt idx="6">
                  <c:v>10.813800000000001</c:v>
                </c:pt>
                <c:pt idx="7">
                  <c:v>10.6305</c:v>
                </c:pt>
                <c:pt idx="8">
                  <c:v>10.752000000000001</c:v>
                </c:pt>
                <c:pt idx="9">
                  <c:v>10.4533</c:v>
                </c:pt>
                <c:pt idx="10">
                  <c:v>10.1708</c:v>
                </c:pt>
                <c:pt idx="11">
                  <c:v>9.9555600000000002</c:v>
                </c:pt>
                <c:pt idx="12">
                  <c:v>9.9031599999999997</c:v>
                </c:pt>
                <c:pt idx="13">
                  <c:v>9.6</c:v>
                </c:pt>
                <c:pt idx="14">
                  <c:v>9.6</c:v>
                </c:pt>
              </c:numCache>
            </c:numRef>
          </c:val>
        </c:ser>
        <c:ser>
          <c:idx val="15"/>
          <c:order val="15"/>
          <c:tx>
            <c:strRef>
              <c:f>'Fuel - 20 Cell'!$AL$28</c:f>
              <c:strCache>
                <c:ptCount val="1"/>
                <c:pt idx="0">
                  <c:v>220</c:v>
                </c:pt>
              </c:strCache>
            </c:strRef>
          </c:tx>
          <c:spPr>
            <a:solidFill>
              <a:srgbClr val="0000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Cell'!$AL$29:$AL$43</c:f>
              <c:numCache>
                <c:formatCode>0.00</c:formatCode>
                <c:ptCount val="15"/>
                <c:pt idx="0">
                  <c:v>11.2</c:v>
                </c:pt>
                <c:pt idx="1">
                  <c:v>11.834</c:v>
                </c:pt>
                <c:pt idx="2">
                  <c:v>12.061500000000001</c:v>
                </c:pt>
                <c:pt idx="3">
                  <c:v>12.1394</c:v>
                </c:pt>
                <c:pt idx="4">
                  <c:v>12.460900000000001</c:v>
                </c:pt>
                <c:pt idx="5">
                  <c:v>10.939500000000001</c:v>
                </c:pt>
                <c:pt idx="6">
                  <c:v>10.752000000000001</c:v>
                </c:pt>
                <c:pt idx="7">
                  <c:v>10.5708</c:v>
                </c:pt>
                <c:pt idx="8">
                  <c:v>10.5708</c:v>
                </c:pt>
                <c:pt idx="9">
                  <c:v>10.3956</c:v>
                </c:pt>
                <c:pt idx="10">
                  <c:v>10.061999999999999</c:v>
                </c:pt>
                <c:pt idx="11">
                  <c:v>9.8000000000000007</c:v>
                </c:pt>
                <c:pt idx="12">
                  <c:v>9.8000000000000007</c:v>
                </c:pt>
                <c:pt idx="13">
                  <c:v>9.6</c:v>
                </c:pt>
                <c:pt idx="14">
                  <c:v>9.6</c:v>
                </c:pt>
              </c:numCache>
            </c:numRef>
          </c:val>
        </c:ser>
        <c:ser>
          <c:idx val="16"/>
          <c:order val="16"/>
          <c:tx>
            <c:strRef>
              <c:f>'Fuel - 20 Cell'!$AM$28</c:f>
              <c:strCache>
                <c:ptCount val="1"/>
                <c:pt idx="0">
                  <c:v>240</c:v>
                </c:pt>
              </c:strCache>
            </c:strRef>
          </c:tx>
          <c:spPr>
            <a:solidFill>
              <a:srgbClr val="00CC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Cell'!$AM$29:$AM$43</c:f>
              <c:numCache>
                <c:formatCode>0.00</c:formatCode>
                <c:ptCount val="15"/>
                <c:pt idx="0">
                  <c:v>11.003500000000001</c:v>
                </c:pt>
                <c:pt idx="1">
                  <c:v>11.614800000000001</c:v>
                </c:pt>
                <c:pt idx="2">
                  <c:v>11.834</c:v>
                </c:pt>
                <c:pt idx="3">
                  <c:v>11.908899999999999</c:v>
                </c:pt>
                <c:pt idx="4">
                  <c:v>12.2182</c:v>
                </c:pt>
                <c:pt idx="5">
                  <c:v>10.752000000000001</c:v>
                </c:pt>
                <c:pt idx="6">
                  <c:v>10.5708</c:v>
                </c:pt>
                <c:pt idx="7">
                  <c:v>10.3956</c:v>
                </c:pt>
                <c:pt idx="8">
                  <c:v>10.3956</c:v>
                </c:pt>
                <c:pt idx="9">
                  <c:v>10.226100000000001</c:v>
                </c:pt>
                <c:pt idx="10">
                  <c:v>9.9031599999999997</c:v>
                </c:pt>
                <c:pt idx="11">
                  <c:v>9.6492299999999993</c:v>
                </c:pt>
                <c:pt idx="12">
                  <c:v>9.6492299999999993</c:v>
                </c:pt>
                <c:pt idx="13">
                  <c:v>9.6</c:v>
                </c:pt>
                <c:pt idx="14">
                  <c:v>9.6</c:v>
                </c:pt>
              </c:numCache>
            </c:numRef>
          </c:val>
        </c:ser>
        <c:ser>
          <c:idx val="17"/>
          <c:order val="17"/>
          <c:tx>
            <c:strRef>
              <c:f>'Fuel - 20 Cell'!$AN$28</c:f>
              <c:strCache>
                <c:ptCount val="1"/>
                <c:pt idx="0">
                  <c:v>260</c:v>
                </c:pt>
              </c:strCache>
            </c:strRef>
          </c:tx>
          <c:spPr>
            <a:solidFill>
              <a:srgbClr val="CCFF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Cell'!$AN$29:$AN$43</c:f>
              <c:numCache>
                <c:formatCode>0.00</c:formatCode>
                <c:ptCount val="15"/>
                <c:pt idx="0">
                  <c:v>10.813800000000001</c:v>
                </c:pt>
                <c:pt idx="1">
                  <c:v>11.4732</c:v>
                </c:pt>
                <c:pt idx="2">
                  <c:v>11.614800000000001</c:v>
                </c:pt>
                <c:pt idx="3">
                  <c:v>11.686999999999999</c:v>
                </c:pt>
                <c:pt idx="4">
                  <c:v>11.9847</c:v>
                </c:pt>
                <c:pt idx="5">
                  <c:v>10.5708</c:v>
                </c:pt>
                <c:pt idx="6">
                  <c:v>10.511699999999999</c:v>
                </c:pt>
                <c:pt idx="7">
                  <c:v>10.226100000000001</c:v>
                </c:pt>
                <c:pt idx="8">
                  <c:v>10.226100000000001</c:v>
                </c:pt>
                <c:pt idx="9">
                  <c:v>10.061999999999999</c:v>
                </c:pt>
                <c:pt idx="10">
                  <c:v>9.8000000000000007</c:v>
                </c:pt>
                <c:pt idx="11">
                  <c:v>9.6</c:v>
                </c:pt>
                <c:pt idx="12">
                  <c:v>9.6</c:v>
                </c:pt>
                <c:pt idx="13">
                  <c:v>9.6</c:v>
                </c:pt>
                <c:pt idx="14">
                  <c:v>9.6</c:v>
                </c:pt>
              </c:numCache>
            </c:numRef>
          </c:val>
        </c:ser>
        <c:ser>
          <c:idx val="18"/>
          <c:order val="18"/>
          <c:tx>
            <c:strRef>
              <c:f>'Fuel - 20 Cell'!$AO$28</c:f>
              <c:strCache>
                <c:ptCount val="1"/>
                <c:pt idx="0">
                  <c:v>280</c:v>
                </c:pt>
              </c:strCache>
            </c:strRef>
          </c:tx>
          <c:spPr>
            <a:solidFill>
              <a:srgbClr val="CCFFCC"/>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Cell'!$AO$29:$AO$43</c:f>
              <c:numCache>
                <c:formatCode>0.00</c:formatCode>
                <c:ptCount val="15"/>
                <c:pt idx="0">
                  <c:v>10.813800000000001</c:v>
                </c:pt>
                <c:pt idx="1">
                  <c:v>11.4732</c:v>
                </c:pt>
                <c:pt idx="2">
                  <c:v>11.614800000000001</c:v>
                </c:pt>
                <c:pt idx="3">
                  <c:v>11.686999999999999</c:v>
                </c:pt>
                <c:pt idx="4">
                  <c:v>11.9847</c:v>
                </c:pt>
                <c:pt idx="5">
                  <c:v>10.5708</c:v>
                </c:pt>
                <c:pt idx="6">
                  <c:v>10.511699999999999</c:v>
                </c:pt>
                <c:pt idx="7">
                  <c:v>10.226100000000001</c:v>
                </c:pt>
                <c:pt idx="8">
                  <c:v>10.226100000000001</c:v>
                </c:pt>
                <c:pt idx="9">
                  <c:v>10.061999999999999</c:v>
                </c:pt>
                <c:pt idx="10">
                  <c:v>9.8000000000000007</c:v>
                </c:pt>
                <c:pt idx="11">
                  <c:v>9.6</c:v>
                </c:pt>
                <c:pt idx="12">
                  <c:v>9.6</c:v>
                </c:pt>
                <c:pt idx="13">
                  <c:v>9.6</c:v>
                </c:pt>
                <c:pt idx="14">
                  <c:v>9.6</c:v>
                </c:pt>
              </c:numCache>
            </c:numRef>
          </c:val>
        </c:ser>
        <c:ser>
          <c:idx val="19"/>
          <c:order val="19"/>
          <c:tx>
            <c:strRef>
              <c:f>'Fuel - 20 Cell'!$AP$28</c:f>
              <c:strCache>
                <c:ptCount val="1"/>
                <c:pt idx="0">
                  <c:v>300</c:v>
                </c:pt>
              </c:strCache>
            </c:strRef>
          </c:tx>
          <c:spPr>
            <a:solidFill>
              <a:srgbClr val="FFFF99"/>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Cell'!$AP$29:$AP$43</c:f>
              <c:numCache>
                <c:formatCode>0.00</c:formatCode>
                <c:ptCount val="15"/>
                <c:pt idx="0">
                  <c:v>10.813800000000001</c:v>
                </c:pt>
                <c:pt idx="1">
                  <c:v>11.4732</c:v>
                </c:pt>
                <c:pt idx="2">
                  <c:v>11.614800000000001</c:v>
                </c:pt>
                <c:pt idx="3">
                  <c:v>11.686999999999999</c:v>
                </c:pt>
                <c:pt idx="4">
                  <c:v>11.9847</c:v>
                </c:pt>
                <c:pt idx="5">
                  <c:v>10.5708</c:v>
                </c:pt>
                <c:pt idx="6">
                  <c:v>10.511699999999999</c:v>
                </c:pt>
                <c:pt idx="7">
                  <c:v>10.226100000000001</c:v>
                </c:pt>
                <c:pt idx="8">
                  <c:v>10.226100000000001</c:v>
                </c:pt>
                <c:pt idx="9">
                  <c:v>10.061999999999999</c:v>
                </c:pt>
                <c:pt idx="10">
                  <c:v>9.8000000000000007</c:v>
                </c:pt>
                <c:pt idx="11">
                  <c:v>9.6</c:v>
                </c:pt>
                <c:pt idx="12">
                  <c:v>9.6</c:v>
                </c:pt>
                <c:pt idx="13">
                  <c:v>9.6</c:v>
                </c:pt>
                <c:pt idx="14">
                  <c:v>9.6</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85155200"/>
        <c:axId val="85177856"/>
        <c:axId val="85047040"/>
      </c:surface3DChart>
      <c:catAx>
        <c:axId val="85155200"/>
        <c:scaling>
          <c:orientation val="maxMin"/>
        </c:scaling>
        <c:axPos val="b"/>
        <c:title>
          <c:tx>
            <c:rich>
              <a:bodyPr rot="5400000" vert="horz"/>
              <a:lstStyle/>
              <a:p>
                <a:pPr algn="ctr">
                  <a:defRPr sz="1025" b="1" i="0" u="none" strike="noStrike" baseline="0">
                    <a:solidFill>
                      <a:srgbClr val="000000"/>
                    </a:solidFill>
                    <a:latin typeface="Arial"/>
                    <a:ea typeface="Arial"/>
                    <a:cs typeface="Arial"/>
                  </a:defRPr>
                </a:pPr>
                <a:r>
                  <a:rPr lang="en-US"/>
                  <a:t>RPM</a:t>
                </a:r>
              </a:p>
            </c:rich>
          </c:tx>
          <c:layout>
            <c:manualLayout>
              <c:xMode val="edge"/>
              <c:yMode val="edge"/>
              <c:x val="0.92600080395355999"/>
              <c:y val="0.41701416296068144"/>
            </c:manualLayout>
          </c:layout>
          <c:spPr>
            <a:noFill/>
            <a:ln w="25400">
              <a:noFill/>
            </a:ln>
          </c:spPr>
        </c:title>
        <c:numFmt formatCode="General" sourceLinked="1"/>
        <c:tickLblPos val="low"/>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85177856"/>
        <c:crosses val="autoZero"/>
        <c:auto val="1"/>
        <c:lblAlgn val="ctr"/>
        <c:lblOffset val="100"/>
        <c:tickLblSkip val="1"/>
        <c:tickMarkSkip val="1"/>
        <c:noMultiLvlLbl val="1"/>
      </c:catAx>
      <c:valAx>
        <c:axId val="85177856"/>
        <c:scaling>
          <c:orientation val="minMax"/>
          <c:max val="15"/>
          <c:min val="8"/>
        </c:scaling>
        <c:delete val="1"/>
        <c:axPos val="r"/>
        <c:majorGridlines>
          <c:spPr>
            <a:ln w="3175">
              <a:solidFill>
                <a:srgbClr val="000000"/>
              </a:solidFill>
              <a:prstDash val="solid"/>
            </a:ln>
          </c:spPr>
        </c:majorGridlines>
        <c:title>
          <c:tx>
            <c:rich>
              <a:bodyPr rot="0" vert="horz"/>
              <a:lstStyle/>
              <a:p>
                <a:pPr algn="ctr">
                  <a:defRPr sz="1025" b="1" i="0" u="none" strike="noStrike" baseline="0">
                    <a:solidFill>
                      <a:srgbClr val="000000"/>
                    </a:solidFill>
                    <a:latin typeface="Arial"/>
                    <a:ea typeface="Arial"/>
                    <a:cs typeface="Arial"/>
                  </a:defRPr>
                </a:pPr>
                <a:r>
                  <a:rPr lang="en-US"/>
                  <a:t>Trim</a:t>
                </a:r>
              </a:p>
            </c:rich>
          </c:tx>
          <c:layout>
            <c:manualLayout>
              <c:xMode val="edge"/>
              <c:yMode val="edge"/>
              <c:x val="9.12447880951818E-3"/>
              <c:y val="0.83063839208363033"/>
            </c:manualLayout>
          </c:layout>
          <c:spPr>
            <a:noFill/>
            <a:ln w="25400">
              <a:noFill/>
            </a:ln>
          </c:spPr>
        </c:title>
        <c:numFmt formatCode="0.00" sourceLinked="1"/>
        <c:tickLblPos val="none"/>
        <c:crossAx val="85155200"/>
        <c:crosses val="autoZero"/>
        <c:crossBetween val="midCat"/>
        <c:majorUnit val="0.25"/>
        <c:minorUnit val="0.1"/>
      </c:valAx>
      <c:serAx>
        <c:axId val="85047040"/>
        <c:scaling>
          <c:orientation val="maxMin"/>
        </c:scaling>
        <c:axPos val="b"/>
        <c:title>
          <c:tx>
            <c:rich>
              <a:bodyPr/>
              <a:lstStyle/>
              <a:p>
                <a:pPr>
                  <a:defRPr sz="1025" b="1" i="0" u="none" strike="noStrike" baseline="0">
                    <a:solidFill>
                      <a:srgbClr val="000000"/>
                    </a:solidFill>
                    <a:latin typeface="Arial"/>
                    <a:ea typeface="Arial"/>
                    <a:cs typeface="Arial"/>
                  </a:defRPr>
                </a:pPr>
                <a:r>
                  <a:rPr lang="en-US"/>
                  <a:t>Load</a:t>
                </a:r>
              </a:p>
            </c:rich>
          </c:tx>
          <c:layout>
            <c:manualLayout>
              <c:xMode val="edge"/>
              <c:yMode val="edge"/>
              <c:x val="0.43144995389089891"/>
              <c:y val="0.91370219920553941"/>
            </c:manualLayout>
          </c:layout>
          <c:spPr>
            <a:noFill/>
            <a:ln w="25400">
              <a:noFill/>
            </a:ln>
          </c:spPr>
        </c:title>
        <c:numFmt formatCode="General" sourceLinked="1"/>
        <c:tickLblPos val="low"/>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85177856"/>
        <c:crosses val="autoZero"/>
        <c:tickLblSkip val="4"/>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7.9511943848763048E-2"/>
          <c:y val="3.601504437034124E-2"/>
          <c:w val="0.80294028542357454"/>
          <c:h val="0.82491601629210165"/>
        </c:manualLayout>
      </c:layout>
      <c:surface3DChart>
        <c:ser>
          <c:idx val="0"/>
          <c:order val="0"/>
          <c:tx>
            <c:strRef>
              <c:f>'Fuel - 20 Cell'!$W$5</c:f>
              <c:strCache>
                <c:ptCount val="1"/>
                <c:pt idx="0">
                  <c:v>10</c:v>
                </c:pt>
              </c:strCache>
            </c:strRef>
          </c:tx>
          <c:spPr>
            <a:solidFill>
              <a:srgbClr val="9999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Cell'!$W$6:$W$20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14.7</c:v>
                </c:pt>
                <c:pt idx="11">
                  <c:v>14.363358778625953</c:v>
                </c:pt>
                <c:pt idx="12">
                  <c:v>14.147368421052631</c:v>
                </c:pt>
                <c:pt idx="13">
                  <c:v>14.041791044776119</c:v>
                </c:pt>
                <c:pt idx="14">
                  <c:v>14.041791044776119</c:v>
                </c:pt>
              </c:numCache>
            </c:numRef>
          </c:val>
        </c:ser>
        <c:ser>
          <c:idx val="1"/>
          <c:order val="1"/>
          <c:tx>
            <c:strRef>
              <c:f>'Fuel - 20 Cell'!$X$5</c:f>
              <c:strCache>
                <c:ptCount val="1"/>
                <c:pt idx="0">
                  <c:v>20</c:v>
                </c:pt>
              </c:strCache>
            </c:strRef>
          </c:tx>
          <c:spPr>
            <a:solidFill>
              <a:srgbClr val="993366"/>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Cell'!$X$6:$X$20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14.7</c:v>
                </c:pt>
                <c:pt idx="11">
                  <c:v>14.363358778625953</c:v>
                </c:pt>
                <c:pt idx="12">
                  <c:v>14.147368421052631</c:v>
                </c:pt>
                <c:pt idx="13">
                  <c:v>14.041791044776119</c:v>
                </c:pt>
                <c:pt idx="14">
                  <c:v>14.041791044776119</c:v>
                </c:pt>
              </c:numCache>
            </c:numRef>
          </c:val>
        </c:ser>
        <c:ser>
          <c:idx val="2"/>
          <c:order val="2"/>
          <c:tx>
            <c:strRef>
              <c:f>'Fuel - 20 Cell'!$Y$5</c:f>
              <c:strCache>
                <c:ptCount val="1"/>
                <c:pt idx="0">
                  <c:v>30</c:v>
                </c:pt>
              </c:strCache>
            </c:strRef>
          </c:tx>
          <c:spPr>
            <a:solidFill>
              <a:srgbClr val="FFFFCC"/>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Cell'!$Y$6:$Y$20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14.7</c:v>
                </c:pt>
                <c:pt idx="11">
                  <c:v>14.363358778625953</c:v>
                </c:pt>
                <c:pt idx="12">
                  <c:v>14.041791044776119</c:v>
                </c:pt>
                <c:pt idx="13">
                  <c:v>13.937777777777777</c:v>
                </c:pt>
                <c:pt idx="14">
                  <c:v>13.937777777777777</c:v>
                </c:pt>
              </c:numCache>
            </c:numRef>
          </c:val>
        </c:ser>
        <c:ser>
          <c:idx val="3"/>
          <c:order val="3"/>
          <c:tx>
            <c:strRef>
              <c:f>'Fuel - 20 Cell'!$Z$5</c:f>
              <c:strCache>
                <c:ptCount val="1"/>
                <c:pt idx="0">
                  <c:v>40</c:v>
                </c:pt>
              </c:strCache>
            </c:strRef>
          </c:tx>
          <c:spPr>
            <a:solidFill>
              <a:srgbClr val="CCFF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Cell'!$Z$6:$Z$20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14.7</c:v>
                </c:pt>
                <c:pt idx="11">
                  <c:v>14.254545454545454</c:v>
                </c:pt>
                <c:pt idx="12">
                  <c:v>13.734306569343065</c:v>
                </c:pt>
                <c:pt idx="13">
                  <c:v>13.536690647482013</c:v>
                </c:pt>
                <c:pt idx="14">
                  <c:v>13.44</c:v>
                </c:pt>
              </c:numCache>
            </c:numRef>
          </c:val>
        </c:ser>
        <c:ser>
          <c:idx val="4"/>
          <c:order val="4"/>
          <c:tx>
            <c:strRef>
              <c:f>'Fuel - 20 Cell'!$AA$5</c:f>
              <c:strCache>
                <c:ptCount val="1"/>
                <c:pt idx="0">
                  <c:v>50</c:v>
                </c:pt>
              </c:strCache>
            </c:strRef>
          </c:tx>
          <c:spPr>
            <a:solidFill>
              <a:srgbClr val="660066"/>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Cell'!$AA$6:$AA$20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14.363358778625953</c:v>
                </c:pt>
                <c:pt idx="11">
                  <c:v>13.835294117647058</c:v>
                </c:pt>
                <c:pt idx="12">
                  <c:v>13.250704225352113</c:v>
                </c:pt>
                <c:pt idx="13">
                  <c:v>12.976551724137931</c:v>
                </c:pt>
                <c:pt idx="14">
                  <c:v>12.887671232876711</c:v>
                </c:pt>
              </c:numCache>
            </c:numRef>
          </c:val>
        </c:ser>
        <c:ser>
          <c:idx val="5"/>
          <c:order val="5"/>
          <c:tx>
            <c:strRef>
              <c:f>'Fuel - 20 Cell'!$AB$5</c:f>
              <c:strCache>
                <c:ptCount val="1"/>
                <c:pt idx="0">
                  <c:v>60</c:v>
                </c:pt>
              </c:strCache>
            </c:strRef>
          </c:tx>
          <c:spPr>
            <a:solidFill>
              <a:srgbClr val="FF808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Cell'!$AB$6:$AB$20</c:f>
              <c:numCache>
                <c:formatCode>0.00</c:formatCode>
                <c:ptCount val="15"/>
                <c:pt idx="0">
                  <c:v>13.34468085106383</c:v>
                </c:pt>
                <c:pt idx="1">
                  <c:v>14.7</c:v>
                </c:pt>
                <c:pt idx="2">
                  <c:v>14.7</c:v>
                </c:pt>
                <c:pt idx="3">
                  <c:v>14.7</c:v>
                </c:pt>
                <c:pt idx="4">
                  <c:v>14.7</c:v>
                </c:pt>
                <c:pt idx="5">
                  <c:v>14.7</c:v>
                </c:pt>
                <c:pt idx="6">
                  <c:v>14.7</c:v>
                </c:pt>
                <c:pt idx="7">
                  <c:v>14.7</c:v>
                </c:pt>
                <c:pt idx="8">
                  <c:v>14.7</c:v>
                </c:pt>
                <c:pt idx="9">
                  <c:v>14.363358778625953</c:v>
                </c:pt>
                <c:pt idx="10">
                  <c:v>13.937777777777777</c:v>
                </c:pt>
                <c:pt idx="11">
                  <c:v>13.34468085106383</c:v>
                </c:pt>
                <c:pt idx="12">
                  <c:v>12.713513513513513</c:v>
                </c:pt>
                <c:pt idx="13">
                  <c:v>12.298039215686273</c:v>
                </c:pt>
                <c:pt idx="14">
                  <c:v>12.218181818181817</c:v>
                </c:pt>
              </c:numCache>
            </c:numRef>
          </c:val>
        </c:ser>
        <c:ser>
          <c:idx val="6"/>
          <c:order val="6"/>
          <c:tx>
            <c:strRef>
              <c:f>'Fuel - 20 Cell'!$AC$5</c:f>
              <c:strCache>
                <c:ptCount val="1"/>
                <c:pt idx="0">
                  <c:v>70</c:v>
                </c:pt>
              </c:strCache>
            </c:strRef>
          </c:tx>
          <c:spPr>
            <a:solidFill>
              <a:srgbClr val="0066CC"/>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Cell'!$AC$6:$AC$20</c:f>
              <c:numCache>
                <c:formatCode>0.00</c:formatCode>
                <c:ptCount val="15"/>
                <c:pt idx="0">
                  <c:v>13.734306569343065</c:v>
                </c:pt>
                <c:pt idx="1">
                  <c:v>14.363358778625953</c:v>
                </c:pt>
                <c:pt idx="2">
                  <c:v>14.7</c:v>
                </c:pt>
                <c:pt idx="3">
                  <c:v>14.7</c:v>
                </c:pt>
                <c:pt idx="4">
                  <c:v>14.7</c:v>
                </c:pt>
                <c:pt idx="5">
                  <c:v>14.7</c:v>
                </c:pt>
                <c:pt idx="6">
                  <c:v>14.7</c:v>
                </c:pt>
                <c:pt idx="7">
                  <c:v>14.586046511627906</c:v>
                </c:pt>
                <c:pt idx="8">
                  <c:v>14.254545454545454</c:v>
                </c:pt>
                <c:pt idx="9">
                  <c:v>13.937777777777777</c:v>
                </c:pt>
                <c:pt idx="10">
                  <c:v>13.44</c:v>
                </c:pt>
                <c:pt idx="11">
                  <c:v>12.713513513513513</c:v>
                </c:pt>
                <c:pt idx="12">
                  <c:v>12.139354838709677</c:v>
                </c:pt>
                <c:pt idx="13">
                  <c:v>11.76</c:v>
                </c:pt>
                <c:pt idx="14">
                  <c:v>11.68695652173913</c:v>
                </c:pt>
              </c:numCache>
            </c:numRef>
          </c:val>
        </c:ser>
        <c:ser>
          <c:idx val="7"/>
          <c:order val="7"/>
          <c:tx>
            <c:strRef>
              <c:f>'Fuel - 20 Cell'!$AD$5</c:f>
              <c:strCache>
                <c:ptCount val="1"/>
                <c:pt idx="0">
                  <c:v>80</c:v>
                </c:pt>
              </c:strCache>
            </c:strRef>
          </c:tx>
          <c:spPr>
            <a:solidFill>
              <a:srgbClr val="CCCC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Cell'!$AD$6:$AD$20</c:f>
              <c:numCache>
                <c:formatCode>0.00</c:formatCode>
                <c:ptCount val="15"/>
                <c:pt idx="0">
                  <c:v>13.536690647482013</c:v>
                </c:pt>
                <c:pt idx="1">
                  <c:v>14.147368421052631</c:v>
                </c:pt>
                <c:pt idx="2">
                  <c:v>14.473846153846154</c:v>
                </c:pt>
                <c:pt idx="3">
                  <c:v>14.586046511627906</c:v>
                </c:pt>
                <c:pt idx="4">
                  <c:v>14.586046511627906</c:v>
                </c:pt>
                <c:pt idx="5">
                  <c:v>14.586046511627906</c:v>
                </c:pt>
                <c:pt idx="6">
                  <c:v>14.586046511627906</c:v>
                </c:pt>
                <c:pt idx="7">
                  <c:v>14.363358778625953</c:v>
                </c:pt>
                <c:pt idx="8">
                  <c:v>13.835294117647058</c:v>
                </c:pt>
                <c:pt idx="9">
                  <c:v>13.34468085106383</c:v>
                </c:pt>
                <c:pt idx="10">
                  <c:v>12.799999999999999</c:v>
                </c:pt>
                <c:pt idx="11">
                  <c:v>12.061538461538461</c:v>
                </c:pt>
                <c:pt idx="12">
                  <c:v>11.614814814814814</c:v>
                </c:pt>
                <c:pt idx="13">
                  <c:v>11.473170731707317</c:v>
                </c:pt>
                <c:pt idx="14">
                  <c:v>11.403636363636362</c:v>
                </c:pt>
              </c:numCache>
            </c:numRef>
          </c:val>
        </c:ser>
        <c:ser>
          <c:idx val="8"/>
          <c:order val="8"/>
          <c:tx>
            <c:strRef>
              <c:f>'Fuel - 20 Cell'!$AE$5</c:f>
              <c:strCache>
                <c:ptCount val="1"/>
                <c:pt idx="0">
                  <c:v>90</c:v>
                </c:pt>
              </c:strCache>
            </c:strRef>
          </c:tx>
          <c:spPr>
            <a:solidFill>
              <a:srgbClr val="00008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Cell'!$AE$6:$AE$20</c:f>
              <c:numCache>
                <c:formatCode>0.00</c:formatCode>
                <c:ptCount val="15"/>
                <c:pt idx="0">
                  <c:v>12.976551724137931</c:v>
                </c:pt>
                <c:pt idx="1">
                  <c:v>13.536690647482013</c:v>
                </c:pt>
                <c:pt idx="2">
                  <c:v>14.147368421052631</c:v>
                </c:pt>
                <c:pt idx="3">
                  <c:v>14.254545454545454</c:v>
                </c:pt>
                <c:pt idx="4">
                  <c:v>14.363358778625953</c:v>
                </c:pt>
                <c:pt idx="5">
                  <c:v>14.363358778625953</c:v>
                </c:pt>
                <c:pt idx="6">
                  <c:v>14.363358778625953</c:v>
                </c:pt>
                <c:pt idx="7">
                  <c:v>14.041791044776119</c:v>
                </c:pt>
                <c:pt idx="8">
                  <c:v>13.44</c:v>
                </c:pt>
                <c:pt idx="9">
                  <c:v>12.799999999999999</c:v>
                </c:pt>
                <c:pt idx="10">
                  <c:v>12.218181818181817</c:v>
                </c:pt>
                <c:pt idx="11">
                  <c:v>11.76</c:v>
                </c:pt>
                <c:pt idx="12">
                  <c:v>11.473170731707317</c:v>
                </c:pt>
                <c:pt idx="13">
                  <c:v>11.334939759036144</c:v>
                </c:pt>
                <c:pt idx="14">
                  <c:v>11.267065868263472</c:v>
                </c:pt>
              </c:numCache>
            </c:numRef>
          </c:val>
        </c:ser>
        <c:ser>
          <c:idx val="9"/>
          <c:order val="9"/>
          <c:tx>
            <c:strRef>
              <c:f>'Fuel - 20 Cell'!$AF$5</c:f>
              <c:strCache>
                <c:ptCount val="1"/>
                <c:pt idx="0">
                  <c:v>100</c:v>
                </c:pt>
              </c:strCache>
            </c:strRef>
          </c:tx>
          <c:spPr>
            <a:solidFill>
              <a:srgbClr val="FF00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Cell'!$AF$6:$AF$20</c:f>
              <c:numCache>
                <c:formatCode>0.00</c:formatCode>
                <c:ptCount val="15"/>
                <c:pt idx="0">
                  <c:v>12.713513513513513</c:v>
                </c:pt>
                <c:pt idx="1">
                  <c:v>13.250704225352113</c:v>
                </c:pt>
                <c:pt idx="2">
                  <c:v>13.734306569343065</c:v>
                </c:pt>
                <c:pt idx="3">
                  <c:v>13.835294117647058</c:v>
                </c:pt>
                <c:pt idx="4">
                  <c:v>14.041791044776119</c:v>
                </c:pt>
                <c:pt idx="5">
                  <c:v>14.147368421052631</c:v>
                </c:pt>
                <c:pt idx="6">
                  <c:v>13.937777777777777</c:v>
                </c:pt>
                <c:pt idx="7">
                  <c:v>13.44</c:v>
                </c:pt>
                <c:pt idx="8">
                  <c:v>12.799999999999999</c:v>
                </c:pt>
                <c:pt idx="9">
                  <c:v>12.298039215686273</c:v>
                </c:pt>
                <c:pt idx="10">
                  <c:v>11.90886075949367</c:v>
                </c:pt>
                <c:pt idx="11">
                  <c:v>11.543558282208588</c:v>
                </c:pt>
                <c:pt idx="12">
                  <c:v>11.334939759036144</c:v>
                </c:pt>
                <c:pt idx="13">
                  <c:v>11.2</c:v>
                </c:pt>
                <c:pt idx="14">
                  <c:v>11.133727810650887</c:v>
                </c:pt>
              </c:numCache>
            </c:numRef>
          </c:val>
        </c:ser>
        <c:ser>
          <c:idx val="10"/>
          <c:order val="10"/>
          <c:tx>
            <c:strRef>
              <c:f>'Fuel - 20 Cell'!$AG$5</c:f>
              <c:strCache>
                <c:ptCount val="1"/>
                <c:pt idx="0">
                  <c:v>120</c:v>
                </c:pt>
              </c:strCache>
            </c:strRef>
          </c:tx>
          <c:spPr>
            <a:solidFill>
              <a:srgbClr val="FFFF0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Cell'!$AG$6:$AG$20</c:f>
              <c:numCache>
                <c:formatCode>0.00</c:formatCode>
                <c:ptCount val="15"/>
                <c:pt idx="0">
                  <c:v>12.543999999999999</c:v>
                </c:pt>
                <c:pt idx="1">
                  <c:v>12.976551724137931</c:v>
                </c:pt>
                <c:pt idx="2">
                  <c:v>13.250704225352113</c:v>
                </c:pt>
                <c:pt idx="3">
                  <c:v>13.536690647482013</c:v>
                </c:pt>
                <c:pt idx="4">
                  <c:v>13.734306569343065</c:v>
                </c:pt>
                <c:pt idx="5">
                  <c:v>13.734306569343065</c:v>
                </c:pt>
                <c:pt idx="6">
                  <c:v>13.250704225352113</c:v>
                </c:pt>
                <c:pt idx="7">
                  <c:v>12.543999999999999</c:v>
                </c:pt>
                <c:pt idx="8">
                  <c:v>12.139354838709677</c:v>
                </c:pt>
                <c:pt idx="9">
                  <c:v>11.833962264150943</c:v>
                </c:pt>
                <c:pt idx="10">
                  <c:v>11.543558282208588</c:v>
                </c:pt>
                <c:pt idx="11">
                  <c:v>11.267065868263472</c:v>
                </c:pt>
                <c:pt idx="12">
                  <c:v>11.068235294117647</c:v>
                </c:pt>
                <c:pt idx="13">
                  <c:v>10.939534883720929</c:v>
                </c:pt>
                <c:pt idx="14">
                  <c:v>10.939534883720929</c:v>
                </c:pt>
              </c:numCache>
            </c:numRef>
          </c:val>
        </c:ser>
        <c:ser>
          <c:idx val="11"/>
          <c:order val="11"/>
          <c:tx>
            <c:strRef>
              <c:f>'Fuel - 20 Cell'!$AH$5</c:f>
              <c:strCache>
                <c:ptCount val="1"/>
                <c:pt idx="0">
                  <c:v>140</c:v>
                </c:pt>
              </c:strCache>
            </c:strRef>
          </c:tx>
          <c:spPr>
            <a:solidFill>
              <a:srgbClr val="00FF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Cell'!$AH$6:$AH$20</c:f>
              <c:numCache>
                <c:formatCode>0.00</c:formatCode>
                <c:ptCount val="15"/>
                <c:pt idx="0">
                  <c:v>12.298039215686273</c:v>
                </c:pt>
                <c:pt idx="1">
                  <c:v>12.628187919463087</c:v>
                </c:pt>
                <c:pt idx="2">
                  <c:v>12.976551724137931</c:v>
                </c:pt>
                <c:pt idx="3">
                  <c:v>13.158041958041958</c:v>
                </c:pt>
                <c:pt idx="4">
                  <c:v>13.250704225352113</c:v>
                </c:pt>
                <c:pt idx="5">
                  <c:v>12.976551724137931</c:v>
                </c:pt>
                <c:pt idx="6">
                  <c:v>12.298039215686273</c:v>
                </c:pt>
                <c:pt idx="7">
                  <c:v>11.76</c:v>
                </c:pt>
                <c:pt idx="8">
                  <c:v>11.543558282208588</c:v>
                </c:pt>
                <c:pt idx="9">
                  <c:v>11.334939759036144</c:v>
                </c:pt>
                <c:pt idx="10">
                  <c:v>11.068235294117647</c:v>
                </c:pt>
                <c:pt idx="11">
                  <c:v>10.876300578034682</c:v>
                </c:pt>
                <c:pt idx="12">
                  <c:v>10.69090909090909</c:v>
                </c:pt>
                <c:pt idx="13">
                  <c:v>10.630508474576271</c:v>
                </c:pt>
                <c:pt idx="14">
                  <c:v>10.570786516853932</c:v>
                </c:pt>
              </c:numCache>
            </c:numRef>
          </c:val>
        </c:ser>
        <c:ser>
          <c:idx val="12"/>
          <c:order val="12"/>
          <c:tx>
            <c:strRef>
              <c:f>'Fuel - 20 Cell'!$AI$5</c:f>
              <c:strCache>
                <c:ptCount val="1"/>
                <c:pt idx="0">
                  <c:v>160</c:v>
                </c:pt>
              </c:strCache>
            </c:strRef>
          </c:tx>
          <c:spPr>
            <a:solidFill>
              <a:srgbClr val="80008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Cell'!$AI$6:$AI$20</c:f>
              <c:numCache>
                <c:formatCode>0.00</c:formatCode>
                <c:ptCount val="15"/>
                <c:pt idx="0">
                  <c:v>12.061538461538461</c:v>
                </c:pt>
                <c:pt idx="1">
                  <c:v>12.460927152317881</c:v>
                </c:pt>
                <c:pt idx="2">
                  <c:v>12.713513513513513</c:v>
                </c:pt>
                <c:pt idx="3">
                  <c:v>12.887671232876711</c:v>
                </c:pt>
                <c:pt idx="4">
                  <c:v>12.799999999999999</c:v>
                </c:pt>
                <c:pt idx="5">
                  <c:v>12.061538461538461</c:v>
                </c:pt>
                <c:pt idx="6">
                  <c:v>11.543558282208588</c:v>
                </c:pt>
                <c:pt idx="7">
                  <c:v>11.267065868263472</c:v>
                </c:pt>
                <c:pt idx="8">
                  <c:v>11.068235294117647</c:v>
                </c:pt>
                <c:pt idx="9">
                  <c:v>10.939534883720929</c:v>
                </c:pt>
                <c:pt idx="10">
                  <c:v>10.69090909090909</c:v>
                </c:pt>
                <c:pt idx="11">
                  <c:v>10.570786516853932</c:v>
                </c:pt>
                <c:pt idx="12">
                  <c:v>10.395580110497237</c:v>
                </c:pt>
                <c:pt idx="13">
                  <c:v>10.281967213114754</c:v>
                </c:pt>
                <c:pt idx="14">
                  <c:v>10.281967213114754</c:v>
                </c:pt>
              </c:numCache>
            </c:numRef>
          </c:val>
        </c:ser>
        <c:ser>
          <c:idx val="13"/>
          <c:order val="13"/>
          <c:tx>
            <c:strRef>
              <c:f>'Fuel - 20 Cell'!$AJ$5</c:f>
              <c:strCache>
                <c:ptCount val="1"/>
                <c:pt idx="0">
                  <c:v>180</c:v>
                </c:pt>
              </c:strCache>
            </c:strRef>
          </c:tx>
          <c:spPr>
            <a:solidFill>
              <a:srgbClr val="80000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Cell'!$AJ$6:$AJ$20</c:f>
              <c:numCache>
                <c:formatCode>0.00</c:formatCode>
                <c:ptCount val="15"/>
                <c:pt idx="0">
                  <c:v>11.833962264150943</c:v>
                </c:pt>
                <c:pt idx="1">
                  <c:v>12.218181818181817</c:v>
                </c:pt>
                <c:pt idx="2">
                  <c:v>12.460927152317881</c:v>
                </c:pt>
                <c:pt idx="3">
                  <c:v>12.713513513513513</c:v>
                </c:pt>
                <c:pt idx="4">
                  <c:v>12.460927152317881</c:v>
                </c:pt>
                <c:pt idx="5">
                  <c:v>11.614814814814814</c:v>
                </c:pt>
                <c:pt idx="6">
                  <c:v>11.003508771929823</c:v>
                </c:pt>
                <c:pt idx="7">
                  <c:v>10.876300578034682</c:v>
                </c:pt>
                <c:pt idx="8">
                  <c:v>10.813793103448276</c:v>
                </c:pt>
                <c:pt idx="9">
                  <c:v>10.630508474576271</c:v>
                </c:pt>
                <c:pt idx="10">
                  <c:v>10.395580110497237</c:v>
                </c:pt>
                <c:pt idx="11">
                  <c:v>10.281967213114754</c:v>
                </c:pt>
                <c:pt idx="12">
                  <c:v>10.116129032258064</c:v>
                </c:pt>
                <c:pt idx="13">
                  <c:v>9.9555555555555557</c:v>
                </c:pt>
                <c:pt idx="14">
                  <c:v>9.9031578947368413</c:v>
                </c:pt>
              </c:numCache>
            </c:numRef>
          </c:val>
        </c:ser>
        <c:ser>
          <c:idx val="14"/>
          <c:order val="14"/>
          <c:tx>
            <c:strRef>
              <c:f>'Fuel - 20 Cell'!$AK$5</c:f>
              <c:strCache>
                <c:ptCount val="1"/>
                <c:pt idx="0">
                  <c:v>200</c:v>
                </c:pt>
              </c:strCache>
            </c:strRef>
          </c:tx>
          <c:spPr>
            <a:solidFill>
              <a:srgbClr val="00808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Cell'!$AK$6:$AK$20</c:f>
              <c:numCache>
                <c:formatCode>0.00</c:formatCode>
                <c:ptCount val="15"/>
                <c:pt idx="0">
                  <c:v>11.614814814814814</c:v>
                </c:pt>
                <c:pt idx="1">
                  <c:v>11.984713375796177</c:v>
                </c:pt>
                <c:pt idx="2">
                  <c:v>12.298039215686273</c:v>
                </c:pt>
                <c:pt idx="3">
                  <c:v>12.460927152317881</c:v>
                </c:pt>
                <c:pt idx="4">
                  <c:v>12.218181818181817</c:v>
                </c:pt>
                <c:pt idx="5">
                  <c:v>11.334939759036144</c:v>
                </c:pt>
                <c:pt idx="6">
                  <c:v>10.813793103448276</c:v>
                </c:pt>
                <c:pt idx="7">
                  <c:v>10.69090909090909</c:v>
                </c:pt>
                <c:pt idx="8">
                  <c:v>10.630508474576271</c:v>
                </c:pt>
                <c:pt idx="9">
                  <c:v>10.453333333333333</c:v>
                </c:pt>
                <c:pt idx="10">
                  <c:v>10.226086956521739</c:v>
                </c:pt>
                <c:pt idx="11">
                  <c:v>10.008510638297873</c:v>
                </c:pt>
                <c:pt idx="12">
                  <c:v>9.9031578947368413</c:v>
                </c:pt>
                <c:pt idx="13">
                  <c:v>9.6989690721649477</c:v>
                </c:pt>
                <c:pt idx="14">
                  <c:v>9.6492307692307691</c:v>
                </c:pt>
              </c:numCache>
            </c:numRef>
          </c:val>
        </c:ser>
        <c:ser>
          <c:idx val="15"/>
          <c:order val="15"/>
          <c:tx>
            <c:strRef>
              <c:f>'Fuel - 20 Cell'!$AL$5</c:f>
              <c:strCache>
                <c:ptCount val="1"/>
                <c:pt idx="0">
                  <c:v>220</c:v>
                </c:pt>
              </c:strCache>
            </c:strRef>
          </c:tx>
          <c:spPr>
            <a:solidFill>
              <a:srgbClr val="0000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Cell'!$AL$6:$AL$20</c:f>
              <c:numCache>
                <c:formatCode>0.00</c:formatCode>
                <c:ptCount val="15"/>
                <c:pt idx="0">
                  <c:v>11.403636363636362</c:v>
                </c:pt>
                <c:pt idx="1">
                  <c:v>11.76</c:v>
                </c:pt>
                <c:pt idx="2">
                  <c:v>12.061538461538461</c:v>
                </c:pt>
                <c:pt idx="3">
                  <c:v>12.218181818181817</c:v>
                </c:pt>
                <c:pt idx="4">
                  <c:v>11.984713375796177</c:v>
                </c:pt>
                <c:pt idx="5">
                  <c:v>11.2</c:v>
                </c:pt>
                <c:pt idx="6">
                  <c:v>10.751999999999999</c:v>
                </c:pt>
                <c:pt idx="7">
                  <c:v>10.570786516853932</c:v>
                </c:pt>
                <c:pt idx="8">
                  <c:v>10.511731843575419</c:v>
                </c:pt>
                <c:pt idx="9">
                  <c:v>10.338461538461537</c:v>
                </c:pt>
                <c:pt idx="10">
                  <c:v>10.062032085561496</c:v>
                </c:pt>
                <c:pt idx="11">
                  <c:v>9.8513089005235592</c:v>
                </c:pt>
                <c:pt idx="12">
                  <c:v>9.7492227979274606</c:v>
                </c:pt>
                <c:pt idx="13">
                  <c:v>9.6492307692307691</c:v>
                </c:pt>
                <c:pt idx="14">
                  <c:v>9.6</c:v>
                </c:pt>
              </c:numCache>
            </c:numRef>
          </c:val>
        </c:ser>
        <c:ser>
          <c:idx val="16"/>
          <c:order val="16"/>
          <c:tx>
            <c:strRef>
              <c:f>'Fuel - 20 Cell'!$AM$5</c:f>
              <c:strCache>
                <c:ptCount val="1"/>
                <c:pt idx="0">
                  <c:v>240</c:v>
                </c:pt>
              </c:strCache>
            </c:strRef>
          </c:tx>
          <c:spPr>
            <a:solidFill>
              <a:srgbClr val="00CC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Cell'!$AM$6:$AM$20</c:f>
              <c:numCache>
                <c:formatCode>0.00</c:formatCode>
                <c:ptCount val="15"/>
                <c:pt idx="0">
                  <c:v>11.2</c:v>
                </c:pt>
                <c:pt idx="1">
                  <c:v>11.543558282208588</c:v>
                </c:pt>
                <c:pt idx="2">
                  <c:v>11.833962264150943</c:v>
                </c:pt>
                <c:pt idx="3">
                  <c:v>11.984713375796177</c:v>
                </c:pt>
                <c:pt idx="4">
                  <c:v>11.76</c:v>
                </c:pt>
                <c:pt idx="5">
                  <c:v>11.003508771929823</c:v>
                </c:pt>
                <c:pt idx="6">
                  <c:v>10.570786516853932</c:v>
                </c:pt>
                <c:pt idx="7">
                  <c:v>10.453333333333333</c:v>
                </c:pt>
                <c:pt idx="8">
                  <c:v>10.338461538461537</c:v>
                </c:pt>
                <c:pt idx="9">
                  <c:v>10.17081081081081</c:v>
                </c:pt>
                <c:pt idx="10">
                  <c:v>9.9031578947368413</c:v>
                </c:pt>
                <c:pt idx="11">
                  <c:v>9.7492227979274606</c:v>
                </c:pt>
                <c:pt idx="12">
                  <c:v>9.6492307692307691</c:v>
                </c:pt>
                <c:pt idx="13">
                  <c:v>9.6</c:v>
                </c:pt>
                <c:pt idx="14">
                  <c:v>9.6</c:v>
                </c:pt>
              </c:numCache>
            </c:numRef>
          </c:val>
        </c:ser>
        <c:ser>
          <c:idx val="17"/>
          <c:order val="17"/>
          <c:tx>
            <c:strRef>
              <c:f>'Fuel - 20 Cell'!$AN$5</c:f>
              <c:strCache>
                <c:ptCount val="1"/>
                <c:pt idx="0">
                  <c:v>260</c:v>
                </c:pt>
              </c:strCache>
            </c:strRef>
          </c:tx>
          <c:spPr>
            <a:solidFill>
              <a:srgbClr val="CCFF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Cell'!$AN$6:$AN$20</c:f>
              <c:numCache>
                <c:formatCode>0.00</c:formatCode>
                <c:ptCount val="15"/>
                <c:pt idx="0">
                  <c:v>11.003508771929823</c:v>
                </c:pt>
                <c:pt idx="1">
                  <c:v>11.403636363636362</c:v>
                </c:pt>
                <c:pt idx="2">
                  <c:v>11.614814814814814</c:v>
                </c:pt>
                <c:pt idx="3">
                  <c:v>11.76</c:v>
                </c:pt>
                <c:pt idx="4">
                  <c:v>11.614814814814814</c:v>
                </c:pt>
                <c:pt idx="5">
                  <c:v>10.876300578034682</c:v>
                </c:pt>
                <c:pt idx="6">
                  <c:v>10.511731843575419</c:v>
                </c:pt>
                <c:pt idx="7">
                  <c:v>10.338461538461537</c:v>
                </c:pt>
                <c:pt idx="8">
                  <c:v>10.226086956521739</c:v>
                </c:pt>
                <c:pt idx="9">
                  <c:v>10.062032085561496</c:v>
                </c:pt>
                <c:pt idx="10">
                  <c:v>9.8513089005235592</c:v>
                </c:pt>
                <c:pt idx="11">
                  <c:v>9.6492307692307691</c:v>
                </c:pt>
                <c:pt idx="12">
                  <c:v>9.6</c:v>
                </c:pt>
                <c:pt idx="13">
                  <c:v>9.6</c:v>
                </c:pt>
                <c:pt idx="14">
                  <c:v>9.6</c:v>
                </c:pt>
              </c:numCache>
            </c:numRef>
          </c:val>
        </c:ser>
        <c:ser>
          <c:idx val="18"/>
          <c:order val="18"/>
          <c:tx>
            <c:strRef>
              <c:f>'Fuel - 20 Cell'!$AO$5</c:f>
              <c:strCache>
                <c:ptCount val="1"/>
                <c:pt idx="0">
                  <c:v>280</c:v>
                </c:pt>
              </c:strCache>
            </c:strRef>
          </c:tx>
          <c:spPr>
            <a:solidFill>
              <a:srgbClr val="CCFFCC"/>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Cell'!$AO$6:$AO$20</c:f>
              <c:numCache>
                <c:formatCode>0.00</c:formatCode>
                <c:ptCount val="15"/>
                <c:pt idx="0">
                  <c:v>11.003508771929823</c:v>
                </c:pt>
                <c:pt idx="1">
                  <c:v>11.334939759036144</c:v>
                </c:pt>
                <c:pt idx="2">
                  <c:v>11.614814814814814</c:v>
                </c:pt>
                <c:pt idx="3">
                  <c:v>11.76</c:v>
                </c:pt>
                <c:pt idx="4">
                  <c:v>11.543558282208588</c:v>
                </c:pt>
                <c:pt idx="5">
                  <c:v>10.876300578034682</c:v>
                </c:pt>
                <c:pt idx="6">
                  <c:v>10.453333333333333</c:v>
                </c:pt>
                <c:pt idx="7">
                  <c:v>10.281967213114754</c:v>
                </c:pt>
                <c:pt idx="8">
                  <c:v>10.17081081081081</c:v>
                </c:pt>
                <c:pt idx="9">
                  <c:v>10.062032085561496</c:v>
                </c:pt>
                <c:pt idx="10">
                  <c:v>9.7999999999999989</c:v>
                </c:pt>
                <c:pt idx="11">
                  <c:v>9.6492307692307691</c:v>
                </c:pt>
                <c:pt idx="12">
                  <c:v>9.6</c:v>
                </c:pt>
                <c:pt idx="13">
                  <c:v>9.6</c:v>
                </c:pt>
                <c:pt idx="14">
                  <c:v>9.6</c:v>
                </c:pt>
              </c:numCache>
            </c:numRef>
          </c:val>
        </c:ser>
        <c:ser>
          <c:idx val="19"/>
          <c:order val="19"/>
          <c:tx>
            <c:strRef>
              <c:f>'Fuel - 20 Cell'!$AP$5</c:f>
              <c:strCache>
                <c:ptCount val="1"/>
                <c:pt idx="0">
                  <c:v>300</c:v>
                </c:pt>
              </c:strCache>
            </c:strRef>
          </c:tx>
          <c:spPr>
            <a:solidFill>
              <a:srgbClr val="FFFF99"/>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Cell'!$AP$6:$AP$20</c:f>
              <c:numCache>
                <c:formatCode>0.00</c:formatCode>
                <c:ptCount val="15"/>
                <c:pt idx="0">
                  <c:v>10.939534883720929</c:v>
                </c:pt>
                <c:pt idx="1">
                  <c:v>11.334939759036144</c:v>
                </c:pt>
                <c:pt idx="2">
                  <c:v>11.614814814814814</c:v>
                </c:pt>
                <c:pt idx="3">
                  <c:v>11.76</c:v>
                </c:pt>
                <c:pt idx="4">
                  <c:v>11.614814814814814</c:v>
                </c:pt>
                <c:pt idx="5">
                  <c:v>10.813793103448276</c:v>
                </c:pt>
                <c:pt idx="6">
                  <c:v>10.453333333333333</c:v>
                </c:pt>
                <c:pt idx="7">
                  <c:v>10.281967213114754</c:v>
                </c:pt>
                <c:pt idx="8">
                  <c:v>10.17081081081081</c:v>
                </c:pt>
                <c:pt idx="9">
                  <c:v>10.062032085561496</c:v>
                </c:pt>
                <c:pt idx="10">
                  <c:v>9.7999999999999989</c:v>
                </c:pt>
                <c:pt idx="11">
                  <c:v>9.6492307692307691</c:v>
                </c:pt>
                <c:pt idx="12">
                  <c:v>9.6</c:v>
                </c:pt>
                <c:pt idx="13">
                  <c:v>9.6</c:v>
                </c:pt>
                <c:pt idx="14">
                  <c:v>9.6</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s>
        <c:axId val="85248256"/>
        <c:axId val="85258624"/>
        <c:axId val="85389312"/>
      </c:surface3DChart>
      <c:catAx>
        <c:axId val="85248256"/>
        <c:scaling>
          <c:orientation val="maxMin"/>
        </c:scaling>
        <c:axPos val="b"/>
        <c:title>
          <c:tx>
            <c:rich>
              <a:bodyPr rot="5400000" vert="horz"/>
              <a:lstStyle/>
              <a:p>
                <a:pPr algn="ctr">
                  <a:defRPr sz="1000" b="1" i="0" u="none" strike="noStrike" baseline="0">
                    <a:solidFill>
                      <a:srgbClr val="000000"/>
                    </a:solidFill>
                    <a:latin typeface="Arial"/>
                    <a:ea typeface="Arial"/>
                    <a:cs typeface="Arial"/>
                  </a:defRPr>
                </a:pPr>
                <a:r>
                  <a:rPr lang="en-US"/>
                  <a:t>RPM</a:t>
                </a:r>
              </a:p>
            </c:rich>
          </c:tx>
          <c:layout>
            <c:manualLayout>
              <c:xMode val="edge"/>
              <c:yMode val="edge"/>
              <c:x val="0.93771477663230263"/>
              <c:y val="0.41331550063419115"/>
            </c:manualLayout>
          </c:layout>
          <c:spPr>
            <a:noFill/>
            <a:ln w="25400">
              <a:noFill/>
            </a:ln>
          </c:spPr>
        </c:title>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5258624"/>
        <c:crosses val="autoZero"/>
        <c:auto val="1"/>
        <c:lblAlgn val="ctr"/>
        <c:lblOffset val="100"/>
        <c:tickLblSkip val="1"/>
        <c:tickMarkSkip val="1"/>
        <c:noMultiLvlLbl val="1"/>
      </c:catAx>
      <c:valAx>
        <c:axId val="85258624"/>
        <c:scaling>
          <c:orientation val="minMax"/>
          <c:max val="18"/>
          <c:min val="8"/>
        </c:scaling>
        <c:axPos val="r"/>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5248256"/>
        <c:crosses val="autoZero"/>
        <c:crossBetween val="midCat"/>
        <c:majorUnit val="0.25"/>
        <c:minorUnit val="0.1"/>
      </c:valAx>
      <c:serAx>
        <c:axId val="85389312"/>
        <c:scaling>
          <c:orientation val="maxMin"/>
        </c:scaling>
        <c:axPos val="b"/>
        <c:title>
          <c:tx>
            <c:rich>
              <a:bodyPr/>
              <a:lstStyle/>
              <a:p>
                <a:pPr>
                  <a:defRPr sz="1000" b="1" i="0" u="none" strike="noStrike" baseline="0">
                    <a:solidFill>
                      <a:srgbClr val="000000"/>
                    </a:solidFill>
                    <a:latin typeface="Arial"/>
                    <a:ea typeface="Arial"/>
                    <a:cs typeface="Arial"/>
                  </a:defRPr>
                </a:pPr>
                <a:r>
                  <a:rPr lang="en-US"/>
                  <a:t>Load</a:t>
                </a:r>
              </a:p>
            </c:rich>
          </c:tx>
          <c:layout>
            <c:manualLayout>
              <c:xMode val="edge"/>
              <c:yMode val="edge"/>
              <c:x val="0.4536092621154314"/>
              <c:y val="0.90037611925303596"/>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5258624"/>
        <c:crosses val="autoZero"/>
        <c:tickLblSkip val="3"/>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view3D>
      <c:rotX val="5"/>
      <c:hPercent val="100"/>
      <c:rotY val="358"/>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0.12727658135491568"/>
          <c:y val="1.055285561884358E-2"/>
          <c:w val="0.73488391321447044"/>
          <c:h val="0.8508239842692632"/>
        </c:manualLayout>
      </c:layout>
      <c:surface3DChart>
        <c:ser>
          <c:idx val="0"/>
          <c:order val="0"/>
          <c:tx>
            <c:strRef>
              <c:f>'Fuel - 20 Cell'!$W$5</c:f>
              <c:strCache>
                <c:ptCount val="1"/>
                <c:pt idx="0">
                  <c:v>10</c:v>
                </c:pt>
              </c:strCache>
            </c:strRef>
          </c:tx>
          <c:spPr>
            <a:solidFill>
              <a:srgbClr val="9999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Cell'!$W$6:$W$20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14.7</c:v>
                </c:pt>
                <c:pt idx="11">
                  <c:v>14.363358778625953</c:v>
                </c:pt>
                <c:pt idx="12">
                  <c:v>14.147368421052631</c:v>
                </c:pt>
                <c:pt idx="13">
                  <c:v>14.041791044776119</c:v>
                </c:pt>
                <c:pt idx="14">
                  <c:v>14.041791044776119</c:v>
                </c:pt>
              </c:numCache>
            </c:numRef>
          </c:val>
        </c:ser>
        <c:ser>
          <c:idx val="1"/>
          <c:order val="1"/>
          <c:tx>
            <c:strRef>
              <c:f>'Fuel - 20 Cell'!$X$5</c:f>
              <c:strCache>
                <c:ptCount val="1"/>
                <c:pt idx="0">
                  <c:v>20</c:v>
                </c:pt>
              </c:strCache>
            </c:strRef>
          </c:tx>
          <c:spPr>
            <a:solidFill>
              <a:srgbClr val="993366"/>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Cell'!$X$6:$X$20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14.7</c:v>
                </c:pt>
                <c:pt idx="11">
                  <c:v>14.363358778625953</c:v>
                </c:pt>
                <c:pt idx="12">
                  <c:v>14.147368421052631</c:v>
                </c:pt>
                <c:pt idx="13">
                  <c:v>14.041791044776119</c:v>
                </c:pt>
                <c:pt idx="14">
                  <c:v>14.041791044776119</c:v>
                </c:pt>
              </c:numCache>
            </c:numRef>
          </c:val>
        </c:ser>
        <c:ser>
          <c:idx val="2"/>
          <c:order val="2"/>
          <c:tx>
            <c:strRef>
              <c:f>'Fuel - 20 Cell'!$Y$5</c:f>
              <c:strCache>
                <c:ptCount val="1"/>
                <c:pt idx="0">
                  <c:v>30</c:v>
                </c:pt>
              </c:strCache>
            </c:strRef>
          </c:tx>
          <c:spPr>
            <a:solidFill>
              <a:srgbClr val="FFFFCC"/>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Cell'!$Y$6:$Y$20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14.7</c:v>
                </c:pt>
                <c:pt idx="11">
                  <c:v>14.363358778625953</c:v>
                </c:pt>
                <c:pt idx="12">
                  <c:v>14.041791044776119</c:v>
                </c:pt>
                <c:pt idx="13">
                  <c:v>13.937777777777777</c:v>
                </c:pt>
                <c:pt idx="14">
                  <c:v>13.937777777777777</c:v>
                </c:pt>
              </c:numCache>
            </c:numRef>
          </c:val>
        </c:ser>
        <c:ser>
          <c:idx val="3"/>
          <c:order val="3"/>
          <c:tx>
            <c:strRef>
              <c:f>'Fuel - 20 Cell'!$Z$5</c:f>
              <c:strCache>
                <c:ptCount val="1"/>
                <c:pt idx="0">
                  <c:v>40</c:v>
                </c:pt>
              </c:strCache>
            </c:strRef>
          </c:tx>
          <c:spPr>
            <a:solidFill>
              <a:srgbClr val="CCFF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Cell'!$Z$6:$Z$20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14.7</c:v>
                </c:pt>
                <c:pt idx="11">
                  <c:v>14.254545454545454</c:v>
                </c:pt>
                <c:pt idx="12">
                  <c:v>13.734306569343065</c:v>
                </c:pt>
                <c:pt idx="13">
                  <c:v>13.536690647482013</c:v>
                </c:pt>
                <c:pt idx="14">
                  <c:v>13.44</c:v>
                </c:pt>
              </c:numCache>
            </c:numRef>
          </c:val>
        </c:ser>
        <c:ser>
          <c:idx val="4"/>
          <c:order val="4"/>
          <c:tx>
            <c:strRef>
              <c:f>'Fuel - 20 Cell'!$AA$5</c:f>
              <c:strCache>
                <c:ptCount val="1"/>
                <c:pt idx="0">
                  <c:v>50</c:v>
                </c:pt>
              </c:strCache>
            </c:strRef>
          </c:tx>
          <c:spPr>
            <a:solidFill>
              <a:srgbClr val="660066"/>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Cell'!$AA$6:$AA$20</c:f>
              <c:numCache>
                <c:formatCode>0.00</c:formatCode>
                <c:ptCount val="15"/>
                <c:pt idx="0">
                  <c:v>13.34468085106383</c:v>
                </c:pt>
                <c:pt idx="1">
                  <c:v>14.7</c:v>
                </c:pt>
                <c:pt idx="2">
                  <c:v>14.7</c:v>
                </c:pt>
                <c:pt idx="3">
                  <c:v>14.7</c:v>
                </c:pt>
                <c:pt idx="4">
                  <c:v>14.7</c:v>
                </c:pt>
                <c:pt idx="5">
                  <c:v>14.7</c:v>
                </c:pt>
                <c:pt idx="6">
                  <c:v>14.7</c:v>
                </c:pt>
                <c:pt idx="7">
                  <c:v>14.7</c:v>
                </c:pt>
                <c:pt idx="8">
                  <c:v>14.7</c:v>
                </c:pt>
                <c:pt idx="9">
                  <c:v>14.7</c:v>
                </c:pt>
                <c:pt idx="10">
                  <c:v>14.363358778625953</c:v>
                </c:pt>
                <c:pt idx="11">
                  <c:v>13.835294117647058</c:v>
                </c:pt>
                <c:pt idx="12">
                  <c:v>13.250704225352113</c:v>
                </c:pt>
                <c:pt idx="13">
                  <c:v>12.976551724137931</c:v>
                </c:pt>
                <c:pt idx="14">
                  <c:v>12.887671232876711</c:v>
                </c:pt>
              </c:numCache>
            </c:numRef>
          </c:val>
        </c:ser>
        <c:ser>
          <c:idx val="5"/>
          <c:order val="5"/>
          <c:tx>
            <c:strRef>
              <c:f>'Fuel - 20 Cell'!$AB$5</c:f>
              <c:strCache>
                <c:ptCount val="1"/>
                <c:pt idx="0">
                  <c:v>60</c:v>
                </c:pt>
              </c:strCache>
            </c:strRef>
          </c:tx>
          <c:spPr>
            <a:solidFill>
              <a:srgbClr val="FF808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Cell'!$AB$6:$AB$20</c:f>
              <c:numCache>
                <c:formatCode>0.00</c:formatCode>
                <c:ptCount val="15"/>
                <c:pt idx="0">
                  <c:v>13.34468085106383</c:v>
                </c:pt>
                <c:pt idx="1">
                  <c:v>14.7</c:v>
                </c:pt>
                <c:pt idx="2">
                  <c:v>14.7</c:v>
                </c:pt>
                <c:pt idx="3">
                  <c:v>14.7</c:v>
                </c:pt>
                <c:pt idx="4">
                  <c:v>14.7</c:v>
                </c:pt>
                <c:pt idx="5">
                  <c:v>14.7</c:v>
                </c:pt>
                <c:pt idx="6">
                  <c:v>14.7</c:v>
                </c:pt>
                <c:pt idx="7">
                  <c:v>14.7</c:v>
                </c:pt>
                <c:pt idx="8">
                  <c:v>14.7</c:v>
                </c:pt>
                <c:pt idx="9">
                  <c:v>14.363358778625953</c:v>
                </c:pt>
                <c:pt idx="10">
                  <c:v>13.937777777777777</c:v>
                </c:pt>
                <c:pt idx="11">
                  <c:v>13.34468085106383</c:v>
                </c:pt>
                <c:pt idx="12">
                  <c:v>12.713513513513513</c:v>
                </c:pt>
                <c:pt idx="13">
                  <c:v>12.298039215686273</c:v>
                </c:pt>
                <c:pt idx="14">
                  <c:v>12.218181818181817</c:v>
                </c:pt>
              </c:numCache>
            </c:numRef>
          </c:val>
        </c:ser>
        <c:ser>
          <c:idx val="6"/>
          <c:order val="6"/>
          <c:tx>
            <c:strRef>
              <c:f>'Fuel - 20 Cell'!$AC$5</c:f>
              <c:strCache>
                <c:ptCount val="1"/>
                <c:pt idx="0">
                  <c:v>70</c:v>
                </c:pt>
              </c:strCache>
            </c:strRef>
          </c:tx>
          <c:spPr>
            <a:solidFill>
              <a:srgbClr val="0066CC"/>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Cell'!$AC$6:$AC$20</c:f>
              <c:numCache>
                <c:formatCode>0.00</c:formatCode>
                <c:ptCount val="15"/>
                <c:pt idx="0">
                  <c:v>13.734306569343065</c:v>
                </c:pt>
                <c:pt idx="1">
                  <c:v>14.363358778625953</c:v>
                </c:pt>
                <c:pt idx="2">
                  <c:v>14.7</c:v>
                </c:pt>
                <c:pt idx="3">
                  <c:v>14.7</c:v>
                </c:pt>
                <c:pt idx="4">
                  <c:v>14.7</c:v>
                </c:pt>
                <c:pt idx="5">
                  <c:v>14.7</c:v>
                </c:pt>
                <c:pt idx="6">
                  <c:v>14.7</c:v>
                </c:pt>
                <c:pt idx="7">
                  <c:v>14.586046511627906</c:v>
                </c:pt>
                <c:pt idx="8">
                  <c:v>14.254545454545454</c:v>
                </c:pt>
                <c:pt idx="9">
                  <c:v>13.937777777777777</c:v>
                </c:pt>
                <c:pt idx="10">
                  <c:v>13.44</c:v>
                </c:pt>
                <c:pt idx="11">
                  <c:v>12.713513513513513</c:v>
                </c:pt>
                <c:pt idx="12">
                  <c:v>12.139354838709677</c:v>
                </c:pt>
                <c:pt idx="13">
                  <c:v>11.76</c:v>
                </c:pt>
                <c:pt idx="14">
                  <c:v>11.68695652173913</c:v>
                </c:pt>
              </c:numCache>
            </c:numRef>
          </c:val>
        </c:ser>
        <c:ser>
          <c:idx val="7"/>
          <c:order val="7"/>
          <c:tx>
            <c:strRef>
              <c:f>'Fuel - 20 Cell'!$AD$5</c:f>
              <c:strCache>
                <c:ptCount val="1"/>
                <c:pt idx="0">
                  <c:v>80</c:v>
                </c:pt>
              </c:strCache>
            </c:strRef>
          </c:tx>
          <c:spPr>
            <a:solidFill>
              <a:srgbClr val="CCCC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Cell'!$AD$6:$AD$20</c:f>
              <c:numCache>
                <c:formatCode>0.00</c:formatCode>
                <c:ptCount val="15"/>
                <c:pt idx="0">
                  <c:v>13.536690647482013</c:v>
                </c:pt>
                <c:pt idx="1">
                  <c:v>14.147368421052631</c:v>
                </c:pt>
                <c:pt idx="2">
                  <c:v>14.473846153846154</c:v>
                </c:pt>
                <c:pt idx="3">
                  <c:v>14.586046511627906</c:v>
                </c:pt>
                <c:pt idx="4">
                  <c:v>14.586046511627906</c:v>
                </c:pt>
                <c:pt idx="5">
                  <c:v>14.586046511627906</c:v>
                </c:pt>
                <c:pt idx="6">
                  <c:v>14.586046511627906</c:v>
                </c:pt>
                <c:pt idx="7">
                  <c:v>14.363358778625953</c:v>
                </c:pt>
                <c:pt idx="8">
                  <c:v>13.835294117647058</c:v>
                </c:pt>
                <c:pt idx="9">
                  <c:v>13.34468085106383</c:v>
                </c:pt>
                <c:pt idx="10">
                  <c:v>12.799999999999999</c:v>
                </c:pt>
                <c:pt idx="11">
                  <c:v>12.061538461538461</c:v>
                </c:pt>
                <c:pt idx="12">
                  <c:v>11.614814814814814</c:v>
                </c:pt>
                <c:pt idx="13">
                  <c:v>11.473170731707317</c:v>
                </c:pt>
                <c:pt idx="14">
                  <c:v>11.403636363636362</c:v>
                </c:pt>
              </c:numCache>
            </c:numRef>
          </c:val>
        </c:ser>
        <c:ser>
          <c:idx val="8"/>
          <c:order val="8"/>
          <c:tx>
            <c:strRef>
              <c:f>'Fuel - 20 Cell'!$AE$5</c:f>
              <c:strCache>
                <c:ptCount val="1"/>
                <c:pt idx="0">
                  <c:v>90</c:v>
                </c:pt>
              </c:strCache>
            </c:strRef>
          </c:tx>
          <c:spPr>
            <a:solidFill>
              <a:srgbClr val="00008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Cell'!$AE$6:$AE$20</c:f>
              <c:numCache>
                <c:formatCode>0.00</c:formatCode>
                <c:ptCount val="15"/>
                <c:pt idx="0">
                  <c:v>12.976551724137931</c:v>
                </c:pt>
                <c:pt idx="1">
                  <c:v>13.536690647482013</c:v>
                </c:pt>
                <c:pt idx="2">
                  <c:v>14.147368421052631</c:v>
                </c:pt>
                <c:pt idx="3">
                  <c:v>14.254545454545454</c:v>
                </c:pt>
                <c:pt idx="4">
                  <c:v>14.363358778625953</c:v>
                </c:pt>
                <c:pt idx="5">
                  <c:v>14.363358778625953</c:v>
                </c:pt>
                <c:pt idx="6">
                  <c:v>14.363358778625953</c:v>
                </c:pt>
                <c:pt idx="7">
                  <c:v>14.041791044776119</c:v>
                </c:pt>
                <c:pt idx="8">
                  <c:v>13.44</c:v>
                </c:pt>
                <c:pt idx="9">
                  <c:v>12.799999999999999</c:v>
                </c:pt>
                <c:pt idx="10">
                  <c:v>12.218181818181817</c:v>
                </c:pt>
                <c:pt idx="11">
                  <c:v>11.76</c:v>
                </c:pt>
                <c:pt idx="12">
                  <c:v>11.473170731707317</c:v>
                </c:pt>
                <c:pt idx="13">
                  <c:v>11.334939759036144</c:v>
                </c:pt>
                <c:pt idx="14">
                  <c:v>11.267065868263472</c:v>
                </c:pt>
              </c:numCache>
            </c:numRef>
          </c:val>
        </c:ser>
        <c:ser>
          <c:idx val="9"/>
          <c:order val="9"/>
          <c:tx>
            <c:strRef>
              <c:f>'Fuel - 20 Cell'!$AF$5</c:f>
              <c:strCache>
                <c:ptCount val="1"/>
                <c:pt idx="0">
                  <c:v>100</c:v>
                </c:pt>
              </c:strCache>
            </c:strRef>
          </c:tx>
          <c:spPr>
            <a:solidFill>
              <a:srgbClr val="FF00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Cell'!$AF$6:$AF$20</c:f>
              <c:numCache>
                <c:formatCode>0.00</c:formatCode>
                <c:ptCount val="15"/>
                <c:pt idx="0">
                  <c:v>12.713513513513513</c:v>
                </c:pt>
                <c:pt idx="1">
                  <c:v>13.250704225352113</c:v>
                </c:pt>
                <c:pt idx="2">
                  <c:v>13.734306569343065</c:v>
                </c:pt>
                <c:pt idx="3">
                  <c:v>13.835294117647058</c:v>
                </c:pt>
                <c:pt idx="4">
                  <c:v>14.041791044776119</c:v>
                </c:pt>
                <c:pt idx="5">
                  <c:v>14.147368421052631</c:v>
                </c:pt>
                <c:pt idx="6">
                  <c:v>13.937777777777777</c:v>
                </c:pt>
                <c:pt idx="7">
                  <c:v>13.44</c:v>
                </c:pt>
                <c:pt idx="8">
                  <c:v>12.799999999999999</c:v>
                </c:pt>
                <c:pt idx="9">
                  <c:v>12.298039215686273</c:v>
                </c:pt>
                <c:pt idx="10">
                  <c:v>11.90886075949367</c:v>
                </c:pt>
                <c:pt idx="11">
                  <c:v>11.543558282208588</c:v>
                </c:pt>
                <c:pt idx="12">
                  <c:v>11.334939759036144</c:v>
                </c:pt>
                <c:pt idx="13">
                  <c:v>11.2</c:v>
                </c:pt>
                <c:pt idx="14">
                  <c:v>11.133727810650887</c:v>
                </c:pt>
              </c:numCache>
            </c:numRef>
          </c:val>
        </c:ser>
        <c:ser>
          <c:idx val="10"/>
          <c:order val="10"/>
          <c:tx>
            <c:strRef>
              <c:f>'Fuel - 20 Cell'!$AG$5</c:f>
              <c:strCache>
                <c:ptCount val="1"/>
                <c:pt idx="0">
                  <c:v>120</c:v>
                </c:pt>
              </c:strCache>
            </c:strRef>
          </c:tx>
          <c:spPr>
            <a:solidFill>
              <a:srgbClr val="FFFF0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Cell'!$AG$6:$AG$20</c:f>
              <c:numCache>
                <c:formatCode>0.00</c:formatCode>
                <c:ptCount val="15"/>
                <c:pt idx="0">
                  <c:v>12.543999999999999</c:v>
                </c:pt>
                <c:pt idx="1">
                  <c:v>12.976551724137931</c:v>
                </c:pt>
                <c:pt idx="2">
                  <c:v>13.250704225352113</c:v>
                </c:pt>
                <c:pt idx="3">
                  <c:v>13.536690647482013</c:v>
                </c:pt>
                <c:pt idx="4">
                  <c:v>13.734306569343065</c:v>
                </c:pt>
                <c:pt idx="5">
                  <c:v>13.734306569343065</c:v>
                </c:pt>
                <c:pt idx="6">
                  <c:v>13.250704225352113</c:v>
                </c:pt>
                <c:pt idx="7">
                  <c:v>12.543999999999999</c:v>
                </c:pt>
                <c:pt idx="8">
                  <c:v>12.139354838709677</c:v>
                </c:pt>
                <c:pt idx="9">
                  <c:v>11.833962264150943</c:v>
                </c:pt>
                <c:pt idx="10">
                  <c:v>11.543558282208588</c:v>
                </c:pt>
                <c:pt idx="11">
                  <c:v>11.267065868263472</c:v>
                </c:pt>
                <c:pt idx="12">
                  <c:v>11.068235294117647</c:v>
                </c:pt>
                <c:pt idx="13">
                  <c:v>10.939534883720929</c:v>
                </c:pt>
                <c:pt idx="14">
                  <c:v>10.939534883720929</c:v>
                </c:pt>
              </c:numCache>
            </c:numRef>
          </c:val>
        </c:ser>
        <c:ser>
          <c:idx val="11"/>
          <c:order val="11"/>
          <c:tx>
            <c:strRef>
              <c:f>'Fuel - 20 Cell'!$AH$5</c:f>
              <c:strCache>
                <c:ptCount val="1"/>
                <c:pt idx="0">
                  <c:v>140</c:v>
                </c:pt>
              </c:strCache>
            </c:strRef>
          </c:tx>
          <c:spPr>
            <a:solidFill>
              <a:srgbClr val="00FF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Cell'!$AH$6:$AH$20</c:f>
              <c:numCache>
                <c:formatCode>0.00</c:formatCode>
                <c:ptCount val="15"/>
                <c:pt idx="0">
                  <c:v>12.298039215686273</c:v>
                </c:pt>
                <c:pt idx="1">
                  <c:v>12.628187919463087</c:v>
                </c:pt>
                <c:pt idx="2">
                  <c:v>12.976551724137931</c:v>
                </c:pt>
                <c:pt idx="3">
                  <c:v>13.158041958041958</c:v>
                </c:pt>
                <c:pt idx="4">
                  <c:v>13.250704225352113</c:v>
                </c:pt>
                <c:pt idx="5">
                  <c:v>12.976551724137931</c:v>
                </c:pt>
                <c:pt idx="6">
                  <c:v>12.298039215686273</c:v>
                </c:pt>
                <c:pt idx="7">
                  <c:v>11.76</c:v>
                </c:pt>
                <c:pt idx="8">
                  <c:v>11.543558282208588</c:v>
                </c:pt>
                <c:pt idx="9">
                  <c:v>11.334939759036144</c:v>
                </c:pt>
                <c:pt idx="10">
                  <c:v>11.068235294117647</c:v>
                </c:pt>
                <c:pt idx="11">
                  <c:v>10.876300578034682</c:v>
                </c:pt>
                <c:pt idx="12">
                  <c:v>10.69090909090909</c:v>
                </c:pt>
                <c:pt idx="13">
                  <c:v>10.630508474576271</c:v>
                </c:pt>
                <c:pt idx="14">
                  <c:v>10.570786516853932</c:v>
                </c:pt>
              </c:numCache>
            </c:numRef>
          </c:val>
        </c:ser>
        <c:ser>
          <c:idx val="12"/>
          <c:order val="12"/>
          <c:tx>
            <c:strRef>
              <c:f>'Fuel - 20 Cell'!$AI$5</c:f>
              <c:strCache>
                <c:ptCount val="1"/>
                <c:pt idx="0">
                  <c:v>160</c:v>
                </c:pt>
              </c:strCache>
            </c:strRef>
          </c:tx>
          <c:spPr>
            <a:solidFill>
              <a:srgbClr val="80008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Cell'!$AI$6:$AI$20</c:f>
              <c:numCache>
                <c:formatCode>0.00</c:formatCode>
                <c:ptCount val="15"/>
                <c:pt idx="0">
                  <c:v>12.061538461538461</c:v>
                </c:pt>
                <c:pt idx="1">
                  <c:v>12.460927152317881</c:v>
                </c:pt>
                <c:pt idx="2">
                  <c:v>12.713513513513513</c:v>
                </c:pt>
                <c:pt idx="3">
                  <c:v>12.887671232876711</c:v>
                </c:pt>
                <c:pt idx="4">
                  <c:v>12.799999999999999</c:v>
                </c:pt>
                <c:pt idx="5">
                  <c:v>12.061538461538461</c:v>
                </c:pt>
                <c:pt idx="6">
                  <c:v>11.543558282208588</c:v>
                </c:pt>
                <c:pt idx="7">
                  <c:v>11.267065868263472</c:v>
                </c:pt>
                <c:pt idx="8">
                  <c:v>11.068235294117647</c:v>
                </c:pt>
                <c:pt idx="9">
                  <c:v>10.939534883720929</c:v>
                </c:pt>
                <c:pt idx="10">
                  <c:v>10.69090909090909</c:v>
                </c:pt>
                <c:pt idx="11">
                  <c:v>10.570786516853932</c:v>
                </c:pt>
                <c:pt idx="12">
                  <c:v>10.395580110497237</c:v>
                </c:pt>
                <c:pt idx="13">
                  <c:v>10.281967213114754</c:v>
                </c:pt>
                <c:pt idx="14">
                  <c:v>10.281967213114754</c:v>
                </c:pt>
              </c:numCache>
            </c:numRef>
          </c:val>
        </c:ser>
        <c:ser>
          <c:idx val="13"/>
          <c:order val="13"/>
          <c:tx>
            <c:strRef>
              <c:f>'Fuel - 20 Cell'!$AJ$5</c:f>
              <c:strCache>
                <c:ptCount val="1"/>
                <c:pt idx="0">
                  <c:v>180</c:v>
                </c:pt>
              </c:strCache>
            </c:strRef>
          </c:tx>
          <c:spPr>
            <a:solidFill>
              <a:srgbClr val="80000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Cell'!$AJ$6:$AJ$20</c:f>
              <c:numCache>
                <c:formatCode>0.00</c:formatCode>
                <c:ptCount val="15"/>
                <c:pt idx="0">
                  <c:v>11.833962264150943</c:v>
                </c:pt>
                <c:pt idx="1">
                  <c:v>12.218181818181817</c:v>
                </c:pt>
                <c:pt idx="2">
                  <c:v>12.460927152317881</c:v>
                </c:pt>
                <c:pt idx="3">
                  <c:v>12.713513513513513</c:v>
                </c:pt>
                <c:pt idx="4">
                  <c:v>12.460927152317881</c:v>
                </c:pt>
                <c:pt idx="5">
                  <c:v>11.614814814814814</c:v>
                </c:pt>
                <c:pt idx="6">
                  <c:v>11.003508771929823</c:v>
                </c:pt>
                <c:pt idx="7">
                  <c:v>10.876300578034682</c:v>
                </c:pt>
                <c:pt idx="8">
                  <c:v>10.813793103448276</c:v>
                </c:pt>
                <c:pt idx="9">
                  <c:v>10.630508474576271</c:v>
                </c:pt>
                <c:pt idx="10">
                  <c:v>10.395580110497237</c:v>
                </c:pt>
                <c:pt idx="11">
                  <c:v>10.281967213114754</c:v>
                </c:pt>
                <c:pt idx="12">
                  <c:v>10.116129032258064</c:v>
                </c:pt>
                <c:pt idx="13">
                  <c:v>9.9555555555555557</c:v>
                </c:pt>
                <c:pt idx="14">
                  <c:v>9.9031578947368413</c:v>
                </c:pt>
              </c:numCache>
            </c:numRef>
          </c:val>
        </c:ser>
        <c:ser>
          <c:idx val="14"/>
          <c:order val="14"/>
          <c:tx>
            <c:strRef>
              <c:f>'Fuel - 20 Cell'!$AK$5</c:f>
              <c:strCache>
                <c:ptCount val="1"/>
                <c:pt idx="0">
                  <c:v>200</c:v>
                </c:pt>
              </c:strCache>
            </c:strRef>
          </c:tx>
          <c:spPr>
            <a:solidFill>
              <a:srgbClr val="008080"/>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Cell'!$AK$6:$AK$20</c:f>
              <c:numCache>
                <c:formatCode>0.00</c:formatCode>
                <c:ptCount val="15"/>
                <c:pt idx="0">
                  <c:v>11.614814814814814</c:v>
                </c:pt>
                <c:pt idx="1">
                  <c:v>11.984713375796177</c:v>
                </c:pt>
                <c:pt idx="2">
                  <c:v>12.298039215686273</c:v>
                </c:pt>
                <c:pt idx="3">
                  <c:v>12.460927152317881</c:v>
                </c:pt>
                <c:pt idx="4">
                  <c:v>12.218181818181817</c:v>
                </c:pt>
                <c:pt idx="5">
                  <c:v>11.334939759036144</c:v>
                </c:pt>
                <c:pt idx="6">
                  <c:v>10.813793103448276</c:v>
                </c:pt>
                <c:pt idx="7">
                  <c:v>10.69090909090909</c:v>
                </c:pt>
                <c:pt idx="8">
                  <c:v>10.630508474576271</c:v>
                </c:pt>
                <c:pt idx="9">
                  <c:v>10.453333333333333</c:v>
                </c:pt>
                <c:pt idx="10">
                  <c:v>10.226086956521739</c:v>
                </c:pt>
                <c:pt idx="11">
                  <c:v>10.008510638297873</c:v>
                </c:pt>
                <c:pt idx="12">
                  <c:v>9.9031578947368413</c:v>
                </c:pt>
                <c:pt idx="13">
                  <c:v>9.6989690721649477</c:v>
                </c:pt>
                <c:pt idx="14">
                  <c:v>9.6492307692307691</c:v>
                </c:pt>
              </c:numCache>
            </c:numRef>
          </c:val>
        </c:ser>
        <c:ser>
          <c:idx val="15"/>
          <c:order val="15"/>
          <c:tx>
            <c:strRef>
              <c:f>'Fuel - 20 Cell'!$AL$5</c:f>
              <c:strCache>
                <c:ptCount val="1"/>
                <c:pt idx="0">
                  <c:v>220</c:v>
                </c:pt>
              </c:strCache>
            </c:strRef>
          </c:tx>
          <c:spPr>
            <a:solidFill>
              <a:srgbClr val="0000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Cell'!$AL$6:$AL$20</c:f>
              <c:numCache>
                <c:formatCode>0.00</c:formatCode>
                <c:ptCount val="15"/>
                <c:pt idx="0">
                  <c:v>11.403636363636362</c:v>
                </c:pt>
                <c:pt idx="1">
                  <c:v>11.76</c:v>
                </c:pt>
                <c:pt idx="2">
                  <c:v>12.061538461538461</c:v>
                </c:pt>
                <c:pt idx="3">
                  <c:v>12.218181818181817</c:v>
                </c:pt>
                <c:pt idx="4">
                  <c:v>11.984713375796177</c:v>
                </c:pt>
                <c:pt idx="5">
                  <c:v>11.2</c:v>
                </c:pt>
                <c:pt idx="6">
                  <c:v>10.751999999999999</c:v>
                </c:pt>
                <c:pt idx="7">
                  <c:v>10.570786516853932</c:v>
                </c:pt>
                <c:pt idx="8">
                  <c:v>10.511731843575419</c:v>
                </c:pt>
                <c:pt idx="9">
                  <c:v>10.338461538461537</c:v>
                </c:pt>
                <c:pt idx="10">
                  <c:v>10.062032085561496</c:v>
                </c:pt>
                <c:pt idx="11">
                  <c:v>9.8513089005235592</c:v>
                </c:pt>
                <c:pt idx="12">
                  <c:v>9.7492227979274606</c:v>
                </c:pt>
                <c:pt idx="13">
                  <c:v>9.6492307692307691</c:v>
                </c:pt>
                <c:pt idx="14">
                  <c:v>9.6</c:v>
                </c:pt>
              </c:numCache>
            </c:numRef>
          </c:val>
        </c:ser>
        <c:ser>
          <c:idx val="16"/>
          <c:order val="16"/>
          <c:tx>
            <c:strRef>
              <c:f>'Fuel - 20 Cell'!$AM$5</c:f>
              <c:strCache>
                <c:ptCount val="1"/>
                <c:pt idx="0">
                  <c:v>240</c:v>
                </c:pt>
              </c:strCache>
            </c:strRef>
          </c:tx>
          <c:spPr>
            <a:solidFill>
              <a:srgbClr val="00CC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Cell'!$AM$6:$AM$20</c:f>
              <c:numCache>
                <c:formatCode>0.00</c:formatCode>
                <c:ptCount val="15"/>
                <c:pt idx="0">
                  <c:v>11.2</c:v>
                </c:pt>
                <c:pt idx="1">
                  <c:v>11.543558282208588</c:v>
                </c:pt>
                <c:pt idx="2">
                  <c:v>11.833962264150943</c:v>
                </c:pt>
                <c:pt idx="3">
                  <c:v>11.984713375796177</c:v>
                </c:pt>
                <c:pt idx="4">
                  <c:v>11.76</c:v>
                </c:pt>
                <c:pt idx="5">
                  <c:v>11.003508771929823</c:v>
                </c:pt>
                <c:pt idx="6">
                  <c:v>10.570786516853932</c:v>
                </c:pt>
                <c:pt idx="7">
                  <c:v>10.453333333333333</c:v>
                </c:pt>
                <c:pt idx="8">
                  <c:v>10.338461538461537</c:v>
                </c:pt>
                <c:pt idx="9">
                  <c:v>10.17081081081081</c:v>
                </c:pt>
                <c:pt idx="10">
                  <c:v>9.9031578947368413</c:v>
                </c:pt>
                <c:pt idx="11">
                  <c:v>9.7492227979274606</c:v>
                </c:pt>
                <c:pt idx="12">
                  <c:v>9.6492307692307691</c:v>
                </c:pt>
                <c:pt idx="13">
                  <c:v>9.6</c:v>
                </c:pt>
                <c:pt idx="14">
                  <c:v>9.6</c:v>
                </c:pt>
              </c:numCache>
            </c:numRef>
          </c:val>
        </c:ser>
        <c:ser>
          <c:idx val="17"/>
          <c:order val="17"/>
          <c:tx>
            <c:strRef>
              <c:f>'Fuel - 20 Cell'!$AN$5</c:f>
              <c:strCache>
                <c:ptCount val="1"/>
                <c:pt idx="0">
                  <c:v>260</c:v>
                </c:pt>
              </c:strCache>
            </c:strRef>
          </c:tx>
          <c:spPr>
            <a:solidFill>
              <a:srgbClr val="CCFFFF"/>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Cell'!$AN$6:$AN$20</c:f>
              <c:numCache>
                <c:formatCode>0.00</c:formatCode>
                <c:ptCount val="15"/>
                <c:pt idx="0">
                  <c:v>11.003508771929823</c:v>
                </c:pt>
                <c:pt idx="1">
                  <c:v>11.403636363636362</c:v>
                </c:pt>
                <c:pt idx="2">
                  <c:v>11.614814814814814</c:v>
                </c:pt>
                <c:pt idx="3">
                  <c:v>11.76</c:v>
                </c:pt>
                <c:pt idx="4">
                  <c:v>11.614814814814814</c:v>
                </c:pt>
                <c:pt idx="5">
                  <c:v>10.876300578034682</c:v>
                </c:pt>
                <c:pt idx="6">
                  <c:v>10.511731843575419</c:v>
                </c:pt>
                <c:pt idx="7">
                  <c:v>10.338461538461537</c:v>
                </c:pt>
                <c:pt idx="8">
                  <c:v>10.226086956521739</c:v>
                </c:pt>
                <c:pt idx="9">
                  <c:v>10.062032085561496</c:v>
                </c:pt>
                <c:pt idx="10">
                  <c:v>9.8513089005235592</c:v>
                </c:pt>
                <c:pt idx="11">
                  <c:v>9.6492307692307691</c:v>
                </c:pt>
                <c:pt idx="12">
                  <c:v>9.6</c:v>
                </c:pt>
                <c:pt idx="13">
                  <c:v>9.6</c:v>
                </c:pt>
                <c:pt idx="14">
                  <c:v>9.6</c:v>
                </c:pt>
              </c:numCache>
            </c:numRef>
          </c:val>
        </c:ser>
        <c:ser>
          <c:idx val="18"/>
          <c:order val="18"/>
          <c:tx>
            <c:strRef>
              <c:f>'Fuel - 20 Cell'!$AO$5</c:f>
              <c:strCache>
                <c:ptCount val="1"/>
                <c:pt idx="0">
                  <c:v>280</c:v>
                </c:pt>
              </c:strCache>
            </c:strRef>
          </c:tx>
          <c:spPr>
            <a:solidFill>
              <a:srgbClr val="CCFFCC"/>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Cell'!$AO$6:$AO$20</c:f>
              <c:numCache>
                <c:formatCode>0.00</c:formatCode>
                <c:ptCount val="15"/>
                <c:pt idx="0">
                  <c:v>11.003508771929823</c:v>
                </c:pt>
                <c:pt idx="1">
                  <c:v>11.334939759036144</c:v>
                </c:pt>
                <c:pt idx="2">
                  <c:v>11.614814814814814</c:v>
                </c:pt>
                <c:pt idx="3">
                  <c:v>11.76</c:v>
                </c:pt>
                <c:pt idx="4">
                  <c:v>11.543558282208588</c:v>
                </c:pt>
                <c:pt idx="5">
                  <c:v>10.876300578034682</c:v>
                </c:pt>
                <c:pt idx="6">
                  <c:v>10.453333333333333</c:v>
                </c:pt>
                <c:pt idx="7">
                  <c:v>10.281967213114754</c:v>
                </c:pt>
                <c:pt idx="8">
                  <c:v>10.17081081081081</c:v>
                </c:pt>
                <c:pt idx="9">
                  <c:v>10.062032085561496</c:v>
                </c:pt>
                <c:pt idx="10">
                  <c:v>9.7999999999999989</c:v>
                </c:pt>
                <c:pt idx="11">
                  <c:v>9.6492307692307691</c:v>
                </c:pt>
                <c:pt idx="12">
                  <c:v>9.6</c:v>
                </c:pt>
                <c:pt idx="13">
                  <c:v>9.6</c:v>
                </c:pt>
                <c:pt idx="14">
                  <c:v>9.6</c:v>
                </c:pt>
              </c:numCache>
            </c:numRef>
          </c:val>
        </c:ser>
        <c:ser>
          <c:idx val="19"/>
          <c:order val="19"/>
          <c:tx>
            <c:strRef>
              <c:f>'Fuel - 20 Cell'!$AP$5</c:f>
              <c:strCache>
                <c:ptCount val="1"/>
                <c:pt idx="0">
                  <c:v>300</c:v>
                </c:pt>
              </c:strCache>
            </c:strRef>
          </c:tx>
          <c:spPr>
            <a:solidFill>
              <a:srgbClr val="FFFF99"/>
            </a:solidFill>
            <a:ln w="12700">
              <a:solidFill>
                <a:srgbClr val="000000"/>
              </a:solidFill>
              <a:prstDash val="solid"/>
            </a:ln>
            <a:sp3d prstMaterial="flat"/>
          </c:spPr>
          <c:cat>
            <c:numRef>
              <c:f>'Fuel - 20 Cell'!$V$6:$V$20</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Cell'!$AP$6:$AP$20</c:f>
              <c:numCache>
                <c:formatCode>0.00</c:formatCode>
                <c:ptCount val="15"/>
                <c:pt idx="0">
                  <c:v>10.939534883720929</c:v>
                </c:pt>
                <c:pt idx="1">
                  <c:v>11.334939759036144</c:v>
                </c:pt>
                <c:pt idx="2">
                  <c:v>11.614814814814814</c:v>
                </c:pt>
                <c:pt idx="3">
                  <c:v>11.76</c:v>
                </c:pt>
                <c:pt idx="4">
                  <c:v>11.614814814814814</c:v>
                </c:pt>
                <c:pt idx="5">
                  <c:v>10.813793103448276</c:v>
                </c:pt>
                <c:pt idx="6">
                  <c:v>10.453333333333333</c:v>
                </c:pt>
                <c:pt idx="7">
                  <c:v>10.281967213114754</c:v>
                </c:pt>
                <c:pt idx="8">
                  <c:v>10.17081081081081</c:v>
                </c:pt>
                <c:pt idx="9">
                  <c:v>10.062032085561496</c:v>
                </c:pt>
                <c:pt idx="10">
                  <c:v>9.7999999999999989</c:v>
                </c:pt>
                <c:pt idx="11">
                  <c:v>9.6492307692307691</c:v>
                </c:pt>
                <c:pt idx="12">
                  <c:v>9.6</c:v>
                </c:pt>
                <c:pt idx="13">
                  <c:v>9.6</c:v>
                </c:pt>
                <c:pt idx="14">
                  <c:v>9.6</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85614976"/>
        <c:axId val="85616896"/>
        <c:axId val="85579968"/>
      </c:surface3DChart>
      <c:catAx>
        <c:axId val="85614976"/>
        <c:scaling>
          <c:orientation val="maxMin"/>
        </c:scaling>
        <c:axPos val="b"/>
        <c:title>
          <c:tx>
            <c:rich>
              <a:bodyPr/>
              <a:lstStyle/>
              <a:p>
                <a:pPr>
                  <a:defRPr sz="1200" b="1" i="0" u="none" strike="noStrike" baseline="0">
                    <a:solidFill>
                      <a:srgbClr val="000000"/>
                    </a:solidFill>
                    <a:latin typeface="Arial"/>
                    <a:ea typeface="Arial"/>
                    <a:cs typeface="Arial"/>
                  </a:defRPr>
                </a:pPr>
                <a:r>
                  <a:rPr lang="en-US"/>
                  <a:t>RPM</a:t>
                </a:r>
              </a:p>
            </c:rich>
          </c:tx>
          <c:layout>
            <c:manualLayout>
              <c:xMode val="edge"/>
              <c:yMode val="edge"/>
              <c:x val="0.51353333961655212"/>
              <c:y val="0.92997032075085728"/>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85616896"/>
        <c:crosses val="autoZero"/>
        <c:auto val="1"/>
        <c:lblAlgn val="ctr"/>
        <c:lblOffset val="100"/>
        <c:tickLblSkip val="1"/>
        <c:tickMarkSkip val="1"/>
        <c:noMultiLvlLbl val="1"/>
      </c:catAx>
      <c:valAx>
        <c:axId val="85616896"/>
        <c:scaling>
          <c:orientation val="minMax"/>
          <c:max val="15"/>
          <c:min val="8"/>
        </c:scaling>
        <c:axPos val="r"/>
        <c:majorGridlines>
          <c:spPr>
            <a:ln w="3175">
              <a:solidFill>
                <a:srgbClr val="000000"/>
              </a:solidFill>
              <a:prstDash val="solid"/>
            </a:ln>
          </c:spPr>
        </c:majorGridlines>
        <c:title>
          <c:tx>
            <c:rich>
              <a:bodyPr rot="0" vert="horz"/>
              <a:lstStyle/>
              <a:p>
                <a:pPr algn="ctr">
                  <a:defRPr sz="1200" b="1" i="0" u="none" strike="noStrike" baseline="0">
                    <a:solidFill>
                      <a:srgbClr val="000000"/>
                    </a:solidFill>
                    <a:latin typeface="Arial"/>
                    <a:ea typeface="Arial"/>
                    <a:cs typeface="Arial"/>
                  </a:defRPr>
                </a:pPr>
                <a:r>
                  <a:rPr lang="en-US"/>
                  <a:t>Trim</a:t>
                </a:r>
              </a:p>
            </c:rich>
          </c:tx>
          <c:layout>
            <c:manualLayout>
              <c:xMode val="edge"/>
              <c:yMode val="edge"/>
              <c:x val="0.86880096190370115"/>
              <c:y val="0.45113464185536917"/>
            </c:manualLayout>
          </c:layout>
          <c:spPr>
            <a:noFill/>
            <a:ln w="25400">
              <a:noFill/>
            </a:ln>
          </c:spPr>
        </c:title>
        <c:numFmt formatCode="0.00"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5614976"/>
        <c:crosses val="min"/>
        <c:crossBetween val="midCat"/>
        <c:majorUnit val="0.25"/>
        <c:minorUnit val="0.1"/>
      </c:valAx>
      <c:serAx>
        <c:axId val="85579968"/>
        <c:scaling>
          <c:orientation val="maxMin"/>
        </c:scaling>
        <c:axPos val="b"/>
        <c:title>
          <c:tx>
            <c:rich>
              <a:bodyPr/>
              <a:lstStyle/>
              <a:p>
                <a:pPr>
                  <a:defRPr sz="1200" b="1" i="0" u="none" strike="noStrike" baseline="0">
                    <a:solidFill>
                      <a:srgbClr val="000000"/>
                    </a:solidFill>
                    <a:latin typeface="Arial"/>
                    <a:ea typeface="Arial"/>
                    <a:cs typeface="Arial"/>
                  </a:defRPr>
                </a:pPr>
                <a:r>
                  <a:rPr lang="en-US"/>
                  <a:t>Load</a:t>
                </a:r>
              </a:p>
            </c:rich>
          </c:tx>
          <c:layout>
            <c:manualLayout>
              <c:xMode val="edge"/>
              <c:yMode val="edge"/>
              <c:x val="8.3006463147492979E-2"/>
              <c:y val="0.795421559755493"/>
            </c:manualLayout>
          </c:layout>
          <c:spPr>
            <a:noFill/>
            <a:ln w="25400">
              <a:noFill/>
            </a:ln>
          </c:spPr>
        </c:title>
        <c:numFmt formatCode="General" sourceLinked="1"/>
        <c:tickLblPos val="low"/>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5616896"/>
        <c:crosses val="autoZero"/>
        <c:tickLblSkip val="13"/>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view3D>
      <c:rotX val="7"/>
      <c:hPercent val="100"/>
      <c:rotY val="356"/>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6.4945165936169266E-2"/>
          <c:y val="7.7067029228461131E-3"/>
          <c:w val="0.84598526983481459"/>
          <c:h val="0.8592973758973409"/>
        </c:manualLayout>
      </c:layout>
      <c:surface3DChart>
        <c:ser>
          <c:idx val="0"/>
          <c:order val="0"/>
          <c:tx>
            <c:strRef>
              <c:f>'Fuel - 20 Cell'!$W$28</c:f>
              <c:strCache>
                <c:ptCount val="1"/>
                <c:pt idx="0">
                  <c:v>10</c:v>
                </c:pt>
              </c:strCache>
            </c:strRef>
          </c:tx>
          <c:spPr>
            <a:solidFill>
              <a:srgbClr val="9999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Cell'!$W$29:$W$43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1"/>
          <c:order val="1"/>
          <c:tx>
            <c:strRef>
              <c:f>'Fuel - 20 Cell'!$X$28</c:f>
              <c:strCache>
                <c:ptCount val="1"/>
                <c:pt idx="0">
                  <c:v>20</c:v>
                </c:pt>
              </c:strCache>
            </c:strRef>
          </c:tx>
          <c:spPr>
            <a:solidFill>
              <a:srgbClr val="993366"/>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Cell'!$X$29:$X$43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2"/>
          <c:order val="2"/>
          <c:tx>
            <c:strRef>
              <c:f>'Fuel - 20 Cell'!$Y$28</c:f>
              <c:strCache>
                <c:ptCount val="1"/>
                <c:pt idx="0">
                  <c:v>30</c:v>
                </c:pt>
              </c:strCache>
            </c:strRef>
          </c:tx>
          <c:spPr>
            <a:solidFill>
              <a:srgbClr val="FFFFCC"/>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Cell'!$Y$29:$Y$43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14.147399999999999</c:v>
                </c:pt>
                <c:pt idx="13">
                  <c:v>14.0418</c:v>
                </c:pt>
                <c:pt idx="14">
                  <c:v>14.0418</c:v>
                </c:pt>
              </c:numCache>
            </c:numRef>
          </c:val>
        </c:ser>
        <c:ser>
          <c:idx val="3"/>
          <c:order val="3"/>
          <c:tx>
            <c:strRef>
              <c:f>'Fuel - 20 Cell'!$Z$28</c:f>
              <c:strCache>
                <c:ptCount val="1"/>
                <c:pt idx="0">
                  <c:v>40</c:v>
                </c:pt>
              </c:strCache>
            </c:strRef>
          </c:tx>
          <c:spPr>
            <a:solidFill>
              <a:srgbClr val="CCFF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Cell'!$Z$29:$Z$43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14.7</c:v>
                </c:pt>
                <c:pt idx="11">
                  <c:v>14.3634</c:v>
                </c:pt>
                <c:pt idx="12">
                  <c:v>13.6348</c:v>
                </c:pt>
                <c:pt idx="13">
                  <c:v>13.44</c:v>
                </c:pt>
                <c:pt idx="14">
                  <c:v>13.44</c:v>
                </c:pt>
              </c:numCache>
            </c:numRef>
          </c:val>
        </c:ser>
        <c:ser>
          <c:idx val="4"/>
          <c:order val="4"/>
          <c:tx>
            <c:strRef>
              <c:f>'Fuel - 20 Cell'!$AA$28</c:f>
              <c:strCache>
                <c:ptCount val="1"/>
                <c:pt idx="0">
                  <c:v>50</c:v>
                </c:pt>
              </c:strCache>
            </c:strRef>
          </c:tx>
          <c:spPr>
            <a:solidFill>
              <a:srgbClr val="660066"/>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Cell'!$AA$29:$AA$43</c:f>
              <c:numCache>
                <c:formatCode>0.00</c:formatCode>
                <c:ptCount val="15"/>
                <c:pt idx="0">
                  <c:v>13.3447</c:v>
                </c:pt>
                <c:pt idx="1">
                  <c:v>14.7</c:v>
                </c:pt>
                <c:pt idx="2">
                  <c:v>14.7</c:v>
                </c:pt>
                <c:pt idx="3">
                  <c:v>14.7</c:v>
                </c:pt>
                <c:pt idx="4">
                  <c:v>14.7</c:v>
                </c:pt>
                <c:pt idx="5">
                  <c:v>14.7</c:v>
                </c:pt>
                <c:pt idx="6">
                  <c:v>14.7</c:v>
                </c:pt>
                <c:pt idx="7">
                  <c:v>14.7</c:v>
                </c:pt>
                <c:pt idx="8">
                  <c:v>14.7</c:v>
                </c:pt>
                <c:pt idx="9">
                  <c:v>14.7</c:v>
                </c:pt>
                <c:pt idx="10">
                  <c:v>14.473800000000001</c:v>
                </c:pt>
                <c:pt idx="11">
                  <c:v>13.937799999999999</c:v>
                </c:pt>
                <c:pt idx="12">
                  <c:v>13.2507</c:v>
                </c:pt>
                <c:pt idx="13">
                  <c:v>12.976599999999999</c:v>
                </c:pt>
                <c:pt idx="14">
                  <c:v>12.976599999999999</c:v>
                </c:pt>
              </c:numCache>
            </c:numRef>
          </c:val>
        </c:ser>
        <c:ser>
          <c:idx val="5"/>
          <c:order val="5"/>
          <c:tx>
            <c:strRef>
              <c:f>'Fuel - 20 Cell'!$AB$28</c:f>
              <c:strCache>
                <c:ptCount val="1"/>
                <c:pt idx="0">
                  <c:v>60</c:v>
                </c:pt>
              </c:strCache>
            </c:strRef>
          </c:tx>
          <c:spPr>
            <a:solidFill>
              <a:srgbClr val="FF808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Cell'!$AB$29:$AB$43</c:f>
              <c:numCache>
                <c:formatCode>0.00</c:formatCode>
                <c:ptCount val="15"/>
                <c:pt idx="0">
                  <c:v>13.3447</c:v>
                </c:pt>
                <c:pt idx="1">
                  <c:v>14.7</c:v>
                </c:pt>
                <c:pt idx="2">
                  <c:v>14.7</c:v>
                </c:pt>
                <c:pt idx="3">
                  <c:v>14.7</c:v>
                </c:pt>
                <c:pt idx="4">
                  <c:v>14.7</c:v>
                </c:pt>
                <c:pt idx="5">
                  <c:v>14.7</c:v>
                </c:pt>
                <c:pt idx="6">
                  <c:v>14.7</c:v>
                </c:pt>
                <c:pt idx="7">
                  <c:v>14.7</c:v>
                </c:pt>
                <c:pt idx="8">
                  <c:v>14.7</c:v>
                </c:pt>
                <c:pt idx="9">
                  <c:v>14.473800000000001</c:v>
                </c:pt>
                <c:pt idx="10">
                  <c:v>14.0418</c:v>
                </c:pt>
                <c:pt idx="11">
                  <c:v>13.44</c:v>
                </c:pt>
                <c:pt idx="12">
                  <c:v>12.7135</c:v>
                </c:pt>
                <c:pt idx="13">
                  <c:v>12.2182</c:v>
                </c:pt>
                <c:pt idx="14">
                  <c:v>12.2182</c:v>
                </c:pt>
              </c:numCache>
            </c:numRef>
          </c:val>
        </c:ser>
        <c:ser>
          <c:idx val="6"/>
          <c:order val="6"/>
          <c:tx>
            <c:strRef>
              <c:f>'Fuel - 20 Cell'!$AC$28</c:f>
              <c:strCache>
                <c:ptCount val="1"/>
                <c:pt idx="0">
                  <c:v>70</c:v>
                </c:pt>
              </c:strCache>
            </c:strRef>
          </c:tx>
          <c:spPr>
            <a:solidFill>
              <a:srgbClr val="0066CC"/>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Cell'!$AC$29:$AC$43</c:f>
              <c:numCache>
                <c:formatCode>0.00</c:formatCode>
                <c:ptCount val="15"/>
                <c:pt idx="0">
                  <c:v>13.3447</c:v>
                </c:pt>
                <c:pt idx="1">
                  <c:v>14.7</c:v>
                </c:pt>
                <c:pt idx="2">
                  <c:v>14.7</c:v>
                </c:pt>
                <c:pt idx="3">
                  <c:v>14.7</c:v>
                </c:pt>
                <c:pt idx="4">
                  <c:v>14.7</c:v>
                </c:pt>
                <c:pt idx="5">
                  <c:v>14.7</c:v>
                </c:pt>
                <c:pt idx="6">
                  <c:v>14.7</c:v>
                </c:pt>
                <c:pt idx="7">
                  <c:v>14.7</c:v>
                </c:pt>
                <c:pt idx="8">
                  <c:v>14.147399999999999</c:v>
                </c:pt>
                <c:pt idx="9">
                  <c:v>14.147399999999999</c:v>
                </c:pt>
                <c:pt idx="10">
                  <c:v>13.6348</c:v>
                </c:pt>
                <c:pt idx="11">
                  <c:v>12.7135</c:v>
                </c:pt>
                <c:pt idx="12">
                  <c:v>12.061500000000001</c:v>
                </c:pt>
                <c:pt idx="13">
                  <c:v>11.614800000000001</c:v>
                </c:pt>
                <c:pt idx="14">
                  <c:v>11.614800000000001</c:v>
                </c:pt>
              </c:numCache>
            </c:numRef>
          </c:val>
        </c:ser>
        <c:ser>
          <c:idx val="7"/>
          <c:order val="7"/>
          <c:tx>
            <c:strRef>
              <c:f>'Fuel - 20 Cell'!$AD$28</c:f>
              <c:strCache>
                <c:ptCount val="1"/>
                <c:pt idx="0">
                  <c:v>80</c:v>
                </c:pt>
              </c:strCache>
            </c:strRef>
          </c:tx>
          <c:spPr>
            <a:solidFill>
              <a:srgbClr val="CCCC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Cell'!$AD$29:$AD$43</c:f>
              <c:numCache>
                <c:formatCode>0.00</c:formatCode>
                <c:ptCount val="15"/>
                <c:pt idx="0">
                  <c:v>13.3447</c:v>
                </c:pt>
                <c:pt idx="1">
                  <c:v>14.7</c:v>
                </c:pt>
                <c:pt idx="2">
                  <c:v>14.7</c:v>
                </c:pt>
                <c:pt idx="3">
                  <c:v>14.7</c:v>
                </c:pt>
                <c:pt idx="4">
                  <c:v>14.7</c:v>
                </c:pt>
                <c:pt idx="5">
                  <c:v>14.7</c:v>
                </c:pt>
                <c:pt idx="6">
                  <c:v>14.7</c:v>
                </c:pt>
                <c:pt idx="7">
                  <c:v>14.7</c:v>
                </c:pt>
                <c:pt idx="8">
                  <c:v>13.734299999999999</c:v>
                </c:pt>
                <c:pt idx="9">
                  <c:v>13.44</c:v>
                </c:pt>
                <c:pt idx="10">
                  <c:v>12.8</c:v>
                </c:pt>
                <c:pt idx="11">
                  <c:v>11.834</c:v>
                </c:pt>
                <c:pt idx="12">
                  <c:v>11.4732</c:v>
                </c:pt>
                <c:pt idx="13">
                  <c:v>11.334899999999999</c:v>
                </c:pt>
                <c:pt idx="14">
                  <c:v>11.334899999999999</c:v>
                </c:pt>
              </c:numCache>
            </c:numRef>
          </c:val>
        </c:ser>
        <c:ser>
          <c:idx val="8"/>
          <c:order val="8"/>
          <c:tx>
            <c:strRef>
              <c:f>'Fuel - 20 Cell'!$AE$28</c:f>
              <c:strCache>
                <c:ptCount val="1"/>
                <c:pt idx="0">
                  <c:v>90</c:v>
                </c:pt>
              </c:strCache>
            </c:strRef>
          </c:tx>
          <c:spPr>
            <a:solidFill>
              <a:srgbClr val="00008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Cell'!$AE$29:$AE$43</c:f>
              <c:numCache>
                <c:formatCode>0.00</c:formatCode>
                <c:ptCount val="15"/>
                <c:pt idx="0">
                  <c:v>12.544</c:v>
                </c:pt>
                <c:pt idx="1">
                  <c:v>13.44</c:v>
                </c:pt>
                <c:pt idx="2">
                  <c:v>14.2545</c:v>
                </c:pt>
                <c:pt idx="3">
                  <c:v>14.2545</c:v>
                </c:pt>
                <c:pt idx="4">
                  <c:v>14.3634</c:v>
                </c:pt>
                <c:pt idx="5">
                  <c:v>14.3634</c:v>
                </c:pt>
                <c:pt idx="6">
                  <c:v>14.3634</c:v>
                </c:pt>
                <c:pt idx="7">
                  <c:v>14.147399999999999</c:v>
                </c:pt>
                <c:pt idx="8">
                  <c:v>13.44</c:v>
                </c:pt>
                <c:pt idx="9">
                  <c:v>12.8</c:v>
                </c:pt>
                <c:pt idx="10">
                  <c:v>12.2182</c:v>
                </c:pt>
                <c:pt idx="11">
                  <c:v>11.686999999999999</c:v>
                </c:pt>
                <c:pt idx="12">
                  <c:v>11.4732</c:v>
                </c:pt>
                <c:pt idx="13">
                  <c:v>11.267099999999999</c:v>
                </c:pt>
                <c:pt idx="14">
                  <c:v>11.267099999999999</c:v>
                </c:pt>
              </c:numCache>
            </c:numRef>
          </c:val>
        </c:ser>
        <c:ser>
          <c:idx val="9"/>
          <c:order val="9"/>
          <c:tx>
            <c:strRef>
              <c:f>'Fuel - 20 Cell'!$AF$28</c:f>
              <c:strCache>
                <c:ptCount val="1"/>
                <c:pt idx="0">
                  <c:v>100</c:v>
                </c:pt>
              </c:strCache>
            </c:strRef>
          </c:tx>
          <c:spPr>
            <a:solidFill>
              <a:srgbClr val="FF00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Cell'!$AF$29:$AF$43</c:f>
              <c:numCache>
                <c:formatCode>0.00</c:formatCode>
                <c:ptCount val="15"/>
                <c:pt idx="0">
                  <c:v>12.544</c:v>
                </c:pt>
                <c:pt idx="1">
                  <c:v>13.44</c:v>
                </c:pt>
                <c:pt idx="2">
                  <c:v>13.8353</c:v>
                </c:pt>
                <c:pt idx="3">
                  <c:v>13.8353</c:v>
                </c:pt>
                <c:pt idx="4">
                  <c:v>14.147399999999999</c:v>
                </c:pt>
                <c:pt idx="5">
                  <c:v>14.147399999999999</c:v>
                </c:pt>
                <c:pt idx="6">
                  <c:v>14.147399999999999</c:v>
                </c:pt>
                <c:pt idx="7">
                  <c:v>13.6348</c:v>
                </c:pt>
                <c:pt idx="8">
                  <c:v>12.8</c:v>
                </c:pt>
                <c:pt idx="9">
                  <c:v>12.2182</c:v>
                </c:pt>
                <c:pt idx="10">
                  <c:v>11.908899999999999</c:v>
                </c:pt>
                <c:pt idx="11">
                  <c:v>11.4732</c:v>
                </c:pt>
                <c:pt idx="12">
                  <c:v>11.334899999999999</c:v>
                </c:pt>
                <c:pt idx="13">
                  <c:v>11.2</c:v>
                </c:pt>
                <c:pt idx="14">
                  <c:v>11.2</c:v>
                </c:pt>
              </c:numCache>
            </c:numRef>
          </c:val>
        </c:ser>
        <c:ser>
          <c:idx val="10"/>
          <c:order val="10"/>
          <c:tx>
            <c:strRef>
              <c:f>'Fuel - 20 Cell'!$AG$28</c:f>
              <c:strCache>
                <c:ptCount val="1"/>
                <c:pt idx="0">
                  <c:v>120</c:v>
                </c:pt>
              </c:strCache>
            </c:strRef>
          </c:tx>
          <c:spPr>
            <a:solidFill>
              <a:srgbClr val="FFFF0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Cell'!$AG$29:$AG$43</c:f>
              <c:numCache>
                <c:formatCode>0.00</c:formatCode>
                <c:ptCount val="15"/>
                <c:pt idx="0">
                  <c:v>12.298</c:v>
                </c:pt>
                <c:pt idx="1">
                  <c:v>13.157999999999999</c:v>
                </c:pt>
                <c:pt idx="2">
                  <c:v>13.157999999999999</c:v>
                </c:pt>
                <c:pt idx="3">
                  <c:v>13.44</c:v>
                </c:pt>
                <c:pt idx="4">
                  <c:v>13.8353</c:v>
                </c:pt>
                <c:pt idx="5">
                  <c:v>14.0418</c:v>
                </c:pt>
                <c:pt idx="6">
                  <c:v>13.44</c:v>
                </c:pt>
                <c:pt idx="7">
                  <c:v>12.460900000000001</c:v>
                </c:pt>
                <c:pt idx="8">
                  <c:v>12.061500000000001</c:v>
                </c:pt>
                <c:pt idx="9">
                  <c:v>11.834</c:v>
                </c:pt>
                <c:pt idx="10">
                  <c:v>11.614800000000001</c:v>
                </c:pt>
                <c:pt idx="11">
                  <c:v>11.267099999999999</c:v>
                </c:pt>
                <c:pt idx="12">
                  <c:v>11.068199999999999</c:v>
                </c:pt>
                <c:pt idx="13">
                  <c:v>10.939500000000001</c:v>
                </c:pt>
                <c:pt idx="14">
                  <c:v>10.939500000000001</c:v>
                </c:pt>
              </c:numCache>
            </c:numRef>
          </c:val>
        </c:ser>
        <c:ser>
          <c:idx val="11"/>
          <c:order val="11"/>
          <c:tx>
            <c:strRef>
              <c:f>'Fuel - 20 Cell'!$AH$28</c:f>
              <c:strCache>
                <c:ptCount val="1"/>
                <c:pt idx="0">
                  <c:v>140</c:v>
                </c:pt>
              </c:strCache>
            </c:strRef>
          </c:tx>
          <c:spPr>
            <a:solidFill>
              <a:srgbClr val="00FF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Cell'!$AH$29:$AH$43</c:f>
              <c:numCache>
                <c:formatCode>0.00</c:formatCode>
                <c:ptCount val="15"/>
                <c:pt idx="0">
                  <c:v>12.061500000000001</c:v>
                </c:pt>
                <c:pt idx="1">
                  <c:v>12.8</c:v>
                </c:pt>
                <c:pt idx="2">
                  <c:v>12.976599999999999</c:v>
                </c:pt>
                <c:pt idx="3">
                  <c:v>13.066700000000001</c:v>
                </c:pt>
                <c:pt idx="4">
                  <c:v>13.44</c:v>
                </c:pt>
                <c:pt idx="5">
                  <c:v>13.2507</c:v>
                </c:pt>
                <c:pt idx="6">
                  <c:v>12.2182</c:v>
                </c:pt>
                <c:pt idx="7">
                  <c:v>11.614800000000001</c:v>
                </c:pt>
                <c:pt idx="8">
                  <c:v>11.4732</c:v>
                </c:pt>
                <c:pt idx="9">
                  <c:v>11.4732</c:v>
                </c:pt>
                <c:pt idx="10">
                  <c:v>10.939500000000001</c:v>
                </c:pt>
                <c:pt idx="11">
                  <c:v>10.876300000000001</c:v>
                </c:pt>
                <c:pt idx="12">
                  <c:v>10.690899999999999</c:v>
                </c:pt>
                <c:pt idx="13">
                  <c:v>10.5708</c:v>
                </c:pt>
                <c:pt idx="14">
                  <c:v>10.5708</c:v>
                </c:pt>
              </c:numCache>
            </c:numRef>
          </c:val>
        </c:ser>
        <c:ser>
          <c:idx val="12"/>
          <c:order val="12"/>
          <c:tx>
            <c:strRef>
              <c:f>'Fuel - 20 Cell'!$AI$28</c:f>
              <c:strCache>
                <c:ptCount val="1"/>
                <c:pt idx="0">
                  <c:v>160</c:v>
                </c:pt>
              </c:strCache>
            </c:strRef>
          </c:tx>
          <c:spPr>
            <a:solidFill>
              <a:srgbClr val="80008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Cell'!$AI$29:$AI$43</c:f>
              <c:numCache>
                <c:formatCode>0.00</c:formatCode>
                <c:ptCount val="15"/>
                <c:pt idx="0">
                  <c:v>11.834</c:v>
                </c:pt>
                <c:pt idx="1">
                  <c:v>12.544</c:v>
                </c:pt>
                <c:pt idx="2">
                  <c:v>12.8</c:v>
                </c:pt>
                <c:pt idx="3">
                  <c:v>12.8</c:v>
                </c:pt>
                <c:pt idx="4">
                  <c:v>13.157999999999999</c:v>
                </c:pt>
                <c:pt idx="5">
                  <c:v>11.76</c:v>
                </c:pt>
                <c:pt idx="6">
                  <c:v>11.4732</c:v>
                </c:pt>
                <c:pt idx="7">
                  <c:v>11.2</c:v>
                </c:pt>
                <c:pt idx="8">
                  <c:v>11.068199999999999</c:v>
                </c:pt>
                <c:pt idx="9">
                  <c:v>10.939500000000001</c:v>
                </c:pt>
                <c:pt idx="10">
                  <c:v>10.6305</c:v>
                </c:pt>
                <c:pt idx="11">
                  <c:v>10.5708</c:v>
                </c:pt>
                <c:pt idx="12">
                  <c:v>10.3956</c:v>
                </c:pt>
                <c:pt idx="13">
                  <c:v>10.282</c:v>
                </c:pt>
                <c:pt idx="14">
                  <c:v>10.282</c:v>
                </c:pt>
              </c:numCache>
            </c:numRef>
          </c:val>
        </c:ser>
        <c:ser>
          <c:idx val="13"/>
          <c:order val="13"/>
          <c:tx>
            <c:strRef>
              <c:f>'Fuel - 20 Cell'!$AJ$28</c:f>
              <c:strCache>
                <c:ptCount val="1"/>
                <c:pt idx="0">
                  <c:v>180</c:v>
                </c:pt>
              </c:strCache>
            </c:strRef>
          </c:tx>
          <c:spPr>
            <a:solidFill>
              <a:srgbClr val="80000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Cell'!$AJ$29:$AJ$43</c:f>
              <c:numCache>
                <c:formatCode>0.00</c:formatCode>
                <c:ptCount val="15"/>
                <c:pt idx="0">
                  <c:v>11.614800000000001</c:v>
                </c:pt>
                <c:pt idx="1">
                  <c:v>12.298</c:v>
                </c:pt>
                <c:pt idx="2">
                  <c:v>12.544</c:v>
                </c:pt>
                <c:pt idx="3">
                  <c:v>12.6282</c:v>
                </c:pt>
                <c:pt idx="4">
                  <c:v>12.976599999999999</c:v>
                </c:pt>
                <c:pt idx="5">
                  <c:v>11.334899999999999</c:v>
                </c:pt>
                <c:pt idx="6">
                  <c:v>10.876300000000001</c:v>
                </c:pt>
                <c:pt idx="7">
                  <c:v>10.752000000000001</c:v>
                </c:pt>
                <c:pt idx="8">
                  <c:v>10.813800000000001</c:v>
                </c:pt>
                <c:pt idx="9">
                  <c:v>10.5708</c:v>
                </c:pt>
                <c:pt idx="10">
                  <c:v>10.3385</c:v>
                </c:pt>
                <c:pt idx="11">
                  <c:v>10.282</c:v>
                </c:pt>
                <c:pt idx="12">
                  <c:v>10.116099999999999</c:v>
                </c:pt>
                <c:pt idx="13">
                  <c:v>9.9031599999999997</c:v>
                </c:pt>
                <c:pt idx="14">
                  <c:v>9.9031599999999997</c:v>
                </c:pt>
              </c:numCache>
            </c:numRef>
          </c:val>
        </c:ser>
        <c:ser>
          <c:idx val="14"/>
          <c:order val="14"/>
          <c:tx>
            <c:strRef>
              <c:f>'Fuel - 20 Cell'!$AK$28</c:f>
              <c:strCache>
                <c:ptCount val="1"/>
                <c:pt idx="0">
                  <c:v>200</c:v>
                </c:pt>
              </c:strCache>
            </c:strRef>
          </c:tx>
          <c:spPr>
            <a:solidFill>
              <a:srgbClr val="008080"/>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Cell'!$AK$29:$AK$43</c:f>
              <c:numCache>
                <c:formatCode>0.00</c:formatCode>
                <c:ptCount val="15"/>
                <c:pt idx="0">
                  <c:v>11.403600000000001</c:v>
                </c:pt>
                <c:pt idx="1">
                  <c:v>12.061500000000001</c:v>
                </c:pt>
                <c:pt idx="2">
                  <c:v>12.298</c:v>
                </c:pt>
                <c:pt idx="3">
                  <c:v>12.3789</c:v>
                </c:pt>
                <c:pt idx="4">
                  <c:v>12.7135</c:v>
                </c:pt>
                <c:pt idx="5">
                  <c:v>11.068199999999999</c:v>
                </c:pt>
                <c:pt idx="6">
                  <c:v>10.813800000000001</c:v>
                </c:pt>
                <c:pt idx="7">
                  <c:v>10.6305</c:v>
                </c:pt>
                <c:pt idx="8">
                  <c:v>10.752000000000001</c:v>
                </c:pt>
                <c:pt idx="9">
                  <c:v>10.4533</c:v>
                </c:pt>
                <c:pt idx="10">
                  <c:v>10.1708</c:v>
                </c:pt>
                <c:pt idx="11">
                  <c:v>9.9555600000000002</c:v>
                </c:pt>
                <c:pt idx="12">
                  <c:v>9.9031599999999997</c:v>
                </c:pt>
                <c:pt idx="13">
                  <c:v>9.6</c:v>
                </c:pt>
                <c:pt idx="14">
                  <c:v>9.6</c:v>
                </c:pt>
              </c:numCache>
            </c:numRef>
          </c:val>
        </c:ser>
        <c:ser>
          <c:idx val="15"/>
          <c:order val="15"/>
          <c:tx>
            <c:strRef>
              <c:f>'Fuel - 20 Cell'!$AL$28</c:f>
              <c:strCache>
                <c:ptCount val="1"/>
                <c:pt idx="0">
                  <c:v>220</c:v>
                </c:pt>
              </c:strCache>
            </c:strRef>
          </c:tx>
          <c:spPr>
            <a:solidFill>
              <a:srgbClr val="0000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Cell'!$AL$29:$AL$43</c:f>
              <c:numCache>
                <c:formatCode>0.00</c:formatCode>
                <c:ptCount val="15"/>
                <c:pt idx="0">
                  <c:v>11.2</c:v>
                </c:pt>
                <c:pt idx="1">
                  <c:v>11.834</c:v>
                </c:pt>
                <c:pt idx="2">
                  <c:v>12.061500000000001</c:v>
                </c:pt>
                <c:pt idx="3">
                  <c:v>12.1394</c:v>
                </c:pt>
                <c:pt idx="4">
                  <c:v>12.460900000000001</c:v>
                </c:pt>
                <c:pt idx="5">
                  <c:v>10.939500000000001</c:v>
                </c:pt>
                <c:pt idx="6">
                  <c:v>10.752000000000001</c:v>
                </c:pt>
                <c:pt idx="7">
                  <c:v>10.5708</c:v>
                </c:pt>
                <c:pt idx="8">
                  <c:v>10.5708</c:v>
                </c:pt>
                <c:pt idx="9">
                  <c:v>10.3956</c:v>
                </c:pt>
                <c:pt idx="10">
                  <c:v>10.061999999999999</c:v>
                </c:pt>
                <c:pt idx="11">
                  <c:v>9.8000000000000007</c:v>
                </c:pt>
                <c:pt idx="12">
                  <c:v>9.8000000000000007</c:v>
                </c:pt>
                <c:pt idx="13">
                  <c:v>9.6</c:v>
                </c:pt>
                <c:pt idx="14">
                  <c:v>9.6</c:v>
                </c:pt>
              </c:numCache>
            </c:numRef>
          </c:val>
        </c:ser>
        <c:ser>
          <c:idx val="16"/>
          <c:order val="16"/>
          <c:tx>
            <c:strRef>
              <c:f>'Fuel - 20 Cell'!$AM$28</c:f>
              <c:strCache>
                <c:ptCount val="1"/>
                <c:pt idx="0">
                  <c:v>240</c:v>
                </c:pt>
              </c:strCache>
            </c:strRef>
          </c:tx>
          <c:spPr>
            <a:solidFill>
              <a:srgbClr val="00CC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Cell'!$AM$29:$AM$43</c:f>
              <c:numCache>
                <c:formatCode>0.00</c:formatCode>
                <c:ptCount val="15"/>
                <c:pt idx="0">
                  <c:v>11.003500000000001</c:v>
                </c:pt>
                <c:pt idx="1">
                  <c:v>11.614800000000001</c:v>
                </c:pt>
                <c:pt idx="2">
                  <c:v>11.834</c:v>
                </c:pt>
                <c:pt idx="3">
                  <c:v>11.908899999999999</c:v>
                </c:pt>
                <c:pt idx="4">
                  <c:v>12.2182</c:v>
                </c:pt>
                <c:pt idx="5">
                  <c:v>10.752000000000001</c:v>
                </c:pt>
                <c:pt idx="6">
                  <c:v>10.5708</c:v>
                </c:pt>
                <c:pt idx="7">
                  <c:v>10.3956</c:v>
                </c:pt>
                <c:pt idx="8">
                  <c:v>10.3956</c:v>
                </c:pt>
                <c:pt idx="9">
                  <c:v>10.226100000000001</c:v>
                </c:pt>
                <c:pt idx="10">
                  <c:v>9.9031599999999997</c:v>
                </c:pt>
                <c:pt idx="11">
                  <c:v>9.6492299999999993</c:v>
                </c:pt>
                <c:pt idx="12">
                  <c:v>9.6492299999999993</c:v>
                </c:pt>
                <c:pt idx="13">
                  <c:v>9.6</c:v>
                </c:pt>
                <c:pt idx="14">
                  <c:v>9.6</c:v>
                </c:pt>
              </c:numCache>
            </c:numRef>
          </c:val>
        </c:ser>
        <c:ser>
          <c:idx val="17"/>
          <c:order val="17"/>
          <c:tx>
            <c:strRef>
              <c:f>'Fuel - 20 Cell'!$AN$28</c:f>
              <c:strCache>
                <c:ptCount val="1"/>
                <c:pt idx="0">
                  <c:v>260</c:v>
                </c:pt>
              </c:strCache>
            </c:strRef>
          </c:tx>
          <c:spPr>
            <a:solidFill>
              <a:srgbClr val="CCFFFF"/>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Cell'!$AN$29:$AN$43</c:f>
              <c:numCache>
                <c:formatCode>0.00</c:formatCode>
                <c:ptCount val="15"/>
                <c:pt idx="0">
                  <c:v>10.813800000000001</c:v>
                </c:pt>
                <c:pt idx="1">
                  <c:v>11.4732</c:v>
                </c:pt>
                <c:pt idx="2">
                  <c:v>11.614800000000001</c:v>
                </c:pt>
                <c:pt idx="3">
                  <c:v>11.686999999999999</c:v>
                </c:pt>
                <c:pt idx="4">
                  <c:v>11.9847</c:v>
                </c:pt>
                <c:pt idx="5">
                  <c:v>10.5708</c:v>
                </c:pt>
                <c:pt idx="6">
                  <c:v>10.511699999999999</c:v>
                </c:pt>
                <c:pt idx="7">
                  <c:v>10.226100000000001</c:v>
                </c:pt>
                <c:pt idx="8">
                  <c:v>10.226100000000001</c:v>
                </c:pt>
                <c:pt idx="9">
                  <c:v>10.061999999999999</c:v>
                </c:pt>
                <c:pt idx="10">
                  <c:v>9.8000000000000007</c:v>
                </c:pt>
                <c:pt idx="11">
                  <c:v>9.6</c:v>
                </c:pt>
                <c:pt idx="12">
                  <c:v>9.6</c:v>
                </c:pt>
                <c:pt idx="13">
                  <c:v>9.6</c:v>
                </c:pt>
                <c:pt idx="14">
                  <c:v>9.6</c:v>
                </c:pt>
              </c:numCache>
            </c:numRef>
          </c:val>
        </c:ser>
        <c:ser>
          <c:idx val="18"/>
          <c:order val="18"/>
          <c:tx>
            <c:strRef>
              <c:f>'Fuel - 20 Cell'!$AO$28</c:f>
              <c:strCache>
                <c:ptCount val="1"/>
                <c:pt idx="0">
                  <c:v>280</c:v>
                </c:pt>
              </c:strCache>
            </c:strRef>
          </c:tx>
          <c:spPr>
            <a:solidFill>
              <a:srgbClr val="CCFFCC"/>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Cell'!$AO$29:$AO$43</c:f>
              <c:numCache>
                <c:formatCode>0.00</c:formatCode>
                <c:ptCount val="15"/>
                <c:pt idx="0">
                  <c:v>10.813800000000001</c:v>
                </c:pt>
                <c:pt idx="1">
                  <c:v>11.4732</c:v>
                </c:pt>
                <c:pt idx="2">
                  <c:v>11.614800000000001</c:v>
                </c:pt>
                <c:pt idx="3">
                  <c:v>11.686999999999999</c:v>
                </c:pt>
                <c:pt idx="4">
                  <c:v>11.9847</c:v>
                </c:pt>
                <c:pt idx="5">
                  <c:v>10.5708</c:v>
                </c:pt>
                <c:pt idx="6">
                  <c:v>10.511699999999999</c:v>
                </c:pt>
                <c:pt idx="7">
                  <c:v>10.226100000000001</c:v>
                </c:pt>
                <c:pt idx="8">
                  <c:v>10.226100000000001</c:v>
                </c:pt>
                <c:pt idx="9">
                  <c:v>10.061999999999999</c:v>
                </c:pt>
                <c:pt idx="10">
                  <c:v>9.8000000000000007</c:v>
                </c:pt>
                <c:pt idx="11">
                  <c:v>9.6</c:v>
                </c:pt>
                <c:pt idx="12">
                  <c:v>9.6</c:v>
                </c:pt>
                <c:pt idx="13">
                  <c:v>9.6</c:v>
                </c:pt>
                <c:pt idx="14">
                  <c:v>9.6</c:v>
                </c:pt>
              </c:numCache>
            </c:numRef>
          </c:val>
        </c:ser>
        <c:ser>
          <c:idx val="19"/>
          <c:order val="19"/>
          <c:tx>
            <c:strRef>
              <c:f>'Fuel - 20 Cell'!$AP$28</c:f>
              <c:strCache>
                <c:ptCount val="1"/>
                <c:pt idx="0">
                  <c:v>300</c:v>
                </c:pt>
              </c:strCache>
            </c:strRef>
          </c:tx>
          <c:spPr>
            <a:solidFill>
              <a:srgbClr val="FFFF99"/>
            </a:solidFill>
            <a:ln w="12700">
              <a:solidFill>
                <a:srgbClr val="000000"/>
              </a:solidFill>
              <a:prstDash val="solid"/>
            </a:ln>
            <a:sp3d prstMaterial="flat"/>
          </c:spPr>
          <c:cat>
            <c:numRef>
              <c:f>'Fuel - 20 Cell'!$V$29:$V$43</c:f>
              <c:numCache>
                <c:formatCode>General</c:formatCode>
                <c:ptCount val="15"/>
                <c:pt idx="0">
                  <c:v>500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numCache>
            </c:numRef>
          </c:cat>
          <c:val>
            <c:numRef>
              <c:f>'Fuel - 20 Cell'!$AP$29:$AP$43</c:f>
              <c:numCache>
                <c:formatCode>0.00</c:formatCode>
                <c:ptCount val="15"/>
                <c:pt idx="0">
                  <c:v>10.813800000000001</c:v>
                </c:pt>
                <c:pt idx="1">
                  <c:v>11.4732</c:v>
                </c:pt>
                <c:pt idx="2">
                  <c:v>11.614800000000001</c:v>
                </c:pt>
                <c:pt idx="3">
                  <c:v>11.686999999999999</c:v>
                </c:pt>
                <c:pt idx="4">
                  <c:v>11.9847</c:v>
                </c:pt>
                <c:pt idx="5">
                  <c:v>10.5708</c:v>
                </c:pt>
                <c:pt idx="6">
                  <c:v>10.511699999999999</c:v>
                </c:pt>
                <c:pt idx="7">
                  <c:v>10.226100000000001</c:v>
                </c:pt>
                <c:pt idx="8">
                  <c:v>10.226100000000001</c:v>
                </c:pt>
                <c:pt idx="9">
                  <c:v>10.061999999999999</c:v>
                </c:pt>
                <c:pt idx="10">
                  <c:v>9.8000000000000007</c:v>
                </c:pt>
                <c:pt idx="11">
                  <c:v>9.6</c:v>
                </c:pt>
                <c:pt idx="12">
                  <c:v>9.6</c:v>
                </c:pt>
                <c:pt idx="13">
                  <c:v>9.6</c:v>
                </c:pt>
                <c:pt idx="14">
                  <c:v>9.6</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85796352"/>
        <c:axId val="85798272"/>
        <c:axId val="85701056"/>
      </c:surface3DChart>
      <c:catAx>
        <c:axId val="85796352"/>
        <c:scaling>
          <c:orientation val="maxMin"/>
        </c:scaling>
        <c:axPos val="b"/>
        <c:title>
          <c:tx>
            <c:rich>
              <a:bodyPr/>
              <a:lstStyle/>
              <a:p>
                <a:pPr>
                  <a:defRPr sz="1200" b="1" i="0" u="none" strike="noStrike" baseline="0">
                    <a:solidFill>
                      <a:srgbClr val="000000"/>
                    </a:solidFill>
                    <a:latin typeface="Arial"/>
                    <a:ea typeface="Arial"/>
                    <a:cs typeface="Arial"/>
                  </a:defRPr>
                </a:pPr>
                <a:r>
                  <a:rPr lang="en-US"/>
                  <a:t>RPM</a:t>
                </a:r>
              </a:p>
            </c:rich>
          </c:tx>
          <c:layout>
            <c:manualLayout>
              <c:xMode val="edge"/>
              <c:yMode val="edge"/>
              <c:x val="0.54136618277509696"/>
              <c:y val="0.94925570217407318"/>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85798272"/>
        <c:crosses val="autoZero"/>
        <c:auto val="1"/>
        <c:lblAlgn val="ctr"/>
        <c:lblOffset val="100"/>
        <c:tickLblSkip val="1"/>
        <c:tickMarkSkip val="1"/>
        <c:noMultiLvlLbl val="1"/>
      </c:catAx>
      <c:valAx>
        <c:axId val="85798272"/>
        <c:scaling>
          <c:orientation val="minMax"/>
          <c:max val="15"/>
          <c:min val="8"/>
        </c:scaling>
        <c:axPos val="r"/>
        <c:majorGridlines>
          <c:spPr>
            <a:ln w="3175">
              <a:solidFill>
                <a:srgbClr val="000000"/>
              </a:solidFill>
              <a:prstDash val="solid"/>
            </a:ln>
          </c:spPr>
        </c:majorGridlines>
        <c:title>
          <c:tx>
            <c:rich>
              <a:bodyPr rot="0" vert="horz"/>
              <a:lstStyle/>
              <a:p>
                <a:pPr algn="ctr">
                  <a:defRPr sz="1200" b="1" i="0" u="none" strike="noStrike" baseline="0">
                    <a:solidFill>
                      <a:srgbClr val="000000"/>
                    </a:solidFill>
                    <a:latin typeface="Arial"/>
                    <a:ea typeface="Arial"/>
                    <a:cs typeface="Arial"/>
                  </a:defRPr>
                </a:pPr>
                <a:r>
                  <a:rPr lang="en-US"/>
                  <a:t>Trim</a:t>
                </a:r>
              </a:p>
            </c:rich>
          </c:tx>
          <c:layout>
            <c:manualLayout>
              <c:xMode val="edge"/>
              <c:yMode val="edge"/>
              <c:x val="0.87876364288520348"/>
              <c:y val="0.46625560163758156"/>
            </c:manualLayout>
          </c:layout>
          <c:spPr>
            <a:noFill/>
            <a:ln w="25400">
              <a:noFill/>
            </a:ln>
          </c:spPr>
        </c:title>
        <c:numFmt formatCode="0.00"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5796352"/>
        <c:crosses val="min"/>
        <c:crossBetween val="midCat"/>
        <c:majorUnit val="0.25"/>
        <c:minorUnit val="0.1"/>
      </c:valAx>
      <c:serAx>
        <c:axId val="85701056"/>
        <c:scaling>
          <c:orientation val="maxMin"/>
        </c:scaling>
        <c:axPos val="b"/>
        <c:title>
          <c:tx>
            <c:rich>
              <a:bodyPr/>
              <a:lstStyle/>
              <a:p>
                <a:pPr>
                  <a:defRPr sz="1200" b="1" i="0" u="none" strike="noStrike" baseline="0">
                    <a:solidFill>
                      <a:srgbClr val="000000"/>
                    </a:solidFill>
                    <a:latin typeface="Arial"/>
                    <a:ea typeface="Arial"/>
                    <a:cs typeface="Arial"/>
                  </a:defRPr>
                </a:pPr>
                <a:r>
                  <a:rPr lang="en-US"/>
                  <a:t>Load</a:t>
                </a:r>
              </a:p>
            </c:rich>
          </c:tx>
          <c:layout>
            <c:manualLayout>
              <c:xMode val="edge"/>
              <c:yMode val="edge"/>
              <c:x val="7.3966215177549685E-2"/>
              <c:y val="0.78736818203068093"/>
            </c:manualLayout>
          </c:layout>
          <c:spPr>
            <a:noFill/>
            <a:ln w="25400">
              <a:noFill/>
            </a:ln>
          </c:spPr>
        </c:title>
        <c:numFmt formatCode="General" sourceLinked="1"/>
        <c:tickLblPos val="low"/>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5798272"/>
        <c:crosses val="autoZero"/>
        <c:tickLblSkip val="10"/>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3.2586862233099596E-2"/>
          <c:y val="3.6585527947402358E-2"/>
          <c:w val="0.84986536703923754"/>
          <c:h val="0.8752965496539552"/>
        </c:manualLayout>
      </c:layout>
      <c:surface3DChart>
        <c:ser>
          <c:idx val="0"/>
          <c:order val="0"/>
          <c:tx>
            <c:strRef>
              <c:f>'Fuel - BIG MAP'!$W$68</c:f>
              <c:strCache>
                <c:ptCount val="1"/>
                <c:pt idx="0">
                  <c:v>10</c:v>
                </c:pt>
              </c:strCache>
            </c:strRef>
          </c:tx>
          <c:spPr>
            <a:solidFill>
              <a:srgbClr val="9999FF"/>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MAP'!$W$69:$W$93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pt idx="24">
                  <c:v>14.7</c:v>
                </c:pt>
              </c:numCache>
            </c:numRef>
          </c:val>
        </c:ser>
        <c:ser>
          <c:idx val="1"/>
          <c:order val="1"/>
          <c:tx>
            <c:strRef>
              <c:f>'Fuel - BIG MAP'!$X$68</c:f>
              <c:strCache>
                <c:ptCount val="1"/>
                <c:pt idx="0">
                  <c:v>20</c:v>
                </c:pt>
              </c:strCache>
            </c:strRef>
          </c:tx>
          <c:spPr>
            <a:solidFill>
              <a:srgbClr val="993366"/>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MAP'!$X$69:$X$93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pt idx="24">
                  <c:v>14.7</c:v>
                </c:pt>
              </c:numCache>
            </c:numRef>
          </c:val>
        </c:ser>
        <c:ser>
          <c:idx val="2"/>
          <c:order val="2"/>
          <c:tx>
            <c:strRef>
              <c:f>'Fuel - BIG MAP'!$Y$68</c:f>
              <c:strCache>
                <c:ptCount val="1"/>
                <c:pt idx="0">
                  <c:v>30</c:v>
                </c:pt>
              </c:strCache>
            </c:strRef>
          </c:tx>
          <c:spPr>
            <a:solidFill>
              <a:srgbClr val="FFFFCC"/>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MAP'!$Y$69:$Y$93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pt idx="24">
                  <c:v>14.7</c:v>
                </c:pt>
              </c:numCache>
            </c:numRef>
          </c:val>
        </c:ser>
        <c:ser>
          <c:idx val="3"/>
          <c:order val="3"/>
          <c:tx>
            <c:strRef>
              <c:f>'Fuel - BIG MAP'!$Z$68</c:f>
              <c:strCache>
                <c:ptCount val="1"/>
                <c:pt idx="0">
                  <c:v>40</c:v>
                </c:pt>
              </c:strCache>
            </c:strRef>
          </c:tx>
          <c:spPr>
            <a:solidFill>
              <a:srgbClr val="CCFFFF"/>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MAP'!$Z$69:$Z$93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pt idx="24">
                  <c:v>14.7</c:v>
                </c:pt>
              </c:numCache>
            </c:numRef>
          </c:val>
        </c:ser>
        <c:ser>
          <c:idx val="4"/>
          <c:order val="4"/>
          <c:tx>
            <c:strRef>
              <c:f>'Fuel - BIG MAP'!$AA$68</c:f>
              <c:strCache>
                <c:ptCount val="1"/>
                <c:pt idx="0">
                  <c:v>50</c:v>
                </c:pt>
              </c:strCache>
            </c:strRef>
          </c:tx>
          <c:spPr>
            <a:solidFill>
              <a:srgbClr val="660066"/>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MAP'!$AA$69:$AA$93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pt idx="24">
                  <c:v>14.7</c:v>
                </c:pt>
              </c:numCache>
            </c:numRef>
          </c:val>
        </c:ser>
        <c:ser>
          <c:idx val="5"/>
          <c:order val="5"/>
          <c:tx>
            <c:strRef>
              <c:f>'Fuel - BIG MAP'!$AB$68</c:f>
              <c:strCache>
                <c:ptCount val="1"/>
                <c:pt idx="0">
                  <c:v>60</c:v>
                </c:pt>
              </c:strCache>
            </c:strRef>
          </c:tx>
          <c:spPr>
            <a:solidFill>
              <a:srgbClr val="FF8080"/>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MAP'!$AB$69:$AB$93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pt idx="24">
                  <c:v>14.7</c:v>
                </c:pt>
              </c:numCache>
            </c:numRef>
          </c:val>
        </c:ser>
        <c:ser>
          <c:idx val="6"/>
          <c:order val="6"/>
          <c:tx>
            <c:strRef>
              <c:f>'Fuel - BIG MAP'!$AC$68</c:f>
              <c:strCache>
                <c:ptCount val="1"/>
                <c:pt idx="0">
                  <c:v>70</c:v>
                </c:pt>
              </c:strCache>
            </c:strRef>
          </c:tx>
          <c:spPr>
            <a:solidFill>
              <a:srgbClr val="0066CC"/>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MAP'!$AC$69:$AC$93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14.147399999999999</c:v>
                </c:pt>
                <c:pt idx="15">
                  <c:v>13.6348</c:v>
                </c:pt>
                <c:pt idx="16">
                  <c:v>13.6348</c:v>
                </c:pt>
                <c:pt idx="17">
                  <c:v>13.6348</c:v>
                </c:pt>
                <c:pt idx="18">
                  <c:v>12.7135</c:v>
                </c:pt>
                <c:pt idx="19">
                  <c:v>11.908899999999999</c:v>
                </c:pt>
                <c:pt idx="20">
                  <c:v>11.4732</c:v>
                </c:pt>
                <c:pt idx="21">
                  <c:v>11.4732</c:v>
                </c:pt>
                <c:pt idx="22">
                  <c:v>11.4732</c:v>
                </c:pt>
                <c:pt idx="23">
                  <c:v>11.4732</c:v>
                </c:pt>
                <c:pt idx="24">
                  <c:v>11.403600000000001</c:v>
                </c:pt>
              </c:numCache>
            </c:numRef>
          </c:val>
        </c:ser>
        <c:ser>
          <c:idx val="7"/>
          <c:order val="7"/>
          <c:tx>
            <c:strRef>
              <c:f>'Fuel - BIG MAP'!$AD$68</c:f>
              <c:strCache>
                <c:ptCount val="1"/>
                <c:pt idx="0">
                  <c:v>80</c:v>
                </c:pt>
              </c:strCache>
            </c:strRef>
          </c:tx>
          <c:spPr>
            <a:solidFill>
              <a:srgbClr val="CCCCFF"/>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MAP'!$AD$69:$AD$93</c:f>
              <c:numCache>
                <c:formatCode>0.00</c:formatCode>
                <c:ptCount val="25"/>
                <c:pt idx="0">
                  <c:v>14.7</c:v>
                </c:pt>
                <c:pt idx="1">
                  <c:v>14.7</c:v>
                </c:pt>
                <c:pt idx="2">
                  <c:v>14.7</c:v>
                </c:pt>
                <c:pt idx="3">
                  <c:v>14.7</c:v>
                </c:pt>
                <c:pt idx="4">
                  <c:v>14.7</c:v>
                </c:pt>
                <c:pt idx="5">
                  <c:v>14.7</c:v>
                </c:pt>
                <c:pt idx="6">
                  <c:v>14.7</c:v>
                </c:pt>
                <c:pt idx="7">
                  <c:v>14.7</c:v>
                </c:pt>
                <c:pt idx="8">
                  <c:v>14.7</c:v>
                </c:pt>
                <c:pt idx="9">
                  <c:v>14.7</c:v>
                </c:pt>
                <c:pt idx="10">
                  <c:v>14.3634</c:v>
                </c:pt>
                <c:pt idx="11">
                  <c:v>14.0418</c:v>
                </c:pt>
                <c:pt idx="12">
                  <c:v>13.734299999999999</c:v>
                </c:pt>
                <c:pt idx="13">
                  <c:v>13.44</c:v>
                </c:pt>
                <c:pt idx="14">
                  <c:v>13.3447</c:v>
                </c:pt>
                <c:pt idx="15">
                  <c:v>13.2507</c:v>
                </c:pt>
                <c:pt idx="16">
                  <c:v>13.066700000000001</c:v>
                </c:pt>
                <c:pt idx="17">
                  <c:v>12.887700000000001</c:v>
                </c:pt>
                <c:pt idx="18">
                  <c:v>12.2182</c:v>
                </c:pt>
                <c:pt idx="19">
                  <c:v>11.614800000000001</c:v>
                </c:pt>
                <c:pt idx="20">
                  <c:v>11.2</c:v>
                </c:pt>
                <c:pt idx="21">
                  <c:v>11.2</c:v>
                </c:pt>
                <c:pt idx="22">
                  <c:v>11.2</c:v>
                </c:pt>
                <c:pt idx="23">
                  <c:v>11.2</c:v>
                </c:pt>
                <c:pt idx="24">
                  <c:v>11.133699999999999</c:v>
                </c:pt>
              </c:numCache>
            </c:numRef>
          </c:val>
        </c:ser>
        <c:ser>
          <c:idx val="8"/>
          <c:order val="8"/>
          <c:tx>
            <c:strRef>
              <c:f>'Fuel - BIG MAP'!$AE$68</c:f>
              <c:strCache>
                <c:ptCount val="1"/>
                <c:pt idx="0">
                  <c:v>90</c:v>
                </c:pt>
              </c:strCache>
            </c:strRef>
          </c:tx>
          <c:spPr>
            <a:solidFill>
              <a:srgbClr val="000080"/>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MAP'!$AE$69:$AE$93</c:f>
              <c:numCache>
                <c:formatCode>0.00</c:formatCode>
                <c:ptCount val="25"/>
                <c:pt idx="0">
                  <c:v>13.066700000000001</c:v>
                </c:pt>
                <c:pt idx="1">
                  <c:v>13.066700000000001</c:v>
                </c:pt>
                <c:pt idx="2">
                  <c:v>14.7</c:v>
                </c:pt>
                <c:pt idx="3">
                  <c:v>14.7</c:v>
                </c:pt>
                <c:pt idx="4">
                  <c:v>14.7</c:v>
                </c:pt>
                <c:pt idx="5">
                  <c:v>14.7</c:v>
                </c:pt>
                <c:pt idx="6">
                  <c:v>14.7</c:v>
                </c:pt>
                <c:pt idx="7">
                  <c:v>14.7</c:v>
                </c:pt>
                <c:pt idx="8">
                  <c:v>14.7</c:v>
                </c:pt>
                <c:pt idx="9">
                  <c:v>14.7</c:v>
                </c:pt>
                <c:pt idx="10">
                  <c:v>14.2545</c:v>
                </c:pt>
                <c:pt idx="11">
                  <c:v>13.8353</c:v>
                </c:pt>
                <c:pt idx="12">
                  <c:v>13.44</c:v>
                </c:pt>
                <c:pt idx="13">
                  <c:v>13.066700000000001</c:v>
                </c:pt>
                <c:pt idx="14">
                  <c:v>12.887700000000001</c:v>
                </c:pt>
                <c:pt idx="15">
                  <c:v>12.6282</c:v>
                </c:pt>
                <c:pt idx="16">
                  <c:v>12.460900000000001</c:v>
                </c:pt>
                <c:pt idx="17">
                  <c:v>12.2182</c:v>
                </c:pt>
                <c:pt idx="18">
                  <c:v>11.908899999999999</c:v>
                </c:pt>
                <c:pt idx="19">
                  <c:v>11.4732</c:v>
                </c:pt>
                <c:pt idx="20">
                  <c:v>10.939500000000001</c:v>
                </c:pt>
                <c:pt idx="21">
                  <c:v>10.939500000000001</c:v>
                </c:pt>
                <c:pt idx="22">
                  <c:v>10.939500000000001</c:v>
                </c:pt>
                <c:pt idx="23">
                  <c:v>10.939500000000001</c:v>
                </c:pt>
                <c:pt idx="24">
                  <c:v>10.876300000000001</c:v>
                </c:pt>
              </c:numCache>
            </c:numRef>
          </c:val>
        </c:ser>
        <c:ser>
          <c:idx val="9"/>
          <c:order val="9"/>
          <c:tx>
            <c:strRef>
              <c:f>'Fuel - BIG MAP'!$AF$68</c:f>
              <c:strCache>
                <c:ptCount val="1"/>
                <c:pt idx="0">
                  <c:v>100</c:v>
                </c:pt>
              </c:strCache>
            </c:strRef>
          </c:tx>
          <c:spPr>
            <a:solidFill>
              <a:srgbClr val="FF00FF"/>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MAP'!$AF$69:$AF$93</c:f>
              <c:numCache>
                <c:formatCode>0.00</c:formatCode>
                <c:ptCount val="25"/>
                <c:pt idx="0">
                  <c:v>12.6282</c:v>
                </c:pt>
                <c:pt idx="1">
                  <c:v>12.6282</c:v>
                </c:pt>
                <c:pt idx="2">
                  <c:v>12.7135</c:v>
                </c:pt>
                <c:pt idx="3">
                  <c:v>14.7</c:v>
                </c:pt>
                <c:pt idx="4">
                  <c:v>14.7</c:v>
                </c:pt>
                <c:pt idx="5">
                  <c:v>14.7</c:v>
                </c:pt>
                <c:pt idx="6">
                  <c:v>14.7</c:v>
                </c:pt>
                <c:pt idx="7">
                  <c:v>14.7</c:v>
                </c:pt>
                <c:pt idx="8">
                  <c:v>14.3634</c:v>
                </c:pt>
                <c:pt idx="9">
                  <c:v>14.0418</c:v>
                </c:pt>
                <c:pt idx="10">
                  <c:v>13.734299999999999</c:v>
                </c:pt>
                <c:pt idx="11">
                  <c:v>13.3447</c:v>
                </c:pt>
                <c:pt idx="12">
                  <c:v>12.976599999999999</c:v>
                </c:pt>
                <c:pt idx="13">
                  <c:v>12.6282</c:v>
                </c:pt>
                <c:pt idx="14">
                  <c:v>12.460900000000001</c:v>
                </c:pt>
                <c:pt idx="15">
                  <c:v>12.2182</c:v>
                </c:pt>
                <c:pt idx="16">
                  <c:v>12.061500000000001</c:v>
                </c:pt>
                <c:pt idx="17">
                  <c:v>11.908899999999999</c:v>
                </c:pt>
                <c:pt idx="18">
                  <c:v>11.686999999999999</c:v>
                </c:pt>
                <c:pt idx="19">
                  <c:v>11.2</c:v>
                </c:pt>
                <c:pt idx="20">
                  <c:v>10.876300000000001</c:v>
                </c:pt>
                <c:pt idx="21">
                  <c:v>10.876300000000001</c:v>
                </c:pt>
                <c:pt idx="22">
                  <c:v>10.876300000000001</c:v>
                </c:pt>
                <c:pt idx="23">
                  <c:v>10.876300000000001</c:v>
                </c:pt>
                <c:pt idx="24">
                  <c:v>10.813800000000001</c:v>
                </c:pt>
              </c:numCache>
            </c:numRef>
          </c:val>
        </c:ser>
        <c:ser>
          <c:idx val="10"/>
          <c:order val="10"/>
          <c:tx>
            <c:strRef>
              <c:f>'Fuel - BIG MAP'!$AG$68</c:f>
              <c:strCache>
                <c:ptCount val="1"/>
                <c:pt idx="0">
                  <c:v>120</c:v>
                </c:pt>
              </c:strCache>
            </c:strRef>
          </c:tx>
          <c:spPr>
            <a:solidFill>
              <a:srgbClr val="FFFF00"/>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MAP'!$AG$69:$AG$93</c:f>
              <c:numCache>
                <c:formatCode>0.00</c:formatCode>
                <c:ptCount val="25"/>
                <c:pt idx="0">
                  <c:v>12.298</c:v>
                </c:pt>
                <c:pt idx="1">
                  <c:v>12.298</c:v>
                </c:pt>
                <c:pt idx="2">
                  <c:v>12.3789</c:v>
                </c:pt>
                <c:pt idx="3">
                  <c:v>12.7135</c:v>
                </c:pt>
                <c:pt idx="4">
                  <c:v>13.6348</c:v>
                </c:pt>
                <c:pt idx="5">
                  <c:v>14.473800000000001</c:v>
                </c:pt>
                <c:pt idx="6">
                  <c:v>14.3634</c:v>
                </c:pt>
                <c:pt idx="7">
                  <c:v>14.2545</c:v>
                </c:pt>
                <c:pt idx="8">
                  <c:v>13.734299999999999</c:v>
                </c:pt>
                <c:pt idx="9">
                  <c:v>13.2507</c:v>
                </c:pt>
                <c:pt idx="10">
                  <c:v>12.8</c:v>
                </c:pt>
                <c:pt idx="11">
                  <c:v>12.3789</c:v>
                </c:pt>
                <c:pt idx="12">
                  <c:v>12.2182</c:v>
                </c:pt>
                <c:pt idx="13">
                  <c:v>12.061500000000001</c:v>
                </c:pt>
                <c:pt idx="14">
                  <c:v>11.9847</c:v>
                </c:pt>
                <c:pt idx="15">
                  <c:v>11.908899999999999</c:v>
                </c:pt>
                <c:pt idx="16">
                  <c:v>11.686999999999999</c:v>
                </c:pt>
                <c:pt idx="17">
                  <c:v>11.403600000000001</c:v>
                </c:pt>
                <c:pt idx="18">
                  <c:v>11.2</c:v>
                </c:pt>
                <c:pt idx="19">
                  <c:v>10.752000000000001</c:v>
                </c:pt>
                <c:pt idx="20">
                  <c:v>10.4533</c:v>
                </c:pt>
                <c:pt idx="21">
                  <c:v>10.4533</c:v>
                </c:pt>
                <c:pt idx="22">
                  <c:v>10.4533</c:v>
                </c:pt>
                <c:pt idx="23">
                  <c:v>10.4533</c:v>
                </c:pt>
                <c:pt idx="24">
                  <c:v>10.3956</c:v>
                </c:pt>
              </c:numCache>
            </c:numRef>
          </c:val>
        </c:ser>
        <c:ser>
          <c:idx val="11"/>
          <c:order val="11"/>
          <c:tx>
            <c:strRef>
              <c:f>'Fuel - BIG MAP'!$AH$68</c:f>
              <c:strCache>
                <c:ptCount val="1"/>
                <c:pt idx="0">
                  <c:v>140</c:v>
                </c:pt>
              </c:strCache>
            </c:strRef>
          </c:tx>
          <c:spPr>
            <a:solidFill>
              <a:srgbClr val="00FFFF"/>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MAP'!$AH$69:$AH$93</c:f>
              <c:numCache>
                <c:formatCode>0.00</c:formatCode>
                <c:ptCount val="25"/>
                <c:pt idx="0">
                  <c:v>11.9847</c:v>
                </c:pt>
                <c:pt idx="1">
                  <c:v>11.9847</c:v>
                </c:pt>
                <c:pt idx="2">
                  <c:v>12.061500000000001</c:v>
                </c:pt>
                <c:pt idx="3">
                  <c:v>12.3789</c:v>
                </c:pt>
                <c:pt idx="4">
                  <c:v>12.976599999999999</c:v>
                </c:pt>
                <c:pt idx="5">
                  <c:v>13.5367</c:v>
                </c:pt>
                <c:pt idx="6">
                  <c:v>13.3447</c:v>
                </c:pt>
                <c:pt idx="7">
                  <c:v>13.066700000000001</c:v>
                </c:pt>
                <c:pt idx="8">
                  <c:v>12.460900000000001</c:v>
                </c:pt>
                <c:pt idx="9">
                  <c:v>11.908899999999999</c:v>
                </c:pt>
                <c:pt idx="10">
                  <c:v>11.686999999999999</c:v>
                </c:pt>
                <c:pt idx="11">
                  <c:v>11.4732</c:v>
                </c:pt>
                <c:pt idx="12">
                  <c:v>11.334899999999999</c:v>
                </c:pt>
                <c:pt idx="13">
                  <c:v>11.2</c:v>
                </c:pt>
                <c:pt idx="14">
                  <c:v>11.2</c:v>
                </c:pt>
                <c:pt idx="15">
                  <c:v>11.2</c:v>
                </c:pt>
                <c:pt idx="16">
                  <c:v>11.068199999999999</c:v>
                </c:pt>
                <c:pt idx="17">
                  <c:v>10.876300000000001</c:v>
                </c:pt>
                <c:pt idx="18">
                  <c:v>10.690899999999999</c:v>
                </c:pt>
                <c:pt idx="19">
                  <c:v>10.3385</c:v>
                </c:pt>
                <c:pt idx="20">
                  <c:v>10.226100000000001</c:v>
                </c:pt>
                <c:pt idx="21">
                  <c:v>10.226100000000001</c:v>
                </c:pt>
                <c:pt idx="22">
                  <c:v>10.226100000000001</c:v>
                </c:pt>
                <c:pt idx="23">
                  <c:v>10.226100000000001</c:v>
                </c:pt>
                <c:pt idx="24">
                  <c:v>10.1708</c:v>
                </c:pt>
              </c:numCache>
            </c:numRef>
          </c:val>
        </c:ser>
        <c:ser>
          <c:idx val="12"/>
          <c:order val="12"/>
          <c:tx>
            <c:strRef>
              <c:f>'Fuel - BIG MAP'!$AI$68</c:f>
              <c:strCache>
                <c:ptCount val="1"/>
                <c:pt idx="0">
                  <c:v>150</c:v>
                </c:pt>
              </c:strCache>
            </c:strRef>
          </c:tx>
          <c:spPr>
            <a:solidFill>
              <a:srgbClr val="800080"/>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MAP'!$AI$69:$AI$93</c:f>
              <c:numCache>
                <c:formatCode>0.00</c:formatCode>
                <c:ptCount val="25"/>
                <c:pt idx="0">
                  <c:v>11.686999999999999</c:v>
                </c:pt>
                <c:pt idx="1">
                  <c:v>11.686999999999999</c:v>
                </c:pt>
                <c:pt idx="2">
                  <c:v>11.76</c:v>
                </c:pt>
                <c:pt idx="3">
                  <c:v>12.061500000000001</c:v>
                </c:pt>
                <c:pt idx="4">
                  <c:v>12.460900000000001</c:v>
                </c:pt>
                <c:pt idx="5">
                  <c:v>12.887700000000001</c:v>
                </c:pt>
                <c:pt idx="6">
                  <c:v>12.298</c:v>
                </c:pt>
                <c:pt idx="7">
                  <c:v>11.76</c:v>
                </c:pt>
                <c:pt idx="8">
                  <c:v>11.403600000000001</c:v>
                </c:pt>
                <c:pt idx="9">
                  <c:v>11.068199999999999</c:v>
                </c:pt>
                <c:pt idx="10">
                  <c:v>10.939500000000001</c:v>
                </c:pt>
                <c:pt idx="11">
                  <c:v>10.752000000000001</c:v>
                </c:pt>
                <c:pt idx="12">
                  <c:v>10.6305</c:v>
                </c:pt>
                <c:pt idx="13">
                  <c:v>10.5708</c:v>
                </c:pt>
                <c:pt idx="14">
                  <c:v>10.5708</c:v>
                </c:pt>
                <c:pt idx="15">
                  <c:v>10.5708</c:v>
                </c:pt>
                <c:pt idx="16">
                  <c:v>10.4533</c:v>
                </c:pt>
                <c:pt idx="17">
                  <c:v>10.3956</c:v>
                </c:pt>
                <c:pt idx="18">
                  <c:v>10.3956</c:v>
                </c:pt>
                <c:pt idx="19">
                  <c:v>10.116099999999999</c:v>
                </c:pt>
                <c:pt idx="20">
                  <c:v>9.8000000000000007</c:v>
                </c:pt>
                <c:pt idx="21">
                  <c:v>9.8000000000000007</c:v>
                </c:pt>
                <c:pt idx="22">
                  <c:v>9.8000000000000007</c:v>
                </c:pt>
                <c:pt idx="23">
                  <c:v>9.8000000000000007</c:v>
                </c:pt>
                <c:pt idx="24">
                  <c:v>9.7492199999999993</c:v>
                </c:pt>
              </c:numCache>
            </c:numRef>
          </c:val>
        </c:ser>
        <c:ser>
          <c:idx val="13"/>
          <c:order val="13"/>
          <c:tx>
            <c:strRef>
              <c:f>'Fuel - BIG MAP'!$AJ$68</c:f>
              <c:strCache>
                <c:ptCount val="1"/>
                <c:pt idx="0">
                  <c:v>160</c:v>
                </c:pt>
              </c:strCache>
            </c:strRef>
          </c:tx>
          <c:spPr>
            <a:solidFill>
              <a:srgbClr val="800000"/>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MAP'!$AJ$69:$AJ$93</c:f>
              <c:numCache>
                <c:formatCode>0.00</c:formatCode>
                <c:ptCount val="25"/>
                <c:pt idx="0">
                  <c:v>11.403600000000001</c:v>
                </c:pt>
                <c:pt idx="1">
                  <c:v>11.403600000000001</c:v>
                </c:pt>
                <c:pt idx="2">
                  <c:v>11.4732</c:v>
                </c:pt>
                <c:pt idx="3">
                  <c:v>11.76</c:v>
                </c:pt>
                <c:pt idx="4">
                  <c:v>11.9847</c:v>
                </c:pt>
                <c:pt idx="5">
                  <c:v>12.2182</c:v>
                </c:pt>
                <c:pt idx="6">
                  <c:v>11.4732</c:v>
                </c:pt>
                <c:pt idx="7">
                  <c:v>10.752000000000001</c:v>
                </c:pt>
                <c:pt idx="8">
                  <c:v>10.5708</c:v>
                </c:pt>
                <c:pt idx="9">
                  <c:v>10.3385</c:v>
                </c:pt>
                <c:pt idx="10">
                  <c:v>10.282</c:v>
                </c:pt>
                <c:pt idx="11">
                  <c:v>10.226100000000001</c:v>
                </c:pt>
                <c:pt idx="12">
                  <c:v>10.1708</c:v>
                </c:pt>
                <c:pt idx="13">
                  <c:v>10.116099999999999</c:v>
                </c:pt>
                <c:pt idx="14">
                  <c:v>10.116099999999999</c:v>
                </c:pt>
                <c:pt idx="15">
                  <c:v>10.116099999999999</c:v>
                </c:pt>
                <c:pt idx="16">
                  <c:v>10.116099999999999</c:v>
                </c:pt>
                <c:pt idx="17">
                  <c:v>10.116099999999999</c:v>
                </c:pt>
                <c:pt idx="18">
                  <c:v>10.1708</c:v>
                </c:pt>
                <c:pt idx="19">
                  <c:v>9.9031599999999997</c:v>
                </c:pt>
                <c:pt idx="20">
                  <c:v>9.4079999999999995</c:v>
                </c:pt>
                <c:pt idx="21">
                  <c:v>9.4079999999999995</c:v>
                </c:pt>
                <c:pt idx="22">
                  <c:v>9.4079999999999995</c:v>
                </c:pt>
                <c:pt idx="23">
                  <c:v>9.4079999999999995</c:v>
                </c:pt>
                <c:pt idx="24">
                  <c:v>9.3611900000000006</c:v>
                </c:pt>
              </c:numCache>
            </c:numRef>
          </c:val>
        </c:ser>
        <c:ser>
          <c:idx val="14"/>
          <c:order val="14"/>
          <c:tx>
            <c:strRef>
              <c:f>'Fuel - BIG MAP'!$AK$68</c:f>
              <c:strCache>
                <c:ptCount val="1"/>
                <c:pt idx="0">
                  <c:v>170</c:v>
                </c:pt>
              </c:strCache>
            </c:strRef>
          </c:tx>
          <c:spPr>
            <a:solidFill>
              <a:srgbClr val="008080"/>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MAP'!$AK$69:$AK$93</c:f>
              <c:numCache>
                <c:formatCode>0.00</c:formatCode>
                <c:ptCount val="25"/>
                <c:pt idx="0">
                  <c:v>11.133699999999999</c:v>
                </c:pt>
                <c:pt idx="1">
                  <c:v>11.133699999999999</c:v>
                </c:pt>
                <c:pt idx="2">
                  <c:v>11.2</c:v>
                </c:pt>
                <c:pt idx="3">
                  <c:v>11.4732</c:v>
                </c:pt>
                <c:pt idx="4">
                  <c:v>11.686999999999999</c:v>
                </c:pt>
                <c:pt idx="5">
                  <c:v>11.908899999999999</c:v>
                </c:pt>
                <c:pt idx="6">
                  <c:v>11.068199999999999</c:v>
                </c:pt>
                <c:pt idx="7">
                  <c:v>10.282</c:v>
                </c:pt>
                <c:pt idx="8">
                  <c:v>10.1708</c:v>
                </c:pt>
                <c:pt idx="9">
                  <c:v>10.061999999999999</c:v>
                </c:pt>
                <c:pt idx="10">
                  <c:v>9.8513099999999998</c:v>
                </c:pt>
                <c:pt idx="11">
                  <c:v>9.6492299999999993</c:v>
                </c:pt>
                <c:pt idx="12">
                  <c:v>9.6492299999999993</c:v>
                </c:pt>
                <c:pt idx="13">
                  <c:v>9.6989699999999992</c:v>
                </c:pt>
                <c:pt idx="14">
                  <c:v>9.6989699999999992</c:v>
                </c:pt>
                <c:pt idx="15">
                  <c:v>9.6989699999999992</c:v>
                </c:pt>
                <c:pt idx="16">
                  <c:v>9.8000000000000007</c:v>
                </c:pt>
                <c:pt idx="17">
                  <c:v>9.9031599999999997</c:v>
                </c:pt>
                <c:pt idx="18">
                  <c:v>9.4552800000000001</c:v>
                </c:pt>
                <c:pt idx="19">
                  <c:v>9.4552800000000001</c:v>
                </c:pt>
                <c:pt idx="20">
                  <c:v>9.1339799999999993</c:v>
                </c:pt>
                <c:pt idx="21">
                  <c:v>9.1339799999999993</c:v>
                </c:pt>
                <c:pt idx="22">
                  <c:v>9.1339799999999993</c:v>
                </c:pt>
                <c:pt idx="23">
                  <c:v>9.1339799999999993</c:v>
                </c:pt>
                <c:pt idx="24">
                  <c:v>9.0898599999999998</c:v>
                </c:pt>
              </c:numCache>
            </c:numRef>
          </c:val>
        </c:ser>
        <c:ser>
          <c:idx val="15"/>
          <c:order val="15"/>
          <c:tx>
            <c:strRef>
              <c:f>'Fuel - BIG MAP'!$AL$68</c:f>
              <c:strCache>
                <c:ptCount val="1"/>
                <c:pt idx="0">
                  <c:v>180</c:v>
                </c:pt>
              </c:strCache>
            </c:strRef>
          </c:tx>
          <c:spPr>
            <a:solidFill>
              <a:srgbClr val="0000FF"/>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MAP'!$AL$69:$AL$93</c:f>
              <c:numCache>
                <c:formatCode>0.00</c:formatCode>
                <c:ptCount val="25"/>
                <c:pt idx="0">
                  <c:v>11.003500000000001</c:v>
                </c:pt>
                <c:pt idx="1">
                  <c:v>11.003500000000001</c:v>
                </c:pt>
                <c:pt idx="2">
                  <c:v>11.068199999999999</c:v>
                </c:pt>
                <c:pt idx="3">
                  <c:v>11.334899999999999</c:v>
                </c:pt>
                <c:pt idx="4">
                  <c:v>11.5436</c:v>
                </c:pt>
                <c:pt idx="5">
                  <c:v>11.76</c:v>
                </c:pt>
                <c:pt idx="6">
                  <c:v>11.003500000000001</c:v>
                </c:pt>
                <c:pt idx="7">
                  <c:v>10.1708</c:v>
                </c:pt>
                <c:pt idx="8">
                  <c:v>10.061999999999999</c:v>
                </c:pt>
                <c:pt idx="9">
                  <c:v>9.8513099999999998</c:v>
                </c:pt>
                <c:pt idx="10">
                  <c:v>9.6492299999999993</c:v>
                </c:pt>
                <c:pt idx="11">
                  <c:v>9.4079999999999995</c:v>
                </c:pt>
                <c:pt idx="12">
                  <c:v>9.4552800000000001</c:v>
                </c:pt>
                <c:pt idx="13">
                  <c:v>9.5030300000000008</c:v>
                </c:pt>
                <c:pt idx="14">
                  <c:v>9.5030300000000008</c:v>
                </c:pt>
                <c:pt idx="15">
                  <c:v>9.5512700000000006</c:v>
                </c:pt>
                <c:pt idx="16">
                  <c:v>9.6492299999999993</c:v>
                </c:pt>
                <c:pt idx="17">
                  <c:v>9.8000000000000007</c:v>
                </c:pt>
                <c:pt idx="18">
                  <c:v>9.3148499999999999</c:v>
                </c:pt>
                <c:pt idx="19">
                  <c:v>9.3148499999999999</c:v>
                </c:pt>
                <c:pt idx="20">
                  <c:v>9.0461500000000008</c:v>
                </c:pt>
                <c:pt idx="21">
                  <c:v>9.0898599999999998</c:v>
                </c:pt>
                <c:pt idx="22">
                  <c:v>9.0898599999999998</c:v>
                </c:pt>
                <c:pt idx="23">
                  <c:v>9.0898599999999998</c:v>
                </c:pt>
                <c:pt idx="24">
                  <c:v>9.0461500000000008</c:v>
                </c:pt>
              </c:numCache>
            </c:numRef>
          </c:val>
        </c:ser>
        <c:ser>
          <c:idx val="16"/>
          <c:order val="16"/>
          <c:tx>
            <c:strRef>
              <c:f>'Fuel - BIG MAP'!$AM$68</c:f>
              <c:strCache>
                <c:ptCount val="1"/>
                <c:pt idx="0">
                  <c:v>190</c:v>
                </c:pt>
              </c:strCache>
            </c:strRef>
          </c:tx>
          <c:spPr>
            <a:solidFill>
              <a:srgbClr val="00CCFF"/>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MAP'!$AM$69:$AM$93</c:f>
              <c:numCache>
                <c:formatCode>0.00</c:formatCode>
                <c:ptCount val="25"/>
                <c:pt idx="0">
                  <c:v>10.876300000000001</c:v>
                </c:pt>
                <c:pt idx="1">
                  <c:v>10.876300000000001</c:v>
                </c:pt>
                <c:pt idx="2">
                  <c:v>10.939500000000001</c:v>
                </c:pt>
                <c:pt idx="3">
                  <c:v>11.2</c:v>
                </c:pt>
                <c:pt idx="4">
                  <c:v>11.403600000000001</c:v>
                </c:pt>
                <c:pt idx="5">
                  <c:v>11.614800000000001</c:v>
                </c:pt>
                <c:pt idx="6">
                  <c:v>10.876300000000001</c:v>
                </c:pt>
                <c:pt idx="7">
                  <c:v>10.116099999999999</c:v>
                </c:pt>
                <c:pt idx="8">
                  <c:v>9.9031599999999997</c:v>
                </c:pt>
                <c:pt idx="9">
                  <c:v>9.6989699999999992</c:v>
                </c:pt>
                <c:pt idx="10">
                  <c:v>9.4079999999999995</c:v>
                </c:pt>
                <c:pt idx="11">
                  <c:v>9.1339799999999993</c:v>
                </c:pt>
                <c:pt idx="12">
                  <c:v>9.1785399999999999</c:v>
                </c:pt>
                <c:pt idx="13">
                  <c:v>9.2689699999999995</c:v>
                </c:pt>
                <c:pt idx="14">
                  <c:v>9.2689699999999995</c:v>
                </c:pt>
                <c:pt idx="15">
                  <c:v>9.2689699999999995</c:v>
                </c:pt>
                <c:pt idx="16">
                  <c:v>9.5030300000000008</c:v>
                </c:pt>
                <c:pt idx="17">
                  <c:v>9.6989699999999992</c:v>
                </c:pt>
                <c:pt idx="18">
                  <c:v>9.2235300000000002</c:v>
                </c:pt>
                <c:pt idx="19">
                  <c:v>9.1339799999999993</c:v>
                </c:pt>
                <c:pt idx="20">
                  <c:v>8.9175400000000007</c:v>
                </c:pt>
                <c:pt idx="21">
                  <c:v>8.9175400000000007</c:v>
                </c:pt>
                <c:pt idx="22">
                  <c:v>8.9175400000000007</c:v>
                </c:pt>
                <c:pt idx="23">
                  <c:v>8.9175400000000007</c:v>
                </c:pt>
                <c:pt idx="24">
                  <c:v>8.87547</c:v>
                </c:pt>
              </c:numCache>
            </c:numRef>
          </c:val>
        </c:ser>
        <c:ser>
          <c:idx val="17"/>
          <c:order val="17"/>
          <c:tx>
            <c:strRef>
              <c:f>'Fuel - BIG MAP'!$AN$68</c:f>
              <c:strCache>
                <c:ptCount val="1"/>
                <c:pt idx="0">
                  <c:v>200</c:v>
                </c:pt>
              </c:strCache>
            </c:strRef>
          </c:tx>
          <c:spPr>
            <a:solidFill>
              <a:srgbClr val="CCFFFF"/>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MAP'!$AN$69:$AN$93</c:f>
              <c:numCache>
                <c:formatCode>0.00</c:formatCode>
                <c:ptCount val="25"/>
                <c:pt idx="0">
                  <c:v>10.752000000000001</c:v>
                </c:pt>
                <c:pt idx="1">
                  <c:v>10.752000000000001</c:v>
                </c:pt>
                <c:pt idx="2">
                  <c:v>10.813800000000001</c:v>
                </c:pt>
                <c:pt idx="3">
                  <c:v>11.068199999999999</c:v>
                </c:pt>
                <c:pt idx="4">
                  <c:v>11.267099999999999</c:v>
                </c:pt>
                <c:pt idx="5">
                  <c:v>11.4732</c:v>
                </c:pt>
                <c:pt idx="6">
                  <c:v>10.752000000000001</c:v>
                </c:pt>
                <c:pt idx="7">
                  <c:v>10.0085</c:v>
                </c:pt>
                <c:pt idx="8">
                  <c:v>9.8000000000000007</c:v>
                </c:pt>
                <c:pt idx="9">
                  <c:v>9.6</c:v>
                </c:pt>
                <c:pt idx="10">
                  <c:v>9.3148499999999999</c:v>
                </c:pt>
                <c:pt idx="11">
                  <c:v>9.0461500000000008</c:v>
                </c:pt>
                <c:pt idx="12">
                  <c:v>9.0898599999999998</c:v>
                </c:pt>
                <c:pt idx="13">
                  <c:v>9.1785399999999999</c:v>
                </c:pt>
                <c:pt idx="14">
                  <c:v>9.1785399999999999</c:v>
                </c:pt>
                <c:pt idx="15">
                  <c:v>9.1785399999999999</c:v>
                </c:pt>
                <c:pt idx="16">
                  <c:v>9.4079999999999995</c:v>
                </c:pt>
                <c:pt idx="17">
                  <c:v>9.6</c:v>
                </c:pt>
                <c:pt idx="18">
                  <c:v>9.1339799999999993</c:v>
                </c:pt>
                <c:pt idx="19">
                  <c:v>9.0461500000000008</c:v>
                </c:pt>
                <c:pt idx="20">
                  <c:v>8.87547</c:v>
                </c:pt>
                <c:pt idx="21">
                  <c:v>8.87547</c:v>
                </c:pt>
                <c:pt idx="22">
                  <c:v>8.87547</c:v>
                </c:pt>
                <c:pt idx="23">
                  <c:v>8.87547</c:v>
                </c:pt>
                <c:pt idx="24">
                  <c:v>8.8338000000000001</c:v>
                </c:pt>
              </c:numCache>
            </c:numRef>
          </c:val>
        </c:ser>
        <c:ser>
          <c:idx val="18"/>
          <c:order val="18"/>
          <c:tx>
            <c:strRef>
              <c:f>'Fuel - BIG MAP'!$AO$68</c:f>
              <c:strCache>
                <c:ptCount val="1"/>
                <c:pt idx="0">
                  <c:v>210</c:v>
                </c:pt>
              </c:strCache>
            </c:strRef>
          </c:tx>
          <c:spPr>
            <a:solidFill>
              <a:srgbClr val="CCFFCC"/>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MAP'!$AO$69:$AO$93</c:f>
              <c:numCache>
                <c:formatCode>0.00</c:formatCode>
                <c:ptCount val="25"/>
                <c:pt idx="0">
                  <c:v>10.6305</c:v>
                </c:pt>
                <c:pt idx="1">
                  <c:v>10.6305</c:v>
                </c:pt>
                <c:pt idx="2">
                  <c:v>10.690899999999999</c:v>
                </c:pt>
                <c:pt idx="3">
                  <c:v>10.939500000000001</c:v>
                </c:pt>
                <c:pt idx="4">
                  <c:v>11.133699999999999</c:v>
                </c:pt>
                <c:pt idx="5">
                  <c:v>11.334899999999999</c:v>
                </c:pt>
                <c:pt idx="6">
                  <c:v>10.6305</c:v>
                </c:pt>
                <c:pt idx="7">
                  <c:v>9.9031599999999997</c:v>
                </c:pt>
                <c:pt idx="8">
                  <c:v>9.6989699999999992</c:v>
                </c:pt>
                <c:pt idx="9">
                  <c:v>9.5030300000000008</c:v>
                </c:pt>
                <c:pt idx="10">
                  <c:v>9.2235300000000002</c:v>
                </c:pt>
                <c:pt idx="11">
                  <c:v>8.9600000000000009</c:v>
                </c:pt>
                <c:pt idx="12">
                  <c:v>9.0028699999999997</c:v>
                </c:pt>
                <c:pt idx="13">
                  <c:v>9.0898599999999998</c:v>
                </c:pt>
                <c:pt idx="14">
                  <c:v>9.0898599999999998</c:v>
                </c:pt>
                <c:pt idx="15">
                  <c:v>9.0898599999999998</c:v>
                </c:pt>
                <c:pt idx="16">
                  <c:v>9.3148499999999999</c:v>
                </c:pt>
                <c:pt idx="17">
                  <c:v>9.5030300000000008</c:v>
                </c:pt>
                <c:pt idx="18">
                  <c:v>9.0461500000000008</c:v>
                </c:pt>
                <c:pt idx="19">
                  <c:v>8.9600000000000009</c:v>
                </c:pt>
                <c:pt idx="20">
                  <c:v>8.7925199999999997</c:v>
                </c:pt>
                <c:pt idx="21">
                  <c:v>8.7925199999999997</c:v>
                </c:pt>
                <c:pt idx="22">
                  <c:v>8.7925199999999997</c:v>
                </c:pt>
                <c:pt idx="23">
                  <c:v>8.7925199999999997</c:v>
                </c:pt>
                <c:pt idx="24">
                  <c:v>8.7516300000000005</c:v>
                </c:pt>
              </c:numCache>
            </c:numRef>
          </c:val>
        </c:ser>
        <c:ser>
          <c:idx val="19"/>
          <c:order val="19"/>
          <c:tx>
            <c:strRef>
              <c:f>'Fuel - BIG MAP'!$AP$68</c:f>
              <c:strCache>
                <c:ptCount val="1"/>
                <c:pt idx="0">
                  <c:v>220</c:v>
                </c:pt>
              </c:strCache>
            </c:strRef>
          </c:tx>
          <c:spPr>
            <a:solidFill>
              <a:srgbClr val="FFFF99"/>
            </a:solidFill>
            <a:ln w="12700">
              <a:solidFill>
                <a:srgbClr val="000000"/>
              </a:solidFill>
              <a:prstDash val="solid"/>
            </a:ln>
            <a:sp3d prstMaterial="flat"/>
          </c:spPr>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MAP'!$AP$69:$AP$93</c:f>
              <c:numCache>
                <c:formatCode>0.00</c:formatCode>
                <c:ptCount val="25"/>
                <c:pt idx="0">
                  <c:v>10.511699999999999</c:v>
                </c:pt>
                <c:pt idx="1">
                  <c:v>10.511699999999999</c:v>
                </c:pt>
                <c:pt idx="2">
                  <c:v>10.5708</c:v>
                </c:pt>
                <c:pt idx="3">
                  <c:v>10.813800000000001</c:v>
                </c:pt>
                <c:pt idx="4">
                  <c:v>11.003500000000001</c:v>
                </c:pt>
                <c:pt idx="5">
                  <c:v>11.2</c:v>
                </c:pt>
                <c:pt idx="6">
                  <c:v>10.511699999999999</c:v>
                </c:pt>
                <c:pt idx="7">
                  <c:v>9.8000000000000007</c:v>
                </c:pt>
                <c:pt idx="8">
                  <c:v>9.6</c:v>
                </c:pt>
                <c:pt idx="9">
                  <c:v>9.4079999999999995</c:v>
                </c:pt>
                <c:pt idx="10">
                  <c:v>9.1339799999999993</c:v>
                </c:pt>
                <c:pt idx="11">
                  <c:v>8.87547</c:v>
                </c:pt>
                <c:pt idx="12">
                  <c:v>8.9600000000000009</c:v>
                </c:pt>
                <c:pt idx="13">
                  <c:v>9.0028699999999997</c:v>
                </c:pt>
                <c:pt idx="14">
                  <c:v>9.0028699999999997</c:v>
                </c:pt>
                <c:pt idx="15">
                  <c:v>9.0028699999999997</c:v>
                </c:pt>
                <c:pt idx="16">
                  <c:v>9.2235300000000002</c:v>
                </c:pt>
                <c:pt idx="17">
                  <c:v>9.4079999999999995</c:v>
                </c:pt>
                <c:pt idx="18">
                  <c:v>8.9600000000000009</c:v>
                </c:pt>
                <c:pt idx="19">
                  <c:v>8.87547</c:v>
                </c:pt>
                <c:pt idx="20">
                  <c:v>8.7111099999999997</c:v>
                </c:pt>
                <c:pt idx="21">
                  <c:v>8.7516300000000005</c:v>
                </c:pt>
                <c:pt idx="22">
                  <c:v>8.7516300000000005</c:v>
                </c:pt>
                <c:pt idx="23">
                  <c:v>8.7516300000000005</c:v>
                </c:pt>
                <c:pt idx="24">
                  <c:v>8.7111099999999997</c:v>
                </c:pt>
              </c:numCache>
            </c:numRef>
          </c:val>
        </c:ser>
        <c:ser>
          <c:idx val="20"/>
          <c:order val="20"/>
          <c:tx>
            <c:strRef>
              <c:f>'Fuel - BIG MAP'!$AQ$68</c:f>
              <c:strCache>
                <c:ptCount val="1"/>
                <c:pt idx="0">
                  <c:v>230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MAP'!$AQ$69:$AQ$93</c:f>
              <c:numCache>
                <c:formatCode>0.00</c:formatCode>
                <c:ptCount val="25"/>
                <c:pt idx="0">
                  <c:v>10.3956</c:v>
                </c:pt>
                <c:pt idx="1">
                  <c:v>10.3956</c:v>
                </c:pt>
                <c:pt idx="2">
                  <c:v>10.4533</c:v>
                </c:pt>
                <c:pt idx="3">
                  <c:v>10.690899999999999</c:v>
                </c:pt>
                <c:pt idx="4">
                  <c:v>10.876300000000001</c:v>
                </c:pt>
                <c:pt idx="5">
                  <c:v>11.068199999999999</c:v>
                </c:pt>
                <c:pt idx="6">
                  <c:v>10.3956</c:v>
                </c:pt>
                <c:pt idx="7">
                  <c:v>9.6989699999999992</c:v>
                </c:pt>
                <c:pt idx="8">
                  <c:v>9.5030300000000008</c:v>
                </c:pt>
                <c:pt idx="9">
                  <c:v>9.3148499999999999</c:v>
                </c:pt>
                <c:pt idx="10">
                  <c:v>9.0461500000000008</c:v>
                </c:pt>
                <c:pt idx="11">
                  <c:v>8.7925199999999997</c:v>
                </c:pt>
                <c:pt idx="12">
                  <c:v>8.87547</c:v>
                </c:pt>
                <c:pt idx="13">
                  <c:v>8.9175400000000007</c:v>
                </c:pt>
                <c:pt idx="14">
                  <c:v>8.9175400000000007</c:v>
                </c:pt>
                <c:pt idx="15">
                  <c:v>8.9175400000000007</c:v>
                </c:pt>
                <c:pt idx="16">
                  <c:v>9.1339799999999993</c:v>
                </c:pt>
                <c:pt idx="17">
                  <c:v>9.3148499999999999</c:v>
                </c:pt>
                <c:pt idx="18">
                  <c:v>8.87547</c:v>
                </c:pt>
                <c:pt idx="19">
                  <c:v>8.7925199999999997</c:v>
                </c:pt>
                <c:pt idx="20">
                  <c:v>8.6311900000000001</c:v>
                </c:pt>
                <c:pt idx="21">
                  <c:v>8.6311900000000001</c:v>
                </c:pt>
                <c:pt idx="22">
                  <c:v>8.6311900000000001</c:v>
                </c:pt>
                <c:pt idx="23">
                  <c:v>8.6311900000000001</c:v>
                </c:pt>
                <c:pt idx="24">
                  <c:v>8.59178</c:v>
                </c:pt>
              </c:numCache>
            </c:numRef>
          </c:val>
        </c:ser>
        <c:ser>
          <c:idx val="21"/>
          <c:order val="21"/>
          <c:tx>
            <c:strRef>
              <c:f>'Fuel - BIG MAP'!$AR$68</c:f>
              <c:strCache>
                <c:ptCount val="1"/>
                <c:pt idx="0">
                  <c:v>240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MAP'!$AR$69:$AR$93</c:f>
              <c:numCache>
                <c:formatCode>0.00</c:formatCode>
                <c:ptCount val="25"/>
                <c:pt idx="0">
                  <c:v>10.282</c:v>
                </c:pt>
                <c:pt idx="1">
                  <c:v>10.3385</c:v>
                </c:pt>
                <c:pt idx="2">
                  <c:v>10.3956</c:v>
                </c:pt>
                <c:pt idx="3">
                  <c:v>10.5708</c:v>
                </c:pt>
                <c:pt idx="4">
                  <c:v>10.752000000000001</c:v>
                </c:pt>
                <c:pt idx="5">
                  <c:v>10.939500000000001</c:v>
                </c:pt>
                <c:pt idx="6">
                  <c:v>10.282</c:v>
                </c:pt>
                <c:pt idx="7">
                  <c:v>9.6</c:v>
                </c:pt>
                <c:pt idx="8">
                  <c:v>9.4079999999999995</c:v>
                </c:pt>
                <c:pt idx="9">
                  <c:v>9.2235300000000002</c:v>
                </c:pt>
                <c:pt idx="10">
                  <c:v>8.9600000000000009</c:v>
                </c:pt>
                <c:pt idx="11">
                  <c:v>8.7111099999999997</c:v>
                </c:pt>
                <c:pt idx="12">
                  <c:v>8.7516300000000005</c:v>
                </c:pt>
                <c:pt idx="13">
                  <c:v>8.8338000000000001</c:v>
                </c:pt>
                <c:pt idx="14">
                  <c:v>8.8338000000000001</c:v>
                </c:pt>
                <c:pt idx="15">
                  <c:v>8.8338000000000001</c:v>
                </c:pt>
                <c:pt idx="16">
                  <c:v>9.0461500000000008</c:v>
                </c:pt>
                <c:pt idx="17">
                  <c:v>9.2235300000000002</c:v>
                </c:pt>
                <c:pt idx="18">
                  <c:v>8.7925199999999997</c:v>
                </c:pt>
                <c:pt idx="19">
                  <c:v>8.7111099999999997</c:v>
                </c:pt>
                <c:pt idx="20">
                  <c:v>8.5527300000000004</c:v>
                </c:pt>
                <c:pt idx="21">
                  <c:v>8.59178</c:v>
                </c:pt>
                <c:pt idx="22">
                  <c:v>8.59178</c:v>
                </c:pt>
                <c:pt idx="23">
                  <c:v>8.59178</c:v>
                </c:pt>
                <c:pt idx="24">
                  <c:v>8.5527300000000004</c:v>
                </c:pt>
              </c:numCache>
            </c:numRef>
          </c:val>
        </c:ser>
        <c:ser>
          <c:idx val="22"/>
          <c:order val="22"/>
          <c:tx>
            <c:strRef>
              <c:f>'Fuel - BIG MAP'!$AS$68</c:f>
              <c:strCache>
                <c:ptCount val="1"/>
                <c:pt idx="0">
                  <c:v>250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MAP'!$AS$69:$AS$93</c:f>
              <c:numCache>
                <c:formatCode>0.00</c:formatCode>
                <c:ptCount val="25"/>
                <c:pt idx="0">
                  <c:v>10.1708</c:v>
                </c:pt>
                <c:pt idx="1">
                  <c:v>10.1708</c:v>
                </c:pt>
                <c:pt idx="2">
                  <c:v>10.4533</c:v>
                </c:pt>
                <c:pt idx="3">
                  <c:v>10.4533</c:v>
                </c:pt>
                <c:pt idx="4">
                  <c:v>10.6305</c:v>
                </c:pt>
                <c:pt idx="5">
                  <c:v>10.813800000000001</c:v>
                </c:pt>
                <c:pt idx="6">
                  <c:v>10.1708</c:v>
                </c:pt>
                <c:pt idx="7">
                  <c:v>9.5030300000000008</c:v>
                </c:pt>
                <c:pt idx="8">
                  <c:v>9.3148499999999999</c:v>
                </c:pt>
                <c:pt idx="9">
                  <c:v>9.1339799999999993</c:v>
                </c:pt>
                <c:pt idx="10">
                  <c:v>8.87547</c:v>
                </c:pt>
                <c:pt idx="11">
                  <c:v>8.6311900000000001</c:v>
                </c:pt>
                <c:pt idx="12">
                  <c:v>8.6709700000000005</c:v>
                </c:pt>
                <c:pt idx="13">
                  <c:v>8.7516300000000005</c:v>
                </c:pt>
                <c:pt idx="14">
                  <c:v>8.7516300000000005</c:v>
                </c:pt>
                <c:pt idx="15">
                  <c:v>8.7516300000000005</c:v>
                </c:pt>
                <c:pt idx="16">
                  <c:v>8.9600000000000009</c:v>
                </c:pt>
                <c:pt idx="17">
                  <c:v>9.1339799999999993</c:v>
                </c:pt>
                <c:pt idx="18">
                  <c:v>8.7111099999999997</c:v>
                </c:pt>
                <c:pt idx="19">
                  <c:v>8.6311900000000001</c:v>
                </c:pt>
                <c:pt idx="20">
                  <c:v>8.4756800000000005</c:v>
                </c:pt>
                <c:pt idx="21">
                  <c:v>8.4756800000000005</c:v>
                </c:pt>
                <c:pt idx="22">
                  <c:v>8.4756800000000005</c:v>
                </c:pt>
                <c:pt idx="23">
                  <c:v>8.4756800000000005</c:v>
                </c:pt>
                <c:pt idx="24">
                  <c:v>8.4376700000000007</c:v>
                </c:pt>
              </c:numCache>
            </c:numRef>
          </c:val>
        </c:ser>
        <c:ser>
          <c:idx val="23"/>
          <c:order val="23"/>
          <c:tx>
            <c:strRef>
              <c:f>'Fuel - BIG MAP'!$AT$68</c:f>
              <c:strCache>
                <c:ptCount val="1"/>
                <c:pt idx="0">
                  <c:v>260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MAP'!$AT$69:$AT$93</c:f>
              <c:numCache>
                <c:formatCode>0.00</c:formatCode>
                <c:ptCount val="25"/>
                <c:pt idx="0">
                  <c:v>10.061999999999999</c:v>
                </c:pt>
                <c:pt idx="1">
                  <c:v>10.116099999999999</c:v>
                </c:pt>
                <c:pt idx="2">
                  <c:v>10.3956</c:v>
                </c:pt>
                <c:pt idx="3">
                  <c:v>10.3385</c:v>
                </c:pt>
                <c:pt idx="4">
                  <c:v>10.511699999999999</c:v>
                </c:pt>
                <c:pt idx="5">
                  <c:v>10.6305</c:v>
                </c:pt>
                <c:pt idx="6">
                  <c:v>9.9555600000000002</c:v>
                </c:pt>
                <c:pt idx="7">
                  <c:v>9.3148499999999999</c:v>
                </c:pt>
                <c:pt idx="8">
                  <c:v>9.1339799999999993</c:v>
                </c:pt>
                <c:pt idx="9">
                  <c:v>9.0461500000000008</c:v>
                </c:pt>
                <c:pt idx="10">
                  <c:v>8.7925199999999997</c:v>
                </c:pt>
                <c:pt idx="11">
                  <c:v>8.5527300000000004</c:v>
                </c:pt>
                <c:pt idx="12">
                  <c:v>8.59178</c:v>
                </c:pt>
                <c:pt idx="13">
                  <c:v>8.6709700000000005</c:v>
                </c:pt>
                <c:pt idx="14">
                  <c:v>8.6709700000000005</c:v>
                </c:pt>
                <c:pt idx="15">
                  <c:v>8.6709700000000005</c:v>
                </c:pt>
                <c:pt idx="16">
                  <c:v>8.87547</c:v>
                </c:pt>
                <c:pt idx="17">
                  <c:v>9.0461500000000008</c:v>
                </c:pt>
                <c:pt idx="18">
                  <c:v>8.6311900000000001</c:v>
                </c:pt>
                <c:pt idx="19">
                  <c:v>8.5527300000000004</c:v>
                </c:pt>
                <c:pt idx="20">
                  <c:v>8.4</c:v>
                </c:pt>
                <c:pt idx="21">
                  <c:v>8.4376700000000007</c:v>
                </c:pt>
                <c:pt idx="22">
                  <c:v>8.4376700000000007</c:v>
                </c:pt>
                <c:pt idx="23">
                  <c:v>8.4376700000000007</c:v>
                </c:pt>
                <c:pt idx="24">
                  <c:v>8.4</c:v>
                </c:pt>
              </c:numCache>
            </c:numRef>
          </c:val>
        </c:ser>
        <c:ser>
          <c:idx val="24"/>
          <c:order val="24"/>
          <c:tx>
            <c:strRef>
              <c:f>'Fuel - BIG MAP'!$AU$68</c:f>
              <c:strCache>
                <c:ptCount val="1"/>
                <c:pt idx="0">
                  <c:v>270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MAP'!$AU$69:$AU$93</c:f>
              <c:numCache>
                <c:formatCode>0.00</c:formatCode>
                <c:ptCount val="25"/>
                <c:pt idx="0">
                  <c:v>9.9555600000000002</c:v>
                </c:pt>
                <c:pt idx="1">
                  <c:v>9.9555600000000002</c:v>
                </c:pt>
                <c:pt idx="2">
                  <c:v>10.4533</c:v>
                </c:pt>
                <c:pt idx="3">
                  <c:v>10.226100000000001</c:v>
                </c:pt>
                <c:pt idx="4">
                  <c:v>10.3956</c:v>
                </c:pt>
                <c:pt idx="5">
                  <c:v>10.5708</c:v>
                </c:pt>
                <c:pt idx="6">
                  <c:v>9.7492199999999993</c:v>
                </c:pt>
                <c:pt idx="7">
                  <c:v>8.9600000000000009</c:v>
                </c:pt>
                <c:pt idx="8">
                  <c:v>8.9600000000000009</c:v>
                </c:pt>
                <c:pt idx="9">
                  <c:v>8.9600000000000009</c:v>
                </c:pt>
                <c:pt idx="10">
                  <c:v>8.7111099999999997</c:v>
                </c:pt>
                <c:pt idx="11">
                  <c:v>8.4756800000000005</c:v>
                </c:pt>
                <c:pt idx="12">
                  <c:v>8.51403</c:v>
                </c:pt>
                <c:pt idx="13">
                  <c:v>8.59178</c:v>
                </c:pt>
                <c:pt idx="14">
                  <c:v>8.59178</c:v>
                </c:pt>
                <c:pt idx="15">
                  <c:v>8.59178</c:v>
                </c:pt>
                <c:pt idx="16">
                  <c:v>8.7925199999999997</c:v>
                </c:pt>
                <c:pt idx="17">
                  <c:v>8.9600000000000009</c:v>
                </c:pt>
                <c:pt idx="18">
                  <c:v>8.5527300000000004</c:v>
                </c:pt>
                <c:pt idx="19">
                  <c:v>8.4756800000000005</c:v>
                </c:pt>
                <c:pt idx="20">
                  <c:v>8.3256599999999992</c:v>
                </c:pt>
                <c:pt idx="21">
                  <c:v>8.3256599999999992</c:v>
                </c:pt>
                <c:pt idx="22">
                  <c:v>8.3256599999999992</c:v>
                </c:pt>
                <c:pt idx="23">
                  <c:v>8.3256599999999992</c:v>
                </c:pt>
                <c:pt idx="24">
                  <c:v>8.2889900000000001</c:v>
                </c:pt>
              </c:numCache>
            </c:numRef>
          </c:val>
        </c:ser>
        <c:ser>
          <c:idx val="25"/>
          <c:order val="25"/>
          <c:tx>
            <c:strRef>
              <c:f>'Fuel - BIG MAP'!$AV$68</c:f>
              <c:strCache>
                <c:ptCount val="1"/>
                <c:pt idx="0">
                  <c:v>280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MAP'!$AV$69:$AV$93</c:f>
              <c:numCache>
                <c:formatCode>0.00</c:formatCode>
                <c:ptCount val="25"/>
                <c:pt idx="0">
                  <c:v>9.9555600000000002</c:v>
                </c:pt>
                <c:pt idx="1">
                  <c:v>9.9555600000000002</c:v>
                </c:pt>
                <c:pt idx="2">
                  <c:v>10.4533</c:v>
                </c:pt>
                <c:pt idx="3">
                  <c:v>10.226100000000001</c:v>
                </c:pt>
                <c:pt idx="4">
                  <c:v>10.3956</c:v>
                </c:pt>
                <c:pt idx="5">
                  <c:v>10.5708</c:v>
                </c:pt>
                <c:pt idx="6">
                  <c:v>9.7492199999999993</c:v>
                </c:pt>
                <c:pt idx="7">
                  <c:v>8.9600000000000009</c:v>
                </c:pt>
                <c:pt idx="8">
                  <c:v>8.9600000000000009</c:v>
                </c:pt>
                <c:pt idx="9">
                  <c:v>8.9600000000000009</c:v>
                </c:pt>
                <c:pt idx="10">
                  <c:v>8.7111099999999997</c:v>
                </c:pt>
                <c:pt idx="11">
                  <c:v>8.4756800000000005</c:v>
                </c:pt>
                <c:pt idx="12">
                  <c:v>8.51403</c:v>
                </c:pt>
                <c:pt idx="13">
                  <c:v>8.59178</c:v>
                </c:pt>
                <c:pt idx="14">
                  <c:v>8.59178</c:v>
                </c:pt>
                <c:pt idx="15">
                  <c:v>8.59178</c:v>
                </c:pt>
                <c:pt idx="16">
                  <c:v>8.7925199999999997</c:v>
                </c:pt>
                <c:pt idx="17">
                  <c:v>8.9600000000000009</c:v>
                </c:pt>
                <c:pt idx="18">
                  <c:v>8.5527300000000004</c:v>
                </c:pt>
                <c:pt idx="19">
                  <c:v>8.4756800000000005</c:v>
                </c:pt>
                <c:pt idx="20">
                  <c:v>8.3256599999999992</c:v>
                </c:pt>
                <c:pt idx="21">
                  <c:v>8.3256599999999992</c:v>
                </c:pt>
                <c:pt idx="22">
                  <c:v>8.3256599999999992</c:v>
                </c:pt>
                <c:pt idx="23">
                  <c:v>8.3256599999999992</c:v>
                </c:pt>
                <c:pt idx="24">
                  <c:v>8.2889900000000001</c:v>
                </c:pt>
              </c:numCache>
            </c:numRef>
          </c:val>
        </c:ser>
        <c:ser>
          <c:idx val="26"/>
          <c:order val="26"/>
          <c:tx>
            <c:strRef>
              <c:f>'Fuel - BIG MAP'!$AW$68</c:f>
              <c:strCache>
                <c:ptCount val="1"/>
                <c:pt idx="0">
                  <c:v>290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MAP'!$AW$69:$AW$93</c:f>
              <c:numCache>
                <c:formatCode>0.00</c:formatCode>
                <c:ptCount val="25"/>
                <c:pt idx="0">
                  <c:v>9.9555600000000002</c:v>
                </c:pt>
                <c:pt idx="1">
                  <c:v>9.9555600000000002</c:v>
                </c:pt>
                <c:pt idx="2">
                  <c:v>10.4533</c:v>
                </c:pt>
                <c:pt idx="3">
                  <c:v>10.226100000000001</c:v>
                </c:pt>
                <c:pt idx="4">
                  <c:v>10.3956</c:v>
                </c:pt>
                <c:pt idx="5">
                  <c:v>10.5708</c:v>
                </c:pt>
                <c:pt idx="6">
                  <c:v>9.7492199999999993</c:v>
                </c:pt>
                <c:pt idx="7">
                  <c:v>8.9600000000000009</c:v>
                </c:pt>
                <c:pt idx="8">
                  <c:v>8.9600000000000009</c:v>
                </c:pt>
                <c:pt idx="9">
                  <c:v>8.9600000000000009</c:v>
                </c:pt>
                <c:pt idx="10">
                  <c:v>8.7111099999999997</c:v>
                </c:pt>
                <c:pt idx="11">
                  <c:v>8.4756800000000005</c:v>
                </c:pt>
                <c:pt idx="12">
                  <c:v>8.51403</c:v>
                </c:pt>
                <c:pt idx="13">
                  <c:v>8.59178</c:v>
                </c:pt>
                <c:pt idx="14">
                  <c:v>8.59178</c:v>
                </c:pt>
                <c:pt idx="15">
                  <c:v>8.59178</c:v>
                </c:pt>
                <c:pt idx="16">
                  <c:v>8.7925199999999997</c:v>
                </c:pt>
                <c:pt idx="17">
                  <c:v>8.9600000000000009</c:v>
                </c:pt>
                <c:pt idx="18">
                  <c:v>8.5527300000000004</c:v>
                </c:pt>
                <c:pt idx="19">
                  <c:v>8.4756800000000005</c:v>
                </c:pt>
                <c:pt idx="20">
                  <c:v>8.3256599999999992</c:v>
                </c:pt>
                <c:pt idx="21">
                  <c:v>8.3256599999999992</c:v>
                </c:pt>
                <c:pt idx="22">
                  <c:v>8.3256599999999992</c:v>
                </c:pt>
                <c:pt idx="23">
                  <c:v>8.3256599999999992</c:v>
                </c:pt>
                <c:pt idx="24">
                  <c:v>8.2889900000000001</c:v>
                </c:pt>
              </c:numCache>
            </c:numRef>
          </c:val>
        </c:ser>
        <c:ser>
          <c:idx val="27"/>
          <c:order val="27"/>
          <c:tx>
            <c:strRef>
              <c:f>'Fuel - BIG MAP'!$AX$68</c:f>
              <c:strCache>
                <c:ptCount val="1"/>
                <c:pt idx="0">
                  <c:v>300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MAP'!$AX$69:$AX$93</c:f>
              <c:numCache>
                <c:formatCode>0.00</c:formatCode>
                <c:ptCount val="25"/>
                <c:pt idx="0">
                  <c:v>9.9555600000000002</c:v>
                </c:pt>
                <c:pt idx="1">
                  <c:v>9.9555600000000002</c:v>
                </c:pt>
                <c:pt idx="2">
                  <c:v>10.4533</c:v>
                </c:pt>
                <c:pt idx="3">
                  <c:v>10.226100000000001</c:v>
                </c:pt>
                <c:pt idx="4">
                  <c:v>10.3956</c:v>
                </c:pt>
                <c:pt idx="5">
                  <c:v>10.5708</c:v>
                </c:pt>
                <c:pt idx="6">
                  <c:v>9.7492199999999993</c:v>
                </c:pt>
                <c:pt idx="7">
                  <c:v>8.9600000000000009</c:v>
                </c:pt>
                <c:pt idx="8">
                  <c:v>8.9600000000000009</c:v>
                </c:pt>
                <c:pt idx="9">
                  <c:v>8.9600000000000009</c:v>
                </c:pt>
                <c:pt idx="10">
                  <c:v>8.7111099999999997</c:v>
                </c:pt>
                <c:pt idx="11">
                  <c:v>8.4756800000000005</c:v>
                </c:pt>
                <c:pt idx="12">
                  <c:v>8.51403</c:v>
                </c:pt>
                <c:pt idx="13">
                  <c:v>8.59178</c:v>
                </c:pt>
                <c:pt idx="14">
                  <c:v>8.59178</c:v>
                </c:pt>
                <c:pt idx="15">
                  <c:v>8.59178</c:v>
                </c:pt>
                <c:pt idx="16">
                  <c:v>8.7925199999999997</c:v>
                </c:pt>
                <c:pt idx="17">
                  <c:v>8.9600000000000009</c:v>
                </c:pt>
                <c:pt idx="18">
                  <c:v>8.5527300000000004</c:v>
                </c:pt>
                <c:pt idx="19">
                  <c:v>8.4756800000000005</c:v>
                </c:pt>
                <c:pt idx="20">
                  <c:v>8.3256599999999992</c:v>
                </c:pt>
                <c:pt idx="21">
                  <c:v>8.3256599999999992</c:v>
                </c:pt>
                <c:pt idx="22">
                  <c:v>8.3256599999999992</c:v>
                </c:pt>
                <c:pt idx="23">
                  <c:v>8.3256599999999992</c:v>
                </c:pt>
                <c:pt idx="24">
                  <c:v>8.2889900000000001</c:v>
                </c:pt>
              </c:numCache>
            </c:numRef>
          </c:val>
        </c:ser>
        <c:ser>
          <c:idx val="28"/>
          <c:order val="28"/>
          <c:tx>
            <c:strRef>
              <c:f>'Fuel - BIG MAP'!$AY$68</c:f>
              <c:strCache>
                <c:ptCount val="1"/>
                <c:pt idx="0">
                  <c:v>310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MAP'!$AY$69:$AY$93</c:f>
              <c:numCache>
                <c:formatCode>0.00</c:formatCode>
                <c:ptCount val="25"/>
                <c:pt idx="0">
                  <c:v>9.9555600000000002</c:v>
                </c:pt>
                <c:pt idx="1">
                  <c:v>9.9555600000000002</c:v>
                </c:pt>
                <c:pt idx="2">
                  <c:v>10.4533</c:v>
                </c:pt>
                <c:pt idx="3">
                  <c:v>10.226100000000001</c:v>
                </c:pt>
                <c:pt idx="4">
                  <c:v>10.3956</c:v>
                </c:pt>
                <c:pt idx="5">
                  <c:v>10.5708</c:v>
                </c:pt>
                <c:pt idx="6">
                  <c:v>9.7492199999999993</c:v>
                </c:pt>
                <c:pt idx="7">
                  <c:v>8.9600000000000009</c:v>
                </c:pt>
                <c:pt idx="8">
                  <c:v>8.9600000000000009</c:v>
                </c:pt>
                <c:pt idx="9">
                  <c:v>8.9600000000000009</c:v>
                </c:pt>
                <c:pt idx="10">
                  <c:v>8.7111099999999997</c:v>
                </c:pt>
                <c:pt idx="11">
                  <c:v>8.4756800000000005</c:v>
                </c:pt>
                <c:pt idx="12">
                  <c:v>8.51403</c:v>
                </c:pt>
                <c:pt idx="13">
                  <c:v>8.59178</c:v>
                </c:pt>
                <c:pt idx="14">
                  <c:v>8.59178</c:v>
                </c:pt>
                <c:pt idx="15">
                  <c:v>8.59178</c:v>
                </c:pt>
                <c:pt idx="16">
                  <c:v>8.7925199999999997</c:v>
                </c:pt>
                <c:pt idx="17">
                  <c:v>8.9600000000000009</c:v>
                </c:pt>
                <c:pt idx="18">
                  <c:v>8.5527300000000004</c:v>
                </c:pt>
                <c:pt idx="19">
                  <c:v>8.4756800000000005</c:v>
                </c:pt>
                <c:pt idx="20">
                  <c:v>8.3256599999999992</c:v>
                </c:pt>
                <c:pt idx="21">
                  <c:v>8.3256599999999992</c:v>
                </c:pt>
                <c:pt idx="22">
                  <c:v>8.3256599999999992</c:v>
                </c:pt>
                <c:pt idx="23">
                  <c:v>8.3256599999999992</c:v>
                </c:pt>
                <c:pt idx="24">
                  <c:v>8.2889900000000001</c:v>
                </c:pt>
              </c:numCache>
            </c:numRef>
          </c:val>
        </c:ser>
        <c:ser>
          <c:idx val="29"/>
          <c:order val="29"/>
          <c:tx>
            <c:strRef>
              <c:f>'Fuel - BIG MAP'!$AZ$68</c:f>
              <c:strCache>
                <c:ptCount val="1"/>
                <c:pt idx="0">
                  <c:v>320</c:v>
                </c:pt>
              </c:strCache>
            </c:strRef>
          </c:tx>
          <c:cat>
            <c:numRef>
              <c:f>'Fuel - BIG MAP'!$V$69:$V$93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MAP'!$AZ$69:$AZ$93</c:f>
              <c:numCache>
                <c:formatCode>0.00</c:formatCode>
                <c:ptCount val="25"/>
                <c:pt idx="0">
                  <c:v>9.9555600000000002</c:v>
                </c:pt>
                <c:pt idx="1">
                  <c:v>9.9555600000000002</c:v>
                </c:pt>
                <c:pt idx="2">
                  <c:v>10.4533</c:v>
                </c:pt>
                <c:pt idx="3">
                  <c:v>10.226100000000001</c:v>
                </c:pt>
                <c:pt idx="4">
                  <c:v>10.3956</c:v>
                </c:pt>
                <c:pt idx="5">
                  <c:v>10.5708</c:v>
                </c:pt>
                <c:pt idx="6">
                  <c:v>9.7492199999999993</c:v>
                </c:pt>
                <c:pt idx="7">
                  <c:v>8.9600000000000009</c:v>
                </c:pt>
                <c:pt idx="8">
                  <c:v>8.9600000000000009</c:v>
                </c:pt>
                <c:pt idx="9">
                  <c:v>8.9600000000000009</c:v>
                </c:pt>
                <c:pt idx="10">
                  <c:v>8.7111099999999997</c:v>
                </c:pt>
                <c:pt idx="11">
                  <c:v>8.4756800000000005</c:v>
                </c:pt>
                <c:pt idx="12">
                  <c:v>8.51403</c:v>
                </c:pt>
                <c:pt idx="13">
                  <c:v>8.59178</c:v>
                </c:pt>
                <c:pt idx="14">
                  <c:v>8.59178</c:v>
                </c:pt>
                <c:pt idx="15">
                  <c:v>8.59178</c:v>
                </c:pt>
                <c:pt idx="16">
                  <c:v>8.7925199999999997</c:v>
                </c:pt>
                <c:pt idx="17">
                  <c:v>8.9600000000000009</c:v>
                </c:pt>
                <c:pt idx="18">
                  <c:v>8.5527300000000004</c:v>
                </c:pt>
                <c:pt idx="19">
                  <c:v>8.4756800000000005</c:v>
                </c:pt>
                <c:pt idx="20">
                  <c:v>8.3256599999999992</c:v>
                </c:pt>
                <c:pt idx="21">
                  <c:v>8.3256599999999992</c:v>
                </c:pt>
                <c:pt idx="22">
                  <c:v>8.3256599999999992</c:v>
                </c:pt>
                <c:pt idx="23">
                  <c:v>8.3256599999999992</c:v>
                </c:pt>
                <c:pt idx="24">
                  <c:v>8.2889900000000001</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86420864"/>
        <c:axId val="86427136"/>
        <c:axId val="86284928"/>
      </c:surface3DChart>
      <c:catAx>
        <c:axId val="86420864"/>
        <c:scaling>
          <c:orientation val="maxMin"/>
        </c:scaling>
        <c:axPos val="b"/>
        <c:title>
          <c:tx>
            <c:rich>
              <a:bodyPr rot="5400000" vert="horz"/>
              <a:lstStyle/>
              <a:p>
                <a:pPr algn="ctr">
                  <a:defRPr sz="1025" b="1" i="0" u="none" strike="noStrike" baseline="0">
                    <a:solidFill>
                      <a:srgbClr val="000000"/>
                    </a:solidFill>
                    <a:latin typeface="Arial"/>
                    <a:ea typeface="Arial"/>
                    <a:cs typeface="Arial"/>
                  </a:defRPr>
                </a:pPr>
                <a:r>
                  <a:rPr lang="en-US"/>
                  <a:t>RPM</a:t>
                </a:r>
              </a:p>
            </c:rich>
          </c:tx>
          <c:layout>
            <c:manualLayout>
              <c:xMode val="edge"/>
              <c:yMode val="edge"/>
              <c:x val="0.95198592974718754"/>
              <c:y val="0.47478470543793783"/>
            </c:manualLayout>
          </c:layout>
          <c:spPr>
            <a:noFill/>
            <a:ln w="25400">
              <a:noFill/>
            </a:ln>
          </c:spPr>
        </c:title>
        <c:numFmt formatCode="General" sourceLinked="1"/>
        <c:tickLblPos val="low"/>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86427136"/>
        <c:crosses val="autoZero"/>
        <c:auto val="1"/>
        <c:lblAlgn val="ctr"/>
        <c:lblOffset val="100"/>
        <c:tickLblSkip val="1"/>
        <c:tickMarkSkip val="1"/>
        <c:noMultiLvlLbl val="1"/>
      </c:catAx>
      <c:valAx>
        <c:axId val="86427136"/>
        <c:scaling>
          <c:orientation val="minMax"/>
          <c:max val="15"/>
          <c:min val="8"/>
        </c:scaling>
        <c:delete val="1"/>
        <c:axPos val="r"/>
        <c:majorGridlines>
          <c:spPr>
            <a:ln w="3175">
              <a:solidFill>
                <a:srgbClr val="000000"/>
              </a:solidFill>
              <a:prstDash val="solid"/>
            </a:ln>
          </c:spPr>
        </c:majorGridlines>
        <c:title>
          <c:tx>
            <c:rich>
              <a:bodyPr rot="0" vert="horz"/>
              <a:lstStyle/>
              <a:p>
                <a:pPr algn="ctr">
                  <a:defRPr sz="1025" b="1" i="0" u="none" strike="noStrike" baseline="0">
                    <a:solidFill>
                      <a:srgbClr val="000000"/>
                    </a:solidFill>
                    <a:latin typeface="Arial"/>
                    <a:ea typeface="Arial"/>
                    <a:cs typeface="Arial"/>
                  </a:defRPr>
                </a:pPr>
                <a:r>
                  <a:rPr lang="en-US"/>
                  <a:t>Trim</a:t>
                </a:r>
              </a:p>
            </c:rich>
          </c:tx>
          <c:layout>
            <c:manualLayout>
              <c:xMode val="edge"/>
              <c:yMode val="edge"/>
              <c:x val="9.1244057779490892E-3"/>
              <c:y val="0.83624057957667575"/>
            </c:manualLayout>
          </c:layout>
          <c:spPr>
            <a:noFill/>
            <a:ln w="25400">
              <a:noFill/>
            </a:ln>
          </c:spPr>
        </c:title>
        <c:numFmt formatCode="0.00" sourceLinked="1"/>
        <c:tickLblPos val="none"/>
        <c:crossAx val="86420864"/>
        <c:crosses val="autoZero"/>
        <c:crossBetween val="midCat"/>
        <c:majorUnit val="0.25"/>
        <c:minorUnit val="0.1"/>
      </c:valAx>
      <c:serAx>
        <c:axId val="86284928"/>
        <c:scaling>
          <c:orientation val="maxMin"/>
        </c:scaling>
        <c:axPos val="b"/>
        <c:title>
          <c:tx>
            <c:rich>
              <a:bodyPr/>
              <a:lstStyle/>
              <a:p>
                <a:pPr>
                  <a:defRPr sz="1025" b="1" i="0" u="none" strike="noStrike" baseline="0">
                    <a:solidFill>
                      <a:srgbClr val="000000"/>
                    </a:solidFill>
                    <a:latin typeface="Arial"/>
                    <a:ea typeface="Arial"/>
                    <a:cs typeface="Arial"/>
                  </a:defRPr>
                </a:pPr>
                <a:r>
                  <a:rPr lang="en-US"/>
                  <a:t>Load</a:t>
                </a:r>
              </a:p>
            </c:rich>
          </c:tx>
          <c:layout>
            <c:manualLayout>
              <c:xMode val="edge"/>
              <c:yMode val="edge"/>
              <c:x val="0.43014655947726821"/>
              <c:y val="0.92160688247302436"/>
            </c:manualLayout>
          </c:layout>
          <c:spPr>
            <a:noFill/>
            <a:ln w="25400">
              <a:noFill/>
            </a:ln>
          </c:spPr>
        </c:title>
        <c:numFmt formatCode="General" sourceLinked="1"/>
        <c:tickLblPos val="low"/>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86427136"/>
        <c:crosses val="autoZero"/>
        <c:tickLblSkip val="8"/>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5.2086736760733721E-2"/>
          <c:y val="3.6868194790208083E-3"/>
          <c:w val="0.81192549238366374"/>
          <c:h val="0.83233346489557503"/>
        </c:manualLayout>
      </c:layout>
      <c:surface3DChart>
        <c:ser>
          <c:idx val="0"/>
          <c:order val="0"/>
          <c:tx>
            <c:strRef>
              <c:f>'Fuel - BIG MAP'!$W$38</c:f>
              <c:strCache>
                <c:ptCount val="1"/>
                <c:pt idx="0">
                  <c:v>10</c:v>
                </c:pt>
              </c:strCache>
            </c:strRef>
          </c:tx>
          <c:spPr>
            <a:solidFill>
              <a:srgbClr val="9999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MAP'!$W$39:$W$63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14.473800000000001</c:v>
                </c:pt>
                <c:pt idx="19">
                  <c:v>14.0418</c:v>
                </c:pt>
                <c:pt idx="20">
                  <c:v>13.8353</c:v>
                </c:pt>
                <c:pt idx="21">
                  <c:v>13.8353</c:v>
                </c:pt>
                <c:pt idx="22">
                  <c:v>13.8353</c:v>
                </c:pt>
                <c:pt idx="23">
                  <c:v>13.8353</c:v>
                </c:pt>
                <c:pt idx="24">
                  <c:v>13.8353</c:v>
                </c:pt>
              </c:numCache>
            </c:numRef>
          </c:val>
        </c:ser>
        <c:ser>
          <c:idx val="1"/>
          <c:order val="1"/>
          <c:tx>
            <c:strRef>
              <c:f>'Fuel - BIG MAP'!$X$38</c:f>
              <c:strCache>
                <c:ptCount val="1"/>
                <c:pt idx="0">
                  <c:v>20</c:v>
                </c:pt>
              </c:strCache>
            </c:strRef>
          </c:tx>
          <c:spPr>
            <a:solidFill>
              <a:srgbClr val="993366"/>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MAP'!$X$39:$X$63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14.3634</c:v>
                </c:pt>
                <c:pt idx="19">
                  <c:v>14.0418</c:v>
                </c:pt>
                <c:pt idx="20">
                  <c:v>13.8353</c:v>
                </c:pt>
                <c:pt idx="21">
                  <c:v>13.8353</c:v>
                </c:pt>
                <c:pt idx="22">
                  <c:v>13.8353</c:v>
                </c:pt>
                <c:pt idx="23">
                  <c:v>13.8353</c:v>
                </c:pt>
                <c:pt idx="24">
                  <c:v>13.8353</c:v>
                </c:pt>
              </c:numCache>
            </c:numRef>
          </c:val>
        </c:ser>
        <c:ser>
          <c:idx val="2"/>
          <c:order val="2"/>
          <c:tx>
            <c:strRef>
              <c:f>'Fuel - BIG MAP'!$Y$38</c:f>
              <c:strCache>
                <c:ptCount val="1"/>
                <c:pt idx="0">
                  <c:v>30</c:v>
                </c:pt>
              </c:strCache>
            </c:strRef>
          </c:tx>
          <c:spPr>
            <a:solidFill>
              <a:srgbClr val="FFFFCC"/>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MAP'!$Y$39:$Y$63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14.586</c:v>
                </c:pt>
                <c:pt idx="17">
                  <c:v>14.586</c:v>
                </c:pt>
                <c:pt idx="18">
                  <c:v>14.3634</c:v>
                </c:pt>
                <c:pt idx="19">
                  <c:v>14.0418</c:v>
                </c:pt>
                <c:pt idx="20">
                  <c:v>13.8353</c:v>
                </c:pt>
                <c:pt idx="21">
                  <c:v>13.8353</c:v>
                </c:pt>
                <c:pt idx="22">
                  <c:v>13.8353</c:v>
                </c:pt>
                <c:pt idx="23">
                  <c:v>13.8353</c:v>
                </c:pt>
                <c:pt idx="24">
                  <c:v>13.8353</c:v>
                </c:pt>
              </c:numCache>
            </c:numRef>
          </c:val>
        </c:ser>
        <c:ser>
          <c:idx val="3"/>
          <c:order val="3"/>
          <c:tx>
            <c:strRef>
              <c:f>'Fuel - BIG MAP'!$Z$38</c:f>
              <c:strCache>
                <c:ptCount val="1"/>
                <c:pt idx="0">
                  <c:v>40</c:v>
                </c:pt>
              </c:strCache>
            </c:strRef>
          </c:tx>
          <c:spPr>
            <a:solidFill>
              <a:srgbClr val="CCFF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MAP'!$Z$39:$Z$63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14.586</c:v>
                </c:pt>
                <c:pt idx="15">
                  <c:v>14.586</c:v>
                </c:pt>
                <c:pt idx="16">
                  <c:v>14.586</c:v>
                </c:pt>
                <c:pt idx="17">
                  <c:v>14.586</c:v>
                </c:pt>
                <c:pt idx="18">
                  <c:v>14.147399999999999</c:v>
                </c:pt>
                <c:pt idx="19">
                  <c:v>13.8353</c:v>
                </c:pt>
                <c:pt idx="20">
                  <c:v>13.6348</c:v>
                </c:pt>
                <c:pt idx="21">
                  <c:v>13.6348</c:v>
                </c:pt>
                <c:pt idx="22">
                  <c:v>13.6348</c:v>
                </c:pt>
                <c:pt idx="23">
                  <c:v>13.6348</c:v>
                </c:pt>
                <c:pt idx="24">
                  <c:v>13.6348</c:v>
                </c:pt>
              </c:numCache>
            </c:numRef>
          </c:val>
        </c:ser>
        <c:ser>
          <c:idx val="4"/>
          <c:order val="4"/>
          <c:tx>
            <c:strRef>
              <c:f>'Fuel - BIG MAP'!$AA$38</c:f>
              <c:strCache>
                <c:ptCount val="1"/>
                <c:pt idx="0">
                  <c:v>50</c:v>
                </c:pt>
              </c:strCache>
            </c:strRef>
          </c:tx>
          <c:spPr>
            <a:solidFill>
              <a:srgbClr val="660066"/>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MAP'!$AA$39:$AA$63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14.586</c:v>
                </c:pt>
                <c:pt idx="13">
                  <c:v>14.586</c:v>
                </c:pt>
                <c:pt idx="14">
                  <c:v>14.473800000000001</c:v>
                </c:pt>
                <c:pt idx="15">
                  <c:v>14.473800000000001</c:v>
                </c:pt>
                <c:pt idx="16">
                  <c:v>14.3634</c:v>
                </c:pt>
                <c:pt idx="17">
                  <c:v>14.2545</c:v>
                </c:pt>
                <c:pt idx="18">
                  <c:v>13.937799999999999</c:v>
                </c:pt>
                <c:pt idx="19">
                  <c:v>13.5367</c:v>
                </c:pt>
                <c:pt idx="20">
                  <c:v>13.2507</c:v>
                </c:pt>
                <c:pt idx="21">
                  <c:v>13.2507</c:v>
                </c:pt>
                <c:pt idx="22">
                  <c:v>13.2507</c:v>
                </c:pt>
                <c:pt idx="23">
                  <c:v>13.2507</c:v>
                </c:pt>
                <c:pt idx="24">
                  <c:v>13.2507</c:v>
                </c:pt>
              </c:numCache>
            </c:numRef>
          </c:val>
        </c:ser>
        <c:ser>
          <c:idx val="5"/>
          <c:order val="5"/>
          <c:tx>
            <c:strRef>
              <c:f>'Fuel - BIG MAP'!$AB$38</c:f>
              <c:strCache>
                <c:ptCount val="1"/>
                <c:pt idx="0">
                  <c:v>60</c:v>
                </c:pt>
              </c:strCache>
            </c:strRef>
          </c:tx>
          <c:spPr>
            <a:solidFill>
              <a:srgbClr val="FF808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MAP'!$AB$39:$AB$63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14.586</c:v>
                </c:pt>
                <c:pt idx="13">
                  <c:v>14.586</c:v>
                </c:pt>
                <c:pt idx="14">
                  <c:v>14.473800000000001</c:v>
                </c:pt>
                <c:pt idx="15">
                  <c:v>14.2545</c:v>
                </c:pt>
                <c:pt idx="16">
                  <c:v>14.0418</c:v>
                </c:pt>
                <c:pt idx="17">
                  <c:v>13.8353</c:v>
                </c:pt>
                <c:pt idx="18">
                  <c:v>13.44</c:v>
                </c:pt>
                <c:pt idx="19">
                  <c:v>13.066700000000001</c:v>
                </c:pt>
                <c:pt idx="20">
                  <c:v>12.8</c:v>
                </c:pt>
                <c:pt idx="21">
                  <c:v>12.7135</c:v>
                </c:pt>
                <c:pt idx="22">
                  <c:v>12.7135</c:v>
                </c:pt>
                <c:pt idx="23">
                  <c:v>12.7135</c:v>
                </c:pt>
                <c:pt idx="24">
                  <c:v>12.7135</c:v>
                </c:pt>
              </c:numCache>
            </c:numRef>
          </c:val>
        </c:ser>
        <c:ser>
          <c:idx val="6"/>
          <c:order val="6"/>
          <c:tx>
            <c:strRef>
              <c:f>'Fuel - BIG MAP'!$AC$38</c:f>
              <c:strCache>
                <c:ptCount val="1"/>
                <c:pt idx="0">
                  <c:v>70</c:v>
                </c:pt>
              </c:strCache>
            </c:strRef>
          </c:tx>
          <c:spPr>
            <a:solidFill>
              <a:srgbClr val="0066CC"/>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MAP'!$AC$39:$AC$63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14.586</c:v>
                </c:pt>
                <c:pt idx="11">
                  <c:v>14.586</c:v>
                </c:pt>
                <c:pt idx="12">
                  <c:v>14.147399999999999</c:v>
                </c:pt>
                <c:pt idx="13">
                  <c:v>14.147399999999999</c:v>
                </c:pt>
                <c:pt idx="14">
                  <c:v>14.0418</c:v>
                </c:pt>
                <c:pt idx="15">
                  <c:v>13.8353</c:v>
                </c:pt>
                <c:pt idx="16">
                  <c:v>13.6348</c:v>
                </c:pt>
                <c:pt idx="17">
                  <c:v>13.3447</c:v>
                </c:pt>
                <c:pt idx="18">
                  <c:v>12.887700000000001</c:v>
                </c:pt>
                <c:pt idx="19">
                  <c:v>12.6282</c:v>
                </c:pt>
                <c:pt idx="20">
                  <c:v>12.3789</c:v>
                </c:pt>
                <c:pt idx="21">
                  <c:v>12.298</c:v>
                </c:pt>
                <c:pt idx="22">
                  <c:v>12.298</c:v>
                </c:pt>
                <c:pt idx="23">
                  <c:v>12.298</c:v>
                </c:pt>
                <c:pt idx="24">
                  <c:v>12.298</c:v>
                </c:pt>
              </c:numCache>
            </c:numRef>
          </c:val>
        </c:ser>
        <c:ser>
          <c:idx val="7"/>
          <c:order val="7"/>
          <c:tx>
            <c:strRef>
              <c:f>'Fuel - BIG MAP'!$AD$38</c:f>
              <c:strCache>
                <c:ptCount val="1"/>
                <c:pt idx="0">
                  <c:v>80</c:v>
                </c:pt>
              </c:strCache>
            </c:strRef>
          </c:tx>
          <c:spPr>
            <a:solidFill>
              <a:srgbClr val="CCCC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MAP'!$AD$39:$AD$63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14.586</c:v>
                </c:pt>
                <c:pt idx="11">
                  <c:v>14.586</c:v>
                </c:pt>
                <c:pt idx="12">
                  <c:v>14.0418</c:v>
                </c:pt>
                <c:pt idx="13">
                  <c:v>13.8353</c:v>
                </c:pt>
                <c:pt idx="14">
                  <c:v>13.5367</c:v>
                </c:pt>
                <c:pt idx="15">
                  <c:v>13.2507</c:v>
                </c:pt>
                <c:pt idx="16">
                  <c:v>12.887700000000001</c:v>
                </c:pt>
                <c:pt idx="17">
                  <c:v>12.7135</c:v>
                </c:pt>
                <c:pt idx="18">
                  <c:v>12.3789</c:v>
                </c:pt>
                <c:pt idx="19">
                  <c:v>12.2182</c:v>
                </c:pt>
                <c:pt idx="20">
                  <c:v>12.1394</c:v>
                </c:pt>
                <c:pt idx="21">
                  <c:v>12.061500000000001</c:v>
                </c:pt>
                <c:pt idx="22">
                  <c:v>12.061500000000001</c:v>
                </c:pt>
                <c:pt idx="23">
                  <c:v>12.061500000000001</c:v>
                </c:pt>
                <c:pt idx="24">
                  <c:v>12.061500000000001</c:v>
                </c:pt>
              </c:numCache>
            </c:numRef>
          </c:val>
        </c:ser>
        <c:ser>
          <c:idx val="8"/>
          <c:order val="8"/>
          <c:tx>
            <c:strRef>
              <c:f>'Fuel - BIG MAP'!$AE$38</c:f>
              <c:strCache>
                <c:ptCount val="1"/>
                <c:pt idx="0">
                  <c:v>90</c:v>
                </c:pt>
              </c:strCache>
            </c:strRef>
          </c:tx>
          <c:spPr>
            <a:solidFill>
              <a:srgbClr val="00008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MAP'!$AE$39:$AE$63</c:f>
              <c:numCache>
                <c:formatCode>0.00</c:formatCode>
                <c:ptCount val="25"/>
                <c:pt idx="0">
                  <c:v>14.3634</c:v>
                </c:pt>
                <c:pt idx="1">
                  <c:v>14.3634</c:v>
                </c:pt>
                <c:pt idx="2">
                  <c:v>14.3634</c:v>
                </c:pt>
                <c:pt idx="3">
                  <c:v>14.3634</c:v>
                </c:pt>
                <c:pt idx="4">
                  <c:v>14.2545</c:v>
                </c:pt>
                <c:pt idx="5">
                  <c:v>14.2545</c:v>
                </c:pt>
                <c:pt idx="6">
                  <c:v>14.147399999999999</c:v>
                </c:pt>
                <c:pt idx="7">
                  <c:v>14.147399999999999</c:v>
                </c:pt>
                <c:pt idx="8">
                  <c:v>14.147399999999999</c:v>
                </c:pt>
                <c:pt idx="9">
                  <c:v>14.147399999999999</c:v>
                </c:pt>
                <c:pt idx="10">
                  <c:v>14.0418</c:v>
                </c:pt>
                <c:pt idx="11">
                  <c:v>13.937799999999999</c:v>
                </c:pt>
                <c:pt idx="12">
                  <c:v>13.6348</c:v>
                </c:pt>
                <c:pt idx="13">
                  <c:v>13.3447</c:v>
                </c:pt>
                <c:pt idx="14">
                  <c:v>13.066700000000001</c:v>
                </c:pt>
                <c:pt idx="15">
                  <c:v>12.7135</c:v>
                </c:pt>
                <c:pt idx="16">
                  <c:v>12.544</c:v>
                </c:pt>
                <c:pt idx="17">
                  <c:v>12.3789</c:v>
                </c:pt>
                <c:pt idx="18">
                  <c:v>12.2182</c:v>
                </c:pt>
                <c:pt idx="19">
                  <c:v>12.1394</c:v>
                </c:pt>
                <c:pt idx="20">
                  <c:v>11.9847</c:v>
                </c:pt>
                <c:pt idx="21">
                  <c:v>11.9847</c:v>
                </c:pt>
                <c:pt idx="22">
                  <c:v>11.9847</c:v>
                </c:pt>
                <c:pt idx="23">
                  <c:v>11.9847</c:v>
                </c:pt>
                <c:pt idx="24">
                  <c:v>11.9847</c:v>
                </c:pt>
              </c:numCache>
            </c:numRef>
          </c:val>
        </c:ser>
        <c:ser>
          <c:idx val="9"/>
          <c:order val="9"/>
          <c:tx>
            <c:strRef>
              <c:f>'Fuel - BIG MAP'!$AF$38</c:f>
              <c:strCache>
                <c:ptCount val="1"/>
                <c:pt idx="0">
                  <c:v>100</c:v>
                </c:pt>
              </c:strCache>
            </c:strRef>
          </c:tx>
          <c:spPr>
            <a:solidFill>
              <a:srgbClr val="FF00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MAP'!$AF$39:$AF$63</c:f>
              <c:numCache>
                <c:formatCode>0.00</c:formatCode>
                <c:ptCount val="25"/>
                <c:pt idx="0">
                  <c:v>13.6348</c:v>
                </c:pt>
                <c:pt idx="1">
                  <c:v>13.6348</c:v>
                </c:pt>
                <c:pt idx="2">
                  <c:v>13.734299999999999</c:v>
                </c:pt>
                <c:pt idx="3">
                  <c:v>13.734299999999999</c:v>
                </c:pt>
                <c:pt idx="4">
                  <c:v>13.6348</c:v>
                </c:pt>
                <c:pt idx="5">
                  <c:v>13.6348</c:v>
                </c:pt>
                <c:pt idx="6">
                  <c:v>13.5367</c:v>
                </c:pt>
                <c:pt idx="7">
                  <c:v>13.44</c:v>
                </c:pt>
                <c:pt idx="8">
                  <c:v>13.2507</c:v>
                </c:pt>
                <c:pt idx="9">
                  <c:v>13.157999999999999</c:v>
                </c:pt>
                <c:pt idx="10">
                  <c:v>12.976599999999999</c:v>
                </c:pt>
                <c:pt idx="11">
                  <c:v>12.8</c:v>
                </c:pt>
                <c:pt idx="12">
                  <c:v>12.6282</c:v>
                </c:pt>
                <c:pt idx="13">
                  <c:v>12.3789</c:v>
                </c:pt>
                <c:pt idx="14">
                  <c:v>12.2182</c:v>
                </c:pt>
                <c:pt idx="15">
                  <c:v>12.061500000000001</c:v>
                </c:pt>
                <c:pt idx="16">
                  <c:v>11.9847</c:v>
                </c:pt>
                <c:pt idx="17">
                  <c:v>11.9847</c:v>
                </c:pt>
                <c:pt idx="18">
                  <c:v>11.834</c:v>
                </c:pt>
                <c:pt idx="19">
                  <c:v>11.834</c:v>
                </c:pt>
                <c:pt idx="20">
                  <c:v>11.834</c:v>
                </c:pt>
                <c:pt idx="21">
                  <c:v>11.834</c:v>
                </c:pt>
                <c:pt idx="22">
                  <c:v>11.834</c:v>
                </c:pt>
                <c:pt idx="23">
                  <c:v>11.834</c:v>
                </c:pt>
                <c:pt idx="24">
                  <c:v>11.834</c:v>
                </c:pt>
              </c:numCache>
            </c:numRef>
          </c:val>
        </c:ser>
        <c:ser>
          <c:idx val="10"/>
          <c:order val="10"/>
          <c:tx>
            <c:strRef>
              <c:f>'Fuel - BIG MAP'!$AG$38</c:f>
              <c:strCache>
                <c:ptCount val="1"/>
                <c:pt idx="0">
                  <c:v>120</c:v>
                </c:pt>
              </c:strCache>
            </c:strRef>
          </c:tx>
          <c:spPr>
            <a:solidFill>
              <a:srgbClr val="FFFF0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MAP'!$AG$39:$AG$63</c:f>
              <c:numCache>
                <c:formatCode>0.00</c:formatCode>
                <c:ptCount val="25"/>
                <c:pt idx="0">
                  <c:v>13.3447</c:v>
                </c:pt>
                <c:pt idx="1">
                  <c:v>13.3447</c:v>
                </c:pt>
                <c:pt idx="2">
                  <c:v>13.2507</c:v>
                </c:pt>
                <c:pt idx="3">
                  <c:v>13.066700000000001</c:v>
                </c:pt>
                <c:pt idx="4">
                  <c:v>12.887700000000001</c:v>
                </c:pt>
                <c:pt idx="5">
                  <c:v>12.8</c:v>
                </c:pt>
                <c:pt idx="6">
                  <c:v>12.6282</c:v>
                </c:pt>
                <c:pt idx="7">
                  <c:v>12.544</c:v>
                </c:pt>
                <c:pt idx="8">
                  <c:v>12.3789</c:v>
                </c:pt>
                <c:pt idx="9">
                  <c:v>12.298</c:v>
                </c:pt>
                <c:pt idx="10">
                  <c:v>12.1394</c:v>
                </c:pt>
                <c:pt idx="11">
                  <c:v>12.061500000000001</c:v>
                </c:pt>
                <c:pt idx="12">
                  <c:v>11.908899999999999</c:v>
                </c:pt>
                <c:pt idx="13">
                  <c:v>11.834</c:v>
                </c:pt>
                <c:pt idx="14">
                  <c:v>11.834</c:v>
                </c:pt>
                <c:pt idx="15">
                  <c:v>11.686999999999999</c:v>
                </c:pt>
                <c:pt idx="16">
                  <c:v>11.614800000000001</c:v>
                </c:pt>
                <c:pt idx="17">
                  <c:v>11.614800000000001</c:v>
                </c:pt>
                <c:pt idx="18">
                  <c:v>11.614800000000001</c:v>
                </c:pt>
                <c:pt idx="19">
                  <c:v>11.614800000000001</c:v>
                </c:pt>
                <c:pt idx="20">
                  <c:v>11.614800000000001</c:v>
                </c:pt>
                <c:pt idx="21">
                  <c:v>11.614800000000001</c:v>
                </c:pt>
                <c:pt idx="22">
                  <c:v>11.614800000000001</c:v>
                </c:pt>
                <c:pt idx="23">
                  <c:v>11.614800000000001</c:v>
                </c:pt>
                <c:pt idx="24">
                  <c:v>11.614800000000001</c:v>
                </c:pt>
              </c:numCache>
            </c:numRef>
          </c:val>
        </c:ser>
        <c:ser>
          <c:idx val="11"/>
          <c:order val="11"/>
          <c:tx>
            <c:strRef>
              <c:f>'Fuel - BIG MAP'!$AH$38</c:f>
              <c:strCache>
                <c:ptCount val="1"/>
                <c:pt idx="0">
                  <c:v>140</c:v>
                </c:pt>
              </c:strCache>
            </c:strRef>
          </c:tx>
          <c:spPr>
            <a:solidFill>
              <a:srgbClr val="00FF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MAP'!$AH$39:$AH$63</c:f>
              <c:numCache>
                <c:formatCode>0.00</c:formatCode>
                <c:ptCount val="25"/>
                <c:pt idx="0">
                  <c:v>13.157999999999999</c:v>
                </c:pt>
                <c:pt idx="1">
                  <c:v>13.066700000000001</c:v>
                </c:pt>
                <c:pt idx="2">
                  <c:v>12.8</c:v>
                </c:pt>
                <c:pt idx="3">
                  <c:v>12.544</c:v>
                </c:pt>
                <c:pt idx="4">
                  <c:v>12.3789</c:v>
                </c:pt>
                <c:pt idx="5">
                  <c:v>12.2182</c:v>
                </c:pt>
                <c:pt idx="6">
                  <c:v>12.061500000000001</c:v>
                </c:pt>
                <c:pt idx="7">
                  <c:v>11.908899999999999</c:v>
                </c:pt>
                <c:pt idx="8">
                  <c:v>11.76</c:v>
                </c:pt>
                <c:pt idx="9">
                  <c:v>11.686999999999999</c:v>
                </c:pt>
                <c:pt idx="10">
                  <c:v>11.5436</c:v>
                </c:pt>
                <c:pt idx="11">
                  <c:v>11.4732</c:v>
                </c:pt>
                <c:pt idx="12">
                  <c:v>11.403600000000001</c:v>
                </c:pt>
                <c:pt idx="13">
                  <c:v>11.334899999999999</c:v>
                </c:pt>
                <c:pt idx="14">
                  <c:v>11.334899999999999</c:v>
                </c:pt>
                <c:pt idx="15">
                  <c:v>11.334899999999999</c:v>
                </c:pt>
                <c:pt idx="16">
                  <c:v>11.334899999999999</c:v>
                </c:pt>
                <c:pt idx="17">
                  <c:v>11.334899999999999</c:v>
                </c:pt>
                <c:pt idx="18">
                  <c:v>11.403600000000001</c:v>
                </c:pt>
                <c:pt idx="19">
                  <c:v>11.403600000000001</c:v>
                </c:pt>
                <c:pt idx="20">
                  <c:v>11.403600000000001</c:v>
                </c:pt>
                <c:pt idx="21">
                  <c:v>11.403600000000001</c:v>
                </c:pt>
                <c:pt idx="22">
                  <c:v>11.403600000000001</c:v>
                </c:pt>
                <c:pt idx="23">
                  <c:v>11.403600000000001</c:v>
                </c:pt>
                <c:pt idx="24">
                  <c:v>11.403600000000001</c:v>
                </c:pt>
              </c:numCache>
            </c:numRef>
          </c:val>
        </c:ser>
        <c:ser>
          <c:idx val="12"/>
          <c:order val="12"/>
          <c:tx>
            <c:strRef>
              <c:f>'Fuel - BIG MAP'!$AI$38</c:f>
              <c:strCache>
                <c:ptCount val="1"/>
                <c:pt idx="0">
                  <c:v>150</c:v>
                </c:pt>
              </c:strCache>
            </c:strRef>
          </c:tx>
          <c:spPr>
            <a:solidFill>
              <a:srgbClr val="80008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MAP'!$AI$39:$AI$63</c:f>
              <c:numCache>
                <c:formatCode>0.00</c:formatCode>
                <c:ptCount val="25"/>
                <c:pt idx="0">
                  <c:v>12.887700000000001</c:v>
                </c:pt>
                <c:pt idx="1">
                  <c:v>12.8</c:v>
                </c:pt>
                <c:pt idx="2">
                  <c:v>12.544</c:v>
                </c:pt>
                <c:pt idx="3">
                  <c:v>12.1394</c:v>
                </c:pt>
                <c:pt idx="4">
                  <c:v>11.9847</c:v>
                </c:pt>
                <c:pt idx="5">
                  <c:v>11.834</c:v>
                </c:pt>
                <c:pt idx="6">
                  <c:v>11.686999999999999</c:v>
                </c:pt>
                <c:pt idx="7">
                  <c:v>11.4732</c:v>
                </c:pt>
                <c:pt idx="8">
                  <c:v>11.334899999999999</c:v>
                </c:pt>
                <c:pt idx="9">
                  <c:v>11.267099999999999</c:v>
                </c:pt>
                <c:pt idx="10">
                  <c:v>11.334899999999999</c:v>
                </c:pt>
                <c:pt idx="11">
                  <c:v>11.267099999999999</c:v>
                </c:pt>
                <c:pt idx="12">
                  <c:v>11.267099999999999</c:v>
                </c:pt>
                <c:pt idx="13">
                  <c:v>11.267099999999999</c:v>
                </c:pt>
                <c:pt idx="14">
                  <c:v>11.267099999999999</c:v>
                </c:pt>
                <c:pt idx="15">
                  <c:v>11.267099999999999</c:v>
                </c:pt>
                <c:pt idx="16">
                  <c:v>11.267099999999999</c:v>
                </c:pt>
                <c:pt idx="17">
                  <c:v>11.267099999999999</c:v>
                </c:pt>
                <c:pt idx="18">
                  <c:v>11.267099999999999</c:v>
                </c:pt>
                <c:pt idx="19">
                  <c:v>11.267099999999999</c:v>
                </c:pt>
                <c:pt idx="20">
                  <c:v>11.334899999999999</c:v>
                </c:pt>
                <c:pt idx="21">
                  <c:v>11.334899999999999</c:v>
                </c:pt>
                <c:pt idx="22">
                  <c:v>11.334899999999999</c:v>
                </c:pt>
                <c:pt idx="23">
                  <c:v>11.334899999999999</c:v>
                </c:pt>
                <c:pt idx="24">
                  <c:v>11.334899999999999</c:v>
                </c:pt>
              </c:numCache>
            </c:numRef>
          </c:val>
        </c:ser>
        <c:ser>
          <c:idx val="13"/>
          <c:order val="13"/>
          <c:tx>
            <c:strRef>
              <c:f>'Fuel - BIG MAP'!$AJ$38</c:f>
              <c:strCache>
                <c:ptCount val="1"/>
                <c:pt idx="0">
                  <c:v>160</c:v>
                </c:pt>
              </c:strCache>
            </c:strRef>
          </c:tx>
          <c:spPr>
            <a:solidFill>
              <a:srgbClr val="80000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MAP'!$AJ$39:$AJ$63</c:f>
              <c:numCache>
                <c:formatCode>0.00</c:formatCode>
                <c:ptCount val="25"/>
                <c:pt idx="0">
                  <c:v>12.6282</c:v>
                </c:pt>
                <c:pt idx="1">
                  <c:v>12.544</c:v>
                </c:pt>
                <c:pt idx="2">
                  <c:v>12.2182</c:v>
                </c:pt>
                <c:pt idx="3">
                  <c:v>11.834</c:v>
                </c:pt>
                <c:pt idx="4">
                  <c:v>11.686999999999999</c:v>
                </c:pt>
                <c:pt idx="5">
                  <c:v>11.4732</c:v>
                </c:pt>
                <c:pt idx="6">
                  <c:v>11.267099999999999</c:v>
                </c:pt>
                <c:pt idx="7">
                  <c:v>11.2</c:v>
                </c:pt>
                <c:pt idx="8">
                  <c:v>11.068199999999999</c:v>
                </c:pt>
                <c:pt idx="9">
                  <c:v>11.068199999999999</c:v>
                </c:pt>
                <c:pt idx="10">
                  <c:v>11.003500000000001</c:v>
                </c:pt>
                <c:pt idx="11">
                  <c:v>10.939500000000001</c:v>
                </c:pt>
                <c:pt idx="12">
                  <c:v>10.939500000000001</c:v>
                </c:pt>
                <c:pt idx="13">
                  <c:v>10.939500000000001</c:v>
                </c:pt>
                <c:pt idx="14">
                  <c:v>10.939500000000001</c:v>
                </c:pt>
                <c:pt idx="15">
                  <c:v>10.939500000000001</c:v>
                </c:pt>
                <c:pt idx="16">
                  <c:v>10.939500000000001</c:v>
                </c:pt>
                <c:pt idx="17">
                  <c:v>10.939500000000001</c:v>
                </c:pt>
                <c:pt idx="18">
                  <c:v>11.068199999999999</c:v>
                </c:pt>
                <c:pt idx="19">
                  <c:v>11.068199999999999</c:v>
                </c:pt>
                <c:pt idx="20">
                  <c:v>11.133699999999999</c:v>
                </c:pt>
                <c:pt idx="21">
                  <c:v>11.2</c:v>
                </c:pt>
                <c:pt idx="22">
                  <c:v>11.2</c:v>
                </c:pt>
                <c:pt idx="23">
                  <c:v>11.2</c:v>
                </c:pt>
                <c:pt idx="24">
                  <c:v>11.2</c:v>
                </c:pt>
              </c:numCache>
            </c:numRef>
          </c:val>
        </c:ser>
        <c:ser>
          <c:idx val="14"/>
          <c:order val="14"/>
          <c:tx>
            <c:strRef>
              <c:f>'Fuel - BIG MAP'!$AK$38</c:f>
              <c:strCache>
                <c:ptCount val="1"/>
                <c:pt idx="0">
                  <c:v>170</c:v>
                </c:pt>
              </c:strCache>
            </c:strRef>
          </c:tx>
          <c:spPr>
            <a:solidFill>
              <a:srgbClr val="00808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MAP'!$AK$39:$AK$63</c:f>
              <c:numCache>
                <c:formatCode>0.00</c:formatCode>
                <c:ptCount val="25"/>
                <c:pt idx="0">
                  <c:v>12.460900000000001</c:v>
                </c:pt>
                <c:pt idx="1">
                  <c:v>12.3789</c:v>
                </c:pt>
                <c:pt idx="2">
                  <c:v>12.061500000000001</c:v>
                </c:pt>
                <c:pt idx="3">
                  <c:v>11.686999999999999</c:v>
                </c:pt>
                <c:pt idx="4">
                  <c:v>11.4732</c:v>
                </c:pt>
                <c:pt idx="5">
                  <c:v>11.267099999999999</c:v>
                </c:pt>
                <c:pt idx="6">
                  <c:v>11.133699999999999</c:v>
                </c:pt>
                <c:pt idx="7">
                  <c:v>11.003500000000001</c:v>
                </c:pt>
                <c:pt idx="8">
                  <c:v>10.876300000000001</c:v>
                </c:pt>
                <c:pt idx="9">
                  <c:v>10.939500000000001</c:v>
                </c:pt>
                <c:pt idx="10">
                  <c:v>10.876300000000001</c:v>
                </c:pt>
                <c:pt idx="11">
                  <c:v>10.813800000000001</c:v>
                </c:pt>
                <c:pt idx="12">
                  <c:v>10.752000000000001</c:v>
                </c:pt>
                <c:pt idx="13">
                  <c:v>10.813800000000001</c:v>
                </c:pt>
                <c:pt idx="14">
                  <c:v>10.813800000000001</c:v>
                </c:pt>
                <c:pt idx="15">
                  <c:v>10.752000000000001</c:v>
                </c:pt>
                <c:pt idx="16">
                  <c:v>10.813800000000001</c:v>
                </c:pt>
                <c:pt idx="17">
                  <c:v>10.876300000000001</c:v>
                </c:pt>
                <c:pt idx="18">
                  <c:v>10.939500000000001</c:v>
                </c:pt>
                <c:pt idx="19">
                  <c:v>10.939500000000001</c:v>
                </c:pt>
                <c:pt idx="20">
                  <c:v>11.068199999999999</c:v>
                </c:pt>
                <c:pt idx="21">
                  <c:v>11.133699999999999</c:v>
                </c:pt>
                <c:pt idx="22">
                  <c:v>11.133699999999999</c:v>
                </c:pt>
                <c:pt idx="23">
                  <c:v>11.133699999999999</c:v>
                </c:pt>
                <c:pt idx="24">
                  <c:v>11.133699999999999</c:v>
                </c:pt>
              </c:numCache>
            </c:numRef>
          </c:val>
        </c:ser>
        <c:ser>
          <c:idx val="15"/>
          <c:order val="15"/>
          <c:tx>
            <c:strRef>
              <c:f>'Fuel - BIG MAP'!$AL$38</c:f>
              <c:strCache>
                <c:ptCount val="1"/>
                <c:pt idx="0">
                  <c:v>180</c:v>
                </c:pt>
              </c:strCache>
            </c:strRef>
          </c:tx>
          <c:spPr>
            <a:solidFill>
              <a:srgbClr val="0000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MAP'!$AL$39:$AL$63</c:f>
              <c:numCache>
                <c:formatCode>0.00</c:formatCode>
                <c:ptCount val="25"/>
                <c:pt idx="0">
                  <c:v>12.298</c:v>
                </c:pt>
                <c:pt idx="1">
                  <c:v>12.2182</c:v>
                </c:pt>
                <c:pt idx="2">
                  <c:v>11.908899999999999</c:v>
                </c:pt>
                <c:pt idx="3">
                  <c:v>11.5436</c:v>
                </c:pt>
                <c:pt idx="4">
                  <c:v>11.334899999999999</c:v>
                </c:pt>
                <c:pt idx="5">
                  <c:v>11.133699999999999</c:v>
                </c:pt>
                <c:pt idx="6">
                  <c:v>10.939500000000001</c:v>
                </c:pt>
                <c:pt idx="7">
                  <c:v>10.813800000000001</c:v>
                </c:pt>
                <c:pt idx="8">
                  <c:v>10.690899999999999</c:v>
                </c:pt>
                <c:pt idx="9">
                  <c:v>10.752000000000001</c:v>
                </c:pt>
                <c:pt idx="10">
                  <c:v>10.690899999999999</c:v>
                </c:pt>
                <c:pt idx="11">
                  <c:v>10.690899999999999</c:v>
                </c:pt>
                <c:pt idx="12">
                  <c:v>10.690899999999999</c:v>
                </c:pt>
                <c:pt idx="13">
                  <c:v>10.6305</c:v>
                </c:pt>
                <c:pt idx="14">
                  <c:v>10.690899999999999</c:v>
                </c:pt>
                <c:pt idx="15">
                  <c:v>10.690899999999999</c:v>
                </c:pt>
                <c:pt idx="16">
                  <c:v>10.690899999999999</c:v>
                </c:pt>
                <c:pt idx="17">
                  <c:v>10.752000000000001</c:v>
                </c:pt>
                <c:pt idx="18">
                  <c:v>10.752000000000001</c:v>
                </c:pt>
                <c:pt idx="19">
                  <c:v>10.752000000000001</c:v>
                </c:pt>
                <c:pt idx="20">
                  <c:v>10.939500000000001</c:v>
                </c:pt>
                <c:pt idx="21">
                  <c:v>10.876300000000001</c:v>
                </c:pt>
                <c:pt idx="22">
                  <c:v>11.003500000000001</c:v>
                </c:pt>
                <c:pt idx="23">
                  <c:v>11.003500000000001</c:v>
                </c:pt>
                <c:pt idx="24">
                  <c:v>11.003500000000001</c:v>
                </c:pt>
              </c:numCache>
            </c:numRef>
          </c:val>
        </c:ser>
        <c:ser>
          <c:idx val="16"/>
          <c:order val="16"/>
          <c:tx>
            <c:strRef>
              <c:f>'Fuel - BIG MAP'!$AM$38</c:f>
              <c:strCache>
                <c:ptCount val="1"/>
                <c:pt idx="0">
                  <c:v>190</c:v>
                </c:pt>
              </c:strCache>
            </c:strRef>
          </c:tx>
          <c:spPr>
            <a:solidFill>
              <a:srgbClr val="00CC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MAP'!$AM$39:$AM$63</c:f>
              <c:numCache>
                <c:formatCode>0.00</c:formatCode>
                <c:ptCount val="25"/>
                <c:pt idx="0">
                  <c:v>12.298</c:v>
                </c:pt>
                <c:pt idx="1">
                  <c:v>12.2182</c:v>
                </c:pt>
                <c:pt idx="2">
                  <c:v>11.908899999999999</c:v>
                </c:pt>
                <c:pt idx="3">
                  <c:v>11.5436</c:v>
                </c:pt>
                <c:pt idx="4">
                  <c:v>11.267099999999999</c:v>
                </c:pt>
                <c:pt idx="5">
                  <c:v>11.068199999999999</c:v>
                </c:pt>
                <c:pt idx="6">
                  <c:v>10.939500000000001</c:v>
                </c:pt>
                <c:pt idx="7">
                  <c:v>10.752000000000001</c:v>
                </c:pt>
                <c:pt idx="8">
                  <c:v>10.752000000000001</c:v>
                </c:pt>
                <c:pt idx="9">
                  <c:v>10.690899999999999</c:v>
                </c:pt>
                <c:pt idx="10">
                  <c:v>10.690899999999999</c:v>
                </c:pt>
                <c:pt idx="11">
                  <c:v>10.752000000000001</c:v>
                </c:pt>
                <c:pt idx="12">
                  <c:v>10.752000000000001</c:v>
                </c:pt>
                <c:pt idx="13">
                  <c:v>10.752000000000001</c:v>
                </c:pt>
                <c:pt idx="14">
                  <c:v>10.752000000000001</c:v>
                </c:pt>
                <c:pt idx="15">
                  <c:v>10.752000000000001</c:v>
                </c:pt>
                <c:pt idx="16">
                  <c:v>10.752000000000001</c:v>
                </c:pt>
                <c:pt idx="17">
                  <c:v>10.752000000000001</c:v>
                </c:pt>
                <c:pt idx="18">
                  <c:v>10.690899999999999</c:v>
                </c:pt>
                <c:pt idx="19">
                  <c:v>10.752000000000001</c:v>
                </c:pt>
                <c:pt idx="20">
                  <c:v>10.876300000000001</c:v>
                </c:pt>
                <c:pt idx="21">
                  <c:v>10.876300000000001</c:v>
                </c:pt>
                <c:pt idx="22">
                  <c:v>10.876300000000001</c:v>
                </c:pt>
                <c:pt idx="23">
                  <c:v>10.876300000000001</c:v>
                </c:pt>
                <c:pt idx="24">
                  <c:v>10.876300000000001</c:v>
                </c:pt>
              </c:numCache>
            </c:numRef>
          </c:val>
        </c:ser>
        <c:ser>
          <c:idx val="17"/>
          <c:order val="17"/>
          <c:tx>
            <c:strRef>
              <c:f>'Fuel - BIG MAP'!$AN$38</c:f>
              <c:strCache>
                <c:ptCount val="1"/>
                <c:pt idx="0">
                  <c:v>200</c:v>
                </c:pt>
              </c:strCache>
            </c:strRef>
          </c:tx>
          <c:spPr>
            <a:solidFill>
              <a:srgbClr val="CCFF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MAP'!$AN$39:$AN$63</c:f>
              <c:numCache>
                <c:formatCode>0.00</c:formatCode>
                <c:ptCount val="25"/>
                <c:pt idx="0">
                  <c:v>12.2182</c:v>
                </c:pt>
                <c:pt idx="1">
                  <c:v>12.1394</c:v>
                </c:pt>
                <c:pt idx="2">
                  <c:v>11.834</c:v>
                </c:pt>
                <c:pt idx="3">
                  <c:v>11.4732</c:v>
                </c:pt>
                <c:pt idx="4">
                  <c:v>11.267099999999999</c:v>
                </c:pt>
                <c:pt idx="5">
                  <c:v>11.003500000000001</c:v>
                </c:pt>
                <c:pt idx="6">
                  <c:v>10.876300000000001</c:v>
                </c:pt>
                <c:pt idx="7">
                  <c:v>10.813800000000001</c:v>
                </c:pt>
                <c:pt idx="8">
                  <c:v>10.690899999999999</c:v>
                </c:pt>
                <c:pt idx="9">
                  <c:v>10.752000000000001</c:v>
                </c:pt>
                <c:pt idx="10">
                  <c:v>10.6305</c:v>
                </c:pt>
                <c:pt idx="11">
                  <c:v>10.5708</c:v>
                </c:pt>
                <c:pt idx="12">
                  <c:v>10.511699999999999</c:v>
                </c:pt>
                <c:pt idx="13">
                  <c:v>10.511699999999999</c:v>
                </c:pt>
                <c:pt idx="14">
                  <c:v>10.511699999999999</c:v>
                </c:pt>
                <c:pt idx="15">
                  <c:v>10.511699999999999</c:v>
                </c:pt>
                <c:pt idx="16">
                  <c:v>10.511699999999999</c:v>
                </c:pt>
                <c:pt idx="17">
                  <c:v>10.5708</c:v>
                </c:pt>
                <c:pt idx="18">
                  <c:v>10.6305</c:v>
                </c:pt>
                <c:pt idx="19">
                  <c:v>10.5708</c:v>
                </c:pt>
                <c:pt idx="20">
                  <c:v>10.5708</c:v>
                </c:pt>
                <c:pt idx="21">
                  <c:v>10.690899999999999</c:v>
                </c:pt>
                <c:pt idx="22">
                  <c:v>10.813800000000001</c:v>
                </c:pt>
                <c:pt idx="23">
                  <c:v>10.813800000000001</c:v>
                </c:pt>
                <c:pt idx="24">
                  <c:v>10.813800000000001</c:v>
                </c:pt>
              </c:numCache>
            </c:numRef>
          </c:val>
        </c:ser>
        <c:ser>
          <c:idx val="18"/>
          <c:order val="18"/>
          <c:tx>
            <c:strRef>
              <c:f>'Fuel - BIG MAP'!$AO$38</c:f>
              <c:strCache>
                <c:ptCount val="1"/>
                <c:pt idx="0">
                  <c:v>210</c:v>
                </c:pt>
              </c:strCache>
            </c:strRef>
          </c:tx>
          <c:spPr>
            <a:solidFill>
              <a:srgbClr val="CCFFCC"/>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MAP'!$AO$39:$AO$63</c:f>
              <c:numCache>
                <c:formatCode>0.00</c:formatCode>
                <c:ptCount val="25"/>
                <c:pt idx="0">
                  <c:v>12.2182</c:v>
                </c:pt>
                <c:pt idx="1">
                  <c:v>12.1394</c:v>
                </c:pt>
                <c:pt idx="2">
                  <c:v>11.834</c:v>
                </c:pt>
                <c:pt idx="3">
                  <c:v>11.4732</c:v>
                </c:pt>
                <c:pt idx="4">
                  <c:v>11.2</c:v>
                </c:pt>
                <c:pt idx="5">
                  <c:v>11.003500000000001</c:v>
                </c:pt>
                <c:pt idx="6">
                  <c:v>10.813800000000001</c:v>
                </c:pt>
                <c:pt idx="7">
                  <c:v>10.6305</c:v>
                </c:pt>
                <c:pt idx="8">
                  <c:v>10.511699999999999</c:v>
                </c:pt>
                <c:pt idx="9">
                  <c:v>10.5708</c:v>
                </c:pt>
                <c:pt idx="10">
                  <c:v>10.5708</c:v>
                </c:pt>
                <c:pt idx="11">
                  <c:v>10.511699999999999</c:v>
                </c:pt>
                <c:pt idx="12">
                  <c:v>10.4533</c:v>
                </c:pt>
                <c:pt idx="13">
                  <c:v>10.3956</c:v>
                </c:pt>
                <c:pt idx="14">
                  <c:v>10.3956</c:v>
                </c:pt>
                <c:pt idx="15">
                  <c:v>10.3956</c:v>
                </c:pt>
                <c:pt idx="16">
                  <c:v>10.4533</c:v>
                </c:pt>
                <c:pt idx="17">
                  <c:v>10.752000000000001</c:v>
                </c:pt>
                <c:pt idx="18">
                  <c:v>10.752000000000001</c:v>
                </c:pt>
                <c:pt idx="19">
                  <c:v>10.6305</c:v>
                </c:pt>
                <c:pt idx="20">
                  <c:v>10.752000000000001</c:v>
                </c:pt>
                <c:pt idx="21">
                  <c:v>10.752000000000001</c:v>
                </c:pt>
                <c:pt idx="22">
                  <c:v>10.752000000000001</c:v>
                </c:pt>
                <c:pt idx="23">
                  <c:v>10.752000000000001</c:v>
                </c:pt>
                <c:pt idx="24">
                  <c:v>10.752000000000001</c:v>
                </c:pt>
              </c:numCache>
            </c:numRef>
          </c:val>
        </c:ser>
        <c:ser>
          <c:idx val="19"/>
          <c:order val="19"/>
          <c:tx>
            <c:strRef>
              <c:f>'Fuel - BIG MAP'!$AP$38</c:f>
              <c:strCache>
                <c:ptCount val="1"/>
                <c:pt idx="0">
                  <c:v>220</c:v>
                </c:pt>
              </c:strCache>
            </c:strRef>
          </c:tx>
          <c:spPr>
            <a:solidFill>
              <a:srgbClr val="FFFF99"/>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MAP'!$AP$39:$AP$63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10.511699999999999</c:v>
                </c:pt>
                <c:pt idx="9">
                  <c:v>10.511699999999999</c:v>
                </c:pt>
                <c:pt idx="10">
                  <c:v>10.4533</c:v>
                </c:pt>
                <c:pt idx="11">
                  <c:v>10.4533</c:v>
                </c:pt>
                <c:pt idx="12">
                  <c:v>10.3956</c:v>
                </c:pt>
                <c:pt idx="13">
                  <c:v>10.4533</c:v>
                </c:pt>
                <c:pt idx="14">
                  <c:v>10.4533</c:v>
                </c:pt>
                <c:pt idx="15">
                  <c:v>10.4533</c:v>
                </c:pt>
                <c:pt idx="16">
                  <c:v>10.5708</c:v>
                </c:pt>
                <c:pt idx="17">
                  <c:v>10.6305</c:v>
                </c:pt>
                <c:pt idx="18">
                  <c:v>10.6305</c:v>
                </c:pt>
                <c:pt idx="19">
                  <c:v>10.5708</c:v>
                </c:pt>
                <c:pt idx="20">
                  <c:v>10.690899999999999</c:v>
                </c:pt>
                <c:pt idx="21">
                  <c:v>10.752000000000001</c:v>
                </c:pt>
                <c:pt idx="22">
                  <c:v>10.752000000000001</c:v>
                </c:pt>
                <c:pt idx="23">
                  <c:v>10.752000000000001</c:v>
                </c:pt>
                <c:pt idx="24">
                  <c:v>10.752000000000001</c:v>
                </c:pt>
              </c:numCache>
            </c:numRef>
          </c:val>
        </c:ser>
        <c:ser>
          <c:idx val="20"/>
          <c:order val="20"/>
          <c:tx>
            <c:strRef>
              <c:f>'Fuel - BIG MAP'!$AQ$38</c:f>
              <c:strCache>
                <c:ptCount val="1"/>
                <c:pt idx="0">
                  <c:v>230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MAP'!$AQ$39:$AQ$63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10.4533</c:v>
                </c:pt>
                <c:pt idx="12">
                  <c:v>10.4533</c:v>
                </c:pt>
                <c:pt idx="13">
                  <c:v>10.3956</c:v>
                </c:pt>
                <c:pt idx="14">
                  <c:v>10.3956</c:v>
                </c:pt>
                <c:pt idx="15">
                  <c:v>10.3956</c:v>
                </c:pt>
                <c:pt idx="16">
                  <c:v>10.4533</c:v>
                </c:pt>
                <c:pt idx="17">
                  <c:v>10.4533</c:v>
                </c:pt>
                <c:pt idx="18">
                  <c:v>10.511699999999999</c:v>
                </c:pt>
                <c:pt idx="19">
                  <c:v>10.5708</c:v>
                </c:pt>
                <c:pt idx="20">
                  <c:v>10.752000000000001</c:v>
                </c:pt>
                <c:pt idx="21">
                  <c:v>10.752000000000001</c:v>
                </c:pt>
                <c:pt idx="22">
                  <c:v>10.876300000000001</c:v>
                </c:pt>
                <c:pt idx="23">
                  <c:v>10.876300000000001</c:v>
                </c:pt>
                <c:pt idx="24">
                  <c:v>10.876300000000001</c:v>
                </c:pt>
              </c:numCache>
            </c:numRef>
          </c:val>
        </c:ser>
        <c:ser>
          <c:idx val="21"/>
          <c:order val="21"/>
          <c:tx>
            <c:strRef>
              <c:f>'Fuel - BIG MAP'!$AR$38</c:f>
              <c:strCache>
                <c:ptCount val="1"/>
                <c:pt idx="0">
                  <c:v>240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MAP'!$AR$39:$AR$63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10.3385</c:v>
                </c:pt>
                <c:pt idx="13">
                  <c:v>10.282</c:v>
                </c:pt>
                <c:pt idx="14">
                  <c:v>10.282</c:v>
                </c:pt>
                <c:pt idx="15">
                  <c:v>10.282</c:v>
                </c:pt>
                <c:pt idx="16">
                  <c:v>10.3385</c:v>
                </c:pt>
                <c:pt idx="17">
                  <c:v>10.4533</c:v>
                </c:pt>
                <c:pt idx="18">
                  <c:v>10.3956</c:v>
                </c:pt>
                <c:pt idx="19">
                  <c:v>10.4533</c:v>
                </c:pt>
                <c:pt idx="20">
                  <c:v>10.511699999999999</c:v>
                </c:pt>
                <c:pt idx="21">
                  <c:v>10.6305</c:v>
                </c:pt>
                <c:pt idx="22">
                  <c:v>10.752000000000001</c:v>
                </c:pt>
                <c:pt idx="23">
                  <c:v>10.752000000000001</c:v>
                </c:pt>
                <c:pt idx="24">
                  <c:v>10.752000000000001</c:v>
                </c:pt>
              </c:numCache>
            </c:numRef>
          </c:val>
        </c:ser>
        <c:ser>
          <c:idx val="22"/>
          <c:order val="22"/>
          <c:tx>
            <c:strRef>
              <c:f>'Fuel - BIG MAP'!$AS$38</c:f>
              <c:strCache>
                <c:ptCount val="1"/>
                <c:pt idx="0">
                  <c:v>250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MAP'!$AS$39:$AS$63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10.4533</c:v>
                </c:pt>
                <c:pt idx="18">
                  <c:v>10.3956</c:v>
                </c:pt>
                <c:pt idx="19">
                  <c:v>10.4533</c:v>
                </c:pt>
                <c:pt idx="20">
                  <c:v>10.511699999999999</c:v>
                </c:pt>
                <c:pt idx="21">
                  <c:v>10.6305</c:v>
                </c:pt>
                <c:pt idx="22">
                  <c:v>10.752000000000001</c:v>
                </c:pt>
                <c:pt idx="23">
                  <c:v>10.752000000000001</c:v>
                </c:pt>
                <c:pt idx="24">
                  <c:v>10.752000000000001</c:v>
                </c:pt>
              </c:numCache>
            </c:numRef>
          </c:val>
        </c:ser>
        <c:ser>
          <c:idx val="23"/>
          <c:order val="23"/>
          <c:tx>
            <c:strRef>
              <c:f>'Fuel - BIG MAP'!$AT$38</c:f>
              <c:strCache>
                <c:ptCount val="1"/>
                <c:pt idx="0">
                  <c:v>260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MAP'!$AT$39:$AT$63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10.3956</c:v>
                </c:pt>
                <c:pt idx="19">
                  <c:v>10.4533</c:v>
                </c:pt>
                <c:pt idx="20">
                  <c:v>10.511699999999999</c:v>
                </c:pt>
                <c:pt idx="21">
                  <c:v>10.6305</c:v>
                </c:pt>
                <c:pt idx="22">
                  <c:v>10.752000000000001</c:v>
                </c:pt>
                <c:pt idx="23">
                  <c:v>10.752000000000001</c:v>
                </c:pt>
                <c:pt idx="24">
                  <c:v>10.752000000000001</c:v>
                </c:pt>
              </c:numCache>
            </c:numRef>
          </c:val>
        </c:ser>
        <c:ser>
          <c:idx val="24"/>
          <c:order val="24"/>
          <c:tx>
            <c:strRef>
              <c:f>'Fuel - BIG MAP'!$AU$38</c:f>
              <c:strCache>
                <c:ptCount val="1"/>
                <c:pt idx="0">
                  <c:v>270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MAP'!$AU$39:$AU$63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10.3956</c:v>
                </c:pt>
                <c:pt idx="19">
                  <c:v>10.4533</c:v>
                </c:pt>
                <c:pt idx="20">
                  <c:v>10.511699999999999</c:v>
                </c:pt>
                <c:pt idx="21">
                  <c:v>10.6305</c:v>
                </c:pt>
                <c:pt idx="22">
                  <c:v>10.752000000000001</c:v>
                </c:pt>
                <c:pt idx="23">
                  <c:v>10.752000000000001</c:v>
                </c:pt>
                <c:pt idx="24">
                  <c:v>10.752000000000001</c:v>
                </c:pt>
              </c:numCache>
            </c:numRef>
          </c:val>
        </c:ser>
        <c:ser>
          <c:idx val="25"/>
          <c:order val="25"/>
          <c:tx>
            <c:strRef>
              <c:f>'Fuel - BIG MAP'!$AV$38</c:f>
              <c:strCache>
                <c:ptCount val="1"/>
                <c:pt idx="0">
                  <c:v>280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MAP'!$AV$39:$AV$63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ser>
          <c:idx val="26"/>
          <c:order val="26"/>
          <c:tx>
            <c:strRef>
              <c:f>'Fuel - BIG MAP'!$AW$38</c:f>
              <c:strCache>
                <c:ptCount val="1"/>
                <c:pt idx="0">
                  <c:v>290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MAP'!$AW$39:$AW$63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ser>
          <c:idx val="27"/>
          <c:order val="27"/>
          <c:tx>
            <c:strRef>
              <c:f>'Fuel - BIG MAP'!$AX$38</c:f>
              <c:strCache>
                <c:ptCount val="1"/>
                <c:pt idx="0">
                  <c:v>300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MAP'!$AX$39:$AX$63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ser>
          <c:idx val="28"/>
          <c:order val="28"/>
          <c:tx>
            <c:strRef>
              <c:f>'Fuel - BIG MAP'!$AY$38</c:f>
              <c:strCache>
                <c:ptCount val="1"/>
                <c:pt idx="0">
                  <c:v>310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MAP'!$AY$39:$AY$63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ser>
          <c:idx val="29"/>
          <c:order val="29"/>
          <c:tx>
            <c:strRef>
              <c:f>'Fuel - BIG MAP'!$AZ$38</c:f>
              <c:strCache>
                <c:ptCount val="1"/>
                <c:pt idx="0">
                  <c:v>320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MAP'!$AZ$39:$AZ$63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86861696"/>
        <c:axId val="86863872"/>
        <c:axId val="86824704"/>
      </c:surface3DChart>
      <c:catAx>
        <c:axId val="86861696"/>
        <c:scaling>
          <c:orientation val="maxMin"/>
        </c:scaling>
        <c:axPos val="b"/>
        <c:title>
          <c:tx>
            <c:rich>
              <a:bodyPr rot="5400000" vert="horz"/>
              <a:lstStyle/>
              <a:p>
                <a:pPr algn="ctr">
                  <a:defRPr sz="1025" b="1" i="0" u="none" strike="noStrike" baseline="0">
                    <a:solidFill>
                      <a:srgbClr val="000000"/>
                    </a:solidFill>
                    <a:latin typeface="Arial"/>
                    <a:ea typeface="Arial"/>
                    <a:cs typeface="Arial"/>
                  </a:defRPr>
                </a:pPr>
                <a:r>
                  <a:rPr lang="en-US"/>
                  <a:t>RPM</a:t>
                </a:r>
              </a:p>
            </c:rich>
          </c:tx>
          <c:layout>
            <c:manualLayout>
              <c:xMode val="edge"/>
              <c:yMode val="edge"/>
              <c:x val="0.92600080395355999"/>
              <c:y val="0.41701416296068144"/>
            </c:manualLayout>
          </c:layout>
          <c:spPr>
            <a:noFill/>
            <a:ln w="25400">
              <a:noFill/>
            </a:ln>
          </c:spPr>
        </c:title>
        <c:numFmt formatCode="General" sourceLinked="1"/>
        <c:tickLblPos val="low"/>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86863872"/>
        <c:crosses val="autoZero"/>
        <c:auto val="1"/>
        <c:lblAlgn val="ctr"/>
        <c:lblOffset val="100"/>
        <c:tickLblSkip val="1"/>
        <c:tickMarkSkip val="1"/>
        <c:noMultiLvlLbl val="1"/>
      </c:catAx>
      <c:valAx>
        <c:axId val="86863872"/>
        <c:scaling>
          <c:orientation val="minMax"/>
          <c:max val="15"/>
          <c:min val="8"/>
        </c:scaling>
        <c:delete val="1"/>
        <c:axPos val="r"/>
        <c:majorGridlines>
          <c:spPr>
            <a:ln w="3175">
              <a:solidFill>
                <a:srgbClr val="000000"/>
              </a:solidFill>
              <a:prstDash val="solid"/>
            </a:ln>
          </c:spPr>
        </c:majorGridlines>
        <c:title>
          <c:tx>
            <c:rich>
              <a:bodyPr rot="0" vert="horz"/>
              <a:lstStyle/>
              <a:p>
                <a:pPr algn="ctr">
                  <a:defRPr sz="1025" b="1" i="0" u="none" strike="noStrike" baseline="0">
                    <a:solidFill>
                      <a:srgbClr val="000000"/>
                    </a:solidFill>
                    <a:latin typeface="Arial"/>
                    <a:ea typeface="Arial"/>
                    <a:cs typeface="Arial"/>
                  </a:defRPr>
                </a:pPr>
                <a:r>
                  <a:rPr lang="en-US"/>
                  <a:t>Trim</a:t>
                </a:r>
              </a:p>
            </c:rich>
          </c:tx>
          <c:layout>
            <c:manualLayout>
              <c:xMode val="edge"/>
              <c:yMode val="edge"/>
              <c:x val="9.12447880951818E-3"/>
              <c:y val="0.83063839208363033"/>
            </c:manualLayout>
          </c:layout>
          <c:spPr>
            <a:noFill/>
            <a:ln w="25400">
              <a:noFill/>
            </a:ln>
          </c:spPr>
        </c:title>
        <c:numFmt formatCode="0.00" sourceLinked="1"/>
        <c:tickLblPos val="none"/>
        <c:crossAx val="86861696"/>
        <c:crosses val="autoZero"/>
        <c:crossBetween val="midCat"/>
        <c:majorUnit val="0.25"/>
        <c:minorUnit val="0.1"/>
      </c:valAx>
      <c:serAx>
        <c:axId val="86824704"/>
        <c:scaling>
          <c:orientation val="maxMin"/>
        </c:scaling>
        <c:axPos val="b"/>
        <c:title>
          <c:tx>
            <c:rich>
              <a:bodyPr/>
              <a:lstStyle/>
              <a:p>
                <a:pPr>
                  <a:defRPr sz="1025" b="1" i="0" u="none" strike="noStrike" baseline="0">
                    <a:solidFill>
                      <a:srgbClr val="000000"/>
                    </a:solidFill>
                    <a:latin typeface="Arial"/>
                    <a:ea typeface="Arial"/>
                    <a:cs typeface="Arial"/>
                  </a:defRPr>
                </a:pPr>
                <a:r>
                  <a:rPr lang="en-US"/>
                  <a:t>Load</a:t>
                </a:r>
              </a:p>
            </c:rich>
          </c:tx>
          <c:layout>
            <c:manualLayout>
              <c:xMode val="edge"/>
              <c:yMode val="edge"/>
              <c:x val="0.43144995389089891"/>
              <c:y val="0.91370219920553941"/>
            </c:manualLayout>
          </c:layout>
          <c:spPr>
            <a:noFill/>
            <a:ln w="25400">
              <a:noFill/>
            </a:ln>
          </c:spPr>
        </c:title>
        <c:numFmt formatCode="General" sourceLinked="1"/>
        <c:tickLblPos val="low"/>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86863872"/>
        <c:crosses val="autoZero"/>
        <c:tickLblSkip val="4"/>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2.8548278056152072E-2"/>
          <c:y val="1.9646761096795407E-2"/>
          <c:w val="0.87811109403014909"/>
          <c:h val="0.90603912369047301"/>
        </c:manualLayout>
      </c:layout>
      <c:surface3DChart>
        <c:ser>
          <c:idx val="0"/>
          <c:order val="0"/>
          <c:tx>
            <c:strRef>
              <c:f>'Fuel - BIG MAP'!$W$5</c:f>
              <c:strCache>
                <c:ptCount val="1"/>
                <c:pt idx="0">
                  <c:v>10</c:v>
                </c:pt>
              </c:strCache>
            </c:strRef>
          </c:tx>
          <c:spPr>
            <a:solidFill>
              <a:srgbClr val="9999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MAP'!$W$6:$W$30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14.586046511627906</c:v>
                </c:pt>
                <c:pt idx="18">
                  <c:v>14.363358778625953</c:v>
                </c:pt>
                <c:pt idx="19">
                  <c:v>13.937777777777777</c:v>
                </c:pt>
                <c:pt idx="20">
                  <c:v>13.835294117647058</c:v>
                </c:pt>
                <c:pt idx="21">
                  <c:v>13.835294117647058</c:v>
                </c:pt>
                <c:pt idx="22">
                  <c:v>13.835294117647058</c:v>
                </c:pt>
                <c:pt idx="23">
                  <c:v>13.835294117647058</c:v>
                </c:pt>
                <c:pt idx="24">
                  <c:v>13.835294117647058</c:v>
                </c:pt>
              </c:numCache>
            </c:numRef>
          </c:val>
        </c:ser>
        <c:ser>
          <c:idx val="1"/>
          <c:order val="1"/>
          <c:tx>
            <c:strRef>
              <c:f>'Fuel - BIG MAP'!$X$5</c:f>
              <c:strCache>
                <c:ptCount val="1"/>
                <c:pt idx="0">
                  <c:v>20</c:v>
                </c:pt>
              </c:strCache>
            </c:strRef>
          </c:tx>
          <c:spPr>
            <a:solidFill>
              <a:srgbClr val="993366"/>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MAP'!$X$6:$X$30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14.586046511627906</c:v>
                </c:pt>
                <c:pt idx="18">
                  <c:v>14.254545454545454</c:v>
                </c:pt>
                <c:pt idx="19">
                  <c:v>13.937777777777777</c:v>
                </c:pt>
                <c:pt idx="20">
                  <c:v>13.835294117647058</c:v>
                </c:pt>
                <c:pt idx="21">
                  <c:v>13.835294117647058</c:v>
                </c:pt>
                <c:pt idx="22">
                  <c:v>13.835294117647058</c:v>
                </c:pt>
                <c:pt idx="23">
                  <c:v>13.835294117647058</c:v>
                </c:pt>
                <c:pt idx="24">
                  <c:v>13.835294117647058</c:v>
                </c:pt>
              </c:numCache>
            </c:numRef>
          </c:val>
        </c:ser>
        <c:ser>
          <c:idx val="2"/>
          <c:order val="2"/>
          <c:tx>
            <c:strRef>
              <c:f>'Fuel - BIG MAP'!$Y$5</c:f>
              <c:strCache>
                <c:ptCount val="1"/>
                <c:pt idx="0">
                  <c:v>30</c:v>
                </c:pt>
              </c:strCache>
            </c:strRef>
          </c:tx>
          <c:spPr>
            <a:solidFill>
              <a:srgbClr val="FFFFCC"/>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MAP'!$Y$6:$Y$30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14.586046511627906</c:v>
                </c:pt>
                <c:pt idx="17">
                  <c:v>14.473846153846154</c:v>
                </c:pt>
                <c:pt idx="18">
                  <c:v>14.254545454545454</c:v>
                </c:pt>
                <c:pt idx="19">
                  <c:v>13.937777777777777</c:v>
                </c:pt>
                <c:pt idx="20">
                  <c:v>13.734306569343065</c:v>
                </c:pt>
                <c:pt idx="21">
                  <c:v>13.734306569343065</c:v>
                </c:pt>
                <c:pt idx="22">
                  <c:v>13.734306569343065</c:v>
                </c:pt>
                <c:pt idx="23">
                  <c:v>13.734306569343065</c:v>
                </c:pt>
                <c:pt idx="24">
                  <c:v>13.835294117647058</c:v>
                </c:pt>
              </c:numCache>
            </c:numRef>
          </c:val>
        </c:ser>
        <c:ser>
          <c:idx val="3"/>
          <c:order val="3"/>
          <c:tx>
            <c:strRef>
              <c:f>'Fuel - BIG MAP'!$Z$5</c:f>
              <c:strCache>
                <c:ptCount val="1"/>
                <c:pt idx="0">
                  <c:v>40</c:v>
                </c:pt>
              </c:strCache>
            </c:strRef>
          </c:tx>
          <c:spPr>
            <a:solidFill>
              <a:srgbClr val="CCFF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MAP'!$Z$6:$Z$30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14.586046511627906</c:v>
                </c:pt>
                <c:pt idx="14">
                  <c:v>14.586046511627906</c:v>
                </c:pt>
                <c:pt idx="15">
                  <c:v>14.586046511627906</c:v>
                </c:pt>
                <c:pt idx="16">
                  <c:v>14.473846153846154</c:v>
                </c:pt>
                <c:pt idx="17">
                  <c:v>14.363358778625953</c:v>
                </c:pt>
                <c:pt idx="18">
                  <c:v>14.041791044776119</c:v>
                </c:pt>
                <c:pt idx="19">
                  <c:v>13.734306569343065</c:v>
                </c:pt>
                <c:pt idx="20">
                  <c:v>13.536690647482013</c:v>
                </c:pt>
                <c:pt idx="21">
                  <c:v>13.536690647482013</c:v>
                </c:pt>
                <c:pt idx="22">
                  <c:v>13.536690647482013</c:v>
                </c:pt>
                <c:pt idx="23">
                  <c:v>13.536690647482013</c:v>
                </c:pt>
                <c:pt idx="24">
                  <c:v>13.536690647482013</c:v>
                </c:pt>
              </c:numCache>
            </c:numRef>
          </c:val>
        </c:ser>
        <c:ser>
          <c:idx val="4"/>
          <c:order val="4"/>
          <c:tx>
            <c:strRef>
              <c:f>'Fuel - BIG MAP'!$AA$5</c:f>
              <c:strCache>
                <c:ptCount val="1"/>
                <c:pt idx="0">
                  <c:v>50</c:v>
                </c:pt>
              </c:strCache>
            </c:strRef>
          </c:tx>
          <c:spPr>
            <a:solidFill>
              <a:srgbClr val="660066"/>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MAP'!$AA$6:$AA$30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14.586046511627906</c:v>
                </c:pt>
                <c:pt idx="13">
                  <c:v>14.586046511627906</c:v>
                </c:pt>
                <c:pt idx="14">
                  <c:v>14.473846153846154</c:v>
                </c:pt>
                <c:pt idx="15">
                  <c:v>14.363358778625953</c:v>
                </c:pt>
                <c:pt idx="16">
                  <c:v>14.254545454545454</c:v>
                </c:pt>
                <c:pt idx="17">
                  <c:v>14.041791044776119</c:v>
                </c:pt>
                <c:pt idx="18">
                  <c:v>13.734306569343065</c:v>
                </c:pt>
                <c:pt idx="19">
                  <c:v>13.34468085106383</c:v>
                </c:pt>
                <c:pt idx="20">
                  <c:v>13.158041958041958</c:v>
                </c:pt>
                <c:pt idx="21">
                  <c:v>13.066666666666666</c:v>
                </c:pt>
                <c:pt idx="22">
                  <c:v>13.066666666666666</c:v>
                </c:pt>
                <c:pt idx="23">
                  <c:v>13.066666666666666</c:v>
                </c:pt>
                <c:pt idx="24">
                  <c:v>13.158041958041958</c:v>
                </c:pt>
              </c:numCache>
            </c:numRef>
          </c:val>
        </c:ser>
        <c:ser>
          <c:idx val="5"/>
          <c:order val="5"/>
          <c:tx>
            <c:strRef>
              <c:f>'Fuel - BIG MAP'!$AB$5</c:f>
              <c:strCache>
                <c:ptCount val="1"/>
                <c:pt idx="0">
                  <c:v>60</c:v>
                </c:pt>
              </c:strCache>
            </c:strRef>
          </c:tx>
          <c:spPr>
            <a:solidFill>
              <a:srgbClr val="FF808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MAP'!$AB$6:$AB$30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14.586046511627906</c:v>
                </c:pt>
                <c:pt idx="12">
                  <c:v>14.473846153846154</c:v>
                </c:pt>
                <c:pt idx="13">
                  <c:v>14.473846153846154</c:v>
                </c:pt>
                <c:pt idx="14">
                  <c:v>14.254545454545454</c:v>
                </c:pt>
                <c:pt idx="15">
                  <c:v>14.041791044776119</c:v>
                </c:pt>
                <c:pt idx="16">
                  <c:v>13.835294117647058</c:v>
                </c:pt>
                <c:pt idx="17">
                  <c:v>13.634782608695652</c:v>
                </c:pt>
                <c:pt idx="18">
                  <c:v>13.250704225352113</c:v>
                </c:pt>
                <c:pt idx="19">
                  <c:v>12.887671232876711</c:v>
                </c:pt>
                <c:pt idx="20">
                  <c:v>12.628187919463087</c:v>
                </c:pt>
                <c:pt idx="21">
                  <c:v>12.628187919463087</c:v>
                </c:pt>
                <c:pt idx="22">
                  <c:v>12.628187919463087</c:v>
                </c:pt>
                <c:pt idx="23">
                  <c:v>12.628187919463087</c:v>
                </c:pt>
                <c:pt idx="24">
                  <c:v>12.628187919463087</c:v>
                </c:pt>
              </c:numCache>
            </c:numRef>
          </c:val>
        </c:ser>
        <c:ser>
          <c:idx val="6"/>
          <c:order val="6"/>
          <c:tx>
            <c:strRef>
              <c:f>'Fuel - BIG MAP'!$AC$5</c:f>
              <c:strCache>
                <c:ptCount val="1"/>
                <c:pt idx="0">
                  <c:v>70</c:v>
                </c:pt>
              </c:strCache>
            </c:strRef>
          </c:tx>
          <c:spPr>
            <a:solidFill>
              <a:srgbClr val="0066CC"/>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MAP'!$AC$6:$AC$30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14.586046511627906</c:v>
                </c:pt>
                <c:pt idx="11">
                  <c:v>14.473846153846154</c:v>
                </c:pt>
                <c:pt idx="12">
                  <c:v>14.041791044776119</c:v>
                </c:pt>
                <c:pt idx="13">
                  <c:v>14.041791044776119</c:v>
                </c:pt>
                <c:pt idx="14">
                  <c:v>13.835294117647058</c:v>
                </c:pt>
                <c:pt idx="15">
                  <c:v>13.634782608695652</c:v>
                </c:pt>
                <c:pt idx="16">
                  <c:v>13.34468085106383</c:v>
                </c:pt>
                <c:pt idx="17">
                  <c:v>13.066666666666666</c:v>
                </c:pt>
                <c:pt idx="18">
                  <c:v>12.713513513513513</c:v>
                </c:pt>
                <c:pt idx="19">
                  <c:v>12.460927152317881</c:v>
                </c:pt>
                <c:pt idx="20">
                  <c:v>12.298039215686273</c:v>
                </c:pt>
                <c:pt idx="21">
                  <c:v>12.218181818181817</c:v>
                </c:pt>
                <c:pt idx="22">
                  <c:v>12.218181818181817</c:v>
                </c:pt>
                <c:pt idx="23">
                  <c:v>12.218181818181817</c:v>
                </c:pt>
                <c:pt idx="24">
                  <c:v>12.218181818181817</c:v>
                </c:pt>
              </c:numCache>
            </c:numRef>
          </c:val>
        </c:ser>
        <c:ser>
          <c:idx val="7"/>
          <c:order val="7"/>
          <c:tx>
            <c:strRef>
              <c:f>'Fuel - BIG MAP'!$AD$5</c:f>
              <c:strCache>
                <c:ptCount val="1"/>
                <c:pt idx="0">
                  <c:v>80</c:v>
                </c:pt>
              </c:strCache>
            </c:strRef>
          </c:tx>
          <c:spPr>
            <a:solidFill>
              <a:srgbClr val="CCCC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MAP'!$AD$6:$AD$30</c:f>
              <c:numCache>
                <c:formatCode>0.00</c:formatCode>
                <c:ptCount val="25"/>
                <c:pt idx="0">
                  <c:v>14.586046511627906</c:v>
                </c:pt>
                <c:pt idx="1">
                  <c:v>14.586046511627906</c:v>
                </c:pt>
                <c:pt idx="2">
                  <c:v>14.586046511627906</c:v>
                </c:pt>
                <c:pt idx="3">
                  <c:v>14.586046511627906</c:v>
                </c:pt>
                <c:pt idx="4">
                  <c:v>14.586046511627906</c:v>
                </c:pt>
                <c:pt idx="5">
                  <c:v>14.586046511627906</c:v>
                </c:pt>
                <c:pt idx="6">
                  <c:v>14.586046511627906</c:v>
                </c:pt>
                <c:pt idx="7">
                  <c:v>14.586046511627906</c:v>
                </c:pt>
                <c:pt idx="8">
                  <c:v>14.586046511627906</c:v>
                </c:pt>
                <c:pt idx="9">
                  <c:v>14.473846153846154</c:v>
                </c:pt>
                <c:pt idx="10">
                  <c:v>14.473846153846154</c:v>
                </c:pt>
                <c:pt idx="11">
                  <c:v>14.254545454545454</c:v>
                </c:pt>
                <c:pt idx="12">
                  <c:v>13.835294117647058</c:v>
                </c:pt>
                <c:pt idx="13">
                  <c:v>13.634782608695652</c:v>
                </c:pt>
                <c:pt idx="14">
                  <c:v>13.34468085106383</c:v>
                </c:pt>
                <c:pt idx="15">
                  <c:v>13.066666666666666</c:v>
                </c:pt>
                <c:pt idx="16">
                  <c:v>12.713513513513513</c:v>
                </c:pt>
                <c:pt idx="17">
                  <c:v>12.543999999999999</c:v>
                </c:pt>
                <c:pt idx="18">
                  <c:v>12.298039215686273</c:v>
                </c:pt>
                <c:pt idx="19">
                  <c:v>12.139354838709677</c:v>
                </c:pt>
                <c:pt idx="20">
                  <c:v>12.061538461538461</c:v>
                </c:pt>
                <c:pt idx="21">
                  <c:v>12.061538461538461</c:v>
                </c:pt>
                <c:pt idx="22">
                  <c:v>12.061538461538461</c:v>
                </c:pt>
                <c:pt idx="23">
                  <c:v>12.061538461538461</c:v>
                </c:pt>
                <c:pt idx="24">
                  <c:v>12.061538461538461</c:v>
                </c:pt>
              </c:numCache>
            </c:numRef>
          </c:val>
        </c:ser>
        <c:ser>
          <c:idx val="8"/>
          <c:order val="8"/>
          <c:tx>
            <c:strRef>
              <c:f>'Fuel - BIG MAP'!$AE$5</c:f>
              <c:strCache>
                <c:ptCount val="1"/>
                <c:pt idx="0">
                  <c:v>90</c:v>
                </c:pt>
              </c:strCache>
            </c:strRef>
          </c:tx>
          <c:spPr>
            <a:solidFill>
              <a:srgbClr val="00008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MAP'!$AE$6:$AE$30</c:f>
              <c:numCache>
                <c:formatCode>0.00</c:formatCode>
                <c:ptCount val="25"/>
                <c:pt idx="0">
                  <c:v>14.147368421052631</c:v>
                </c:pt>
                <c:pt idx="1">
                  <c:v>14.147368421052631</c:v>
                </c:pt>
                <c:pt idx="2">
                  <c:v>14.147368421052631</c:v>
                </c:pt>
                <c:pt idx="3">
                  <c:v>14.147368421052631</c:v>
                </c:pt>
                <c:pt idx="4">
                  <c:v>14.041791044776119</c:v>
                </c:pt>
                <c:pt idx="5">
                  <c:v>14.041791044776119</c:v>
                </c:pt>
                <c:pt idx="6">
                  <c:v>13.937777777777777</c:v>
                </c:pt>
                <c:pt idx="7">
                  <c:v>13.937777777777777</c:v>
                </c:pt>
                <c:pt idx="8">
                  <c:v>13.937777777777777</c:v>
                </c:pt>
                <c:pt idx="9">
                  <c:v>13.835294117647058</c:v>
                </c:pt>
                <c:pt idx="10">
                  <c:v>13.734306569343065</c:v>
                </c:pt>
                <c:pt idx="11">
                  <c:v>13.536690647482013</c:v>
                </c:pt>
                <c:pt idx="12">
                  <c:v>13.250704225352113</c:v>
                </c:pt>
                <c:pt idx="13">
                  <c:v>13.066666666666666</c:v>
                </c:pt>
                <c:pt idx="14">
                  <c:v>12.799999999999999</c:v>
                </c:pt>
                <c:pt idx="15">
                  <c:v>12.543999999999999</c:v>
                </c:pt>
                <c:pt idx="16">
                  <c:v>12.378947368421052</c:v>
                </c:pt>
                <c:pt idx="17">
                  <c:v>12.218181818181817</c:v>
                </c:pt>
                <c:pt idx="18">
                  <c:v>12.139354838709677</c:v>
                </c:pt>
                <c:pt idx="19">
                  <c:v>12.061538461538461</c:v>
                </c:pt>
                <c:pt idx="20">
                  <c:v>11.90886075949367</c:v>
                </c:pt>
                <c:pt idx="21">
                  <c:v>11.90886075949367</c:v>
                </c:pt>
                <c:pt idx="22">
                  <c:v>11.90886075949367</c:v>
                </c:pt>
                <c:pt idx="23">
                  <c:v>11.90886075949367</c:v>
                </c:pt>
                <c:pt idx="24">
                  <c:v>11.984713375796177</c:v>
                </c:pt>
              </c:numCache>
            </c:numRef>
          </c:val>
        </c:ser>
        <c:ser>
          <c:idx val="9"/>
          <c:order val="9"/>
          <c:tx>
            <c:strRef>
              <c:f>'Fuel - BIG MAP'!$AF$5</c:f>
              <c:strCache>
                <c:ptCount val="1"/>
                <c:pt idx="0">
                  <c:v>100</c:v>
                </c:pt>
              </c:strCache>
            </c:strRef>
          </c:tx>
          <c:spPr>
            <a:solidFill>
              <a:srgbClr val="FF00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MAP'!$AF$6:$AF$30</c:f>
              <c:numCache>
                <c:formatCode>0.00</c:formatCode>
                <c:ptCount val="25"/>
                <c:pt idx="0">
                  <c:v>13.536690647482013</c:v>
                </c:pt>
                <c:pt idx="1">
                  <c:v>13.536690647482013</c:v>
                </c:pt>
                <c:pt idx="2">
                  <c:v>13.536690647482013</c:v>
                </c:pt>
                <c:pt idx="3">
                  <c:v>13.536690647482013</c:v>
                </c:pt>
                <c:pt idx="4">
                  <c:v>13.44</c:v>
                </c:pt>
                <c:pt idx="5">
                  <c:v>13.34468085106383</c:v>
                </c:pt>
                <c:pt idx="6">
                  <c:v>13.250704225352113</c:v>
                </c:pt>
                <c:pt idx="7">
                  <c:v>13.158041958041958</c:v>
                </c:pt>
                <c:pt idx="8">
                  <c:v>12.976551724137931</c:v>
                </c:pt>
                <c:pt idx="9">
                  <c:v>12.887671232876711</c:v>
                </c:pt>
                <c:pt idx="10">
                  <c:v>12.713513513513513</c:v>
                </c:pt>
                <c:pt idx="11">
                  <c:v>12.543999999999999</c:v>
                </c:pt>
                <c:pt idx="12">
                  <c:v>12.378947368421052</c:v>
                </c:pt>
                <c:pt idx="13">
                  <c:v>12.218181818181817</c:v>
                </c:pt>
                <c:pt idx="14">
                  <c:v>12.061538461538461</c:v>
                </c:pt>
                <c:pt idx="15">
                  <c:v>11.90886075949367</c:v>
                </c:pt>
                <c:pt idx="16">
                  <c:v>11.90886075949367</c:v>
                </c:pt>
                <c:pt idx="17">
                  <c:v>11.833962264150943</c:v>
                </c:pt>
                <c:pt idx="18">
                  <c:v>11.76</c:v>
                </c:pt>
                <c:pt idx="19">
                  <c:v>11.76</c:v>
                </c:pt>
                <c:pt idx="20">
                  <c:v>11.76</c:v>
                </c:pt>
                <c:pt idx="21">
                  <c:v>11.76</c:v>
                </c:pt>
                <c:pt idx="22">
                  <c:v>11.76</c:v>
                </c:pt>
                <c:pt idx="23">
                  <c:v>11.76</c:v>
                </c:pt>
                <c:pt idx="24">
                  <c:v>11.76</c:v>
                </c:pt>
              </c:numCache>
            </c:numRef>
          </c:val>
        </c:ser>
        <c:ser>
          <c:idx val="10"/>
          <c:order val="10"/>
          <c:tx>
            <c:strRef>
              <c:f>'Fuel - BIG MAP'!$AG$5</c:f>
              <c:strCache>
                <c:ptCount val="1"/>
                <c:pt idx="0">
                  <c:v>120</c:v>
                </c:pt>
              </c:strCache>
            </c:strRef>
          </c:tx>
          <c:spPr>
            <a:solidFill>
              <a:srgbClr val="FFFF0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MAP'!$AG$6:$AG$30</c:f>
              <c:numCache>
                <c:formatCode>0.00</c:formatCode>
                <c:ptCount val="25"/>
                <c:pt idx="0">
                  <c:v>13.250704225352113</c:v>
                </c:pt>
                <c:pt idx="1">
                  <c:v>13.250704225352113</c:v>
                </c:pt>
                <c:pt idx="2">
                  <c:v>13.066666666666666</c:v>
                </c:pt>
                <c:pt idx="3">
                  <c:v>12.887671232876711</c:v>
                </c:pt>
                <c:pt idx="4">
                  <c:v>12.713513513513513</c:v>
                </c:pt>
                <c:pt idx="5">
                  <c:v>12.628187919463087</c:v>
                </c:pt>
                <c:pt idx="6">
                  <c:v>12.460927152317881</c:v>
                </c:pt>
                <c:pt idx="7">
                  <c:v>12.298039215686273</c:v>
                </c:pt>
                <c:pt idx="8">
                  <c:v>12.218181818181817</c:v>
                </c:pt>
                <c:pt idx="9">
                  <c:v>12.061538461538461</c:v>
                </c:pt>
                <c:pt idx="10">
                  <c:v>11.984713375796177</c:v>
                </c:pt>
                <c:pt idx="11">
                  <c:v>11.90886075949367</c:v>
                </c:pt>
                <c:pt idx="12">
                  <c:v>11.76</c:v>
                </c:pt>
                <c:pt idx="13">
                  <c:v>11.68695652173913</c:v>
                </c:pt>
                <c:pt idx="14">
                  <c:v>11.68695652173913</c:v>
                </c:pt>
                <c:pt idx="15">
                  <c:v>11.614814814814814</c:v>
                </c:pt>
                <c:pt idx="16">
                  <c:v>11.543558282208588</c:v>
                </c:pt>
                <c:pt idx="17">
                  <c:v>11.543558282208588</c:v>
                </c:pt>
                <c:pt idx="18">
                  <c:v>11.543558282208588</c:v>
                </c:pt>
                <c:pt idx="19">
                  <c:v>11.543558282208588</c:v>
                </c:pt>
                <c:pt idx="20">
                  <c:v>11.543558282208588</c:v>
                </c:pt>
                <c:pt idx="21">
                  <c:v>11.543558282208588</c:v>
                </c:pt>
                <c:pt idx="22">
                  <c:v>11.543558282208588</c:v>
                </c:pt>
                <c:pt idx="23">
                  <c:v>11.543558282208588</c:v>
                </c:pt>
                <c:pt idx="24">
                  <c:v>11.543558282208588</c:v>
                </c:pt>
              </c:numCache>
            </c:numRef>
          </c:val>
        </c:ser>
        <c:ser>
          <c:idx val="11"/>
          <c:order val="11"/>
          <c:tx>
            <c:strRef>
              <c:f>'Fuel - BIG MAP'!$AH$5</c:f>
              <c:strCache>
                <c:ptCount val="1"/>
                <c:pt idx="0">
                  <c:v>140</c:v>
                </c:pt>
              </c:strCache>
            </c:strRef>
          </c:tx>
          <c:spPr>
            <a:solidFill>
              <a:srgbClr val="00FF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MAP'!$AH$6:$AH$30</c:f>
              <c:numCache>
                <c:formatCode>0.00</c:formatCode>
                <c:ptCount val="25"/>
                <c:pt idx="0">
                  <c:v>13.066666666666666</c:v>
                </c:pt>
                <c:pt idx="1">
                  <c:v>12.887671232876711</c:v>
                </c:pt>
                <c:pt idx="2">
                  <c:v>12.628187919463087</c:v>
                </c:pt>
                <c:pt idx="3">
                  <c:v>12.378947368421052</c:v>
                </c:pt>
                <c:pt idx="4">
                  <c:v>12.218181818181817</c:v>
                </c:pt>
                <c:pt idx="5">
                  <c:v>12.061538461538461</c:v>
                </c:pt>
                <c:pt idx="6">
                  <c:v>11.90886075949367</c:v>
                </c:pt>
                <c:pt idx="7">
                  <c:v>11.76</c:v>
                </c:pt>
                <c:pt idx="8">
                  <c:v>11.614814814814814</c:v>
                </c:pt>
                <c:pt idx="9">
                  <c:v>11.543558282208588</c:v>
                </c:pt>
                <c:pt idx="10">
                  <c:v>11.473170731707317</c:v>
                </c:pt>
                <c:pt idx="11">
                  <c:v>11.403636363636362</c:v>
                </c:pt>
                <c:pt idx="12">
                  <c:v>11.334939759036144</c:v>
                </c:pt>
                <c:pt idx="13">
                  <c:v>11.334939759036144</c:v>
                </c:pt>
                <c:pt idx="14">
                  <c:v>11.334939759036144</c:v>
                </c:pt>
                <c:pt idx="15">
                  <c:v>11.334939759036144</c:v>
                </c:pt>
                <c:pt idx="16">
                  <c:v>11.334939759036144</c:v>
                </c:pt>
                <c:pt idx="17">
                  <c:v>11.334939759036144</c:v>
                </c:pt>
                <c:pt idx="18">
                  <c:v>11.334939759036144</c:v>
                </c:pt>
                <c:pt idx="19">
                  <c:v>11.403636363636362</c:v>
                </c:pt>
                <c:pt idx="20">
                  <c:v>11.403636363636362</c:v>
                </c:pt>
                <c:pt idx="21">
                  <c:v>11.403636363636362</c:v>
                </c:pt>
                <c:pt idx="22">
                  <c:v>11.403636363636362</c:v>
                </c:pt>
                <c:pt idx="23">
                  <c:v>11.403636363636362</c:v>
                </c:pt>
                <c:pt idx="24">
                  <c:v>11.403636363636362</c:v>
                </c:pt>
              </c:numCache>
            </c:numRef>
          </c:val>
        </c:ser>
        <c:ser>
          <c:idx val="12"/>
          <c:order val="12"/>
          <c:tx>
            <c:strRef>
              <c:f>'Fuel - BIG MAP'!$AI$5</c:f>
              <c:strCache>
                <c:ptCount val="1"/>
                <c:pt idx="0">
                  <c:v>150</c:v>
                </c:pt>
              </c:strCache>
            </c:strRef>
          </c:tx>
          <c:spPr>
            <a:solidFill>
              <a:srgbClr val="80008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MAP'!$AI$6:$AI$30</c:f>
              <c:numCache>
                <c:formatCode>0.00</c:formatCode>
                <c:ptCount val="25"/>
                <c:pt idx="0">
                  <c:v>12.799999999999999</c:v>
                </c:pt>
                <c:pt idx="1">
                  <c:v>12.628187919463087</c:v>
                </c:pt>
                <c:pt idx="2">
                  <c:v>12.378947368421052</c:v>
                </c:pt>
                <c:pt idx="3">
                  <c:v>11.984713375796177</c:v>
                </c:pt>
                <c:pt idx="4">
                  <c:v>11.833962264150943</c:v>
                </c:pt>
                <c:pt idx="5">
                  <c:v>11.68695652173913</c:v>
                </c:pt>
                <c:pt idx="6">
                  <c:v>11.543558282208588</c:v>
                </c:pt>
                <c:pt idx="7">
                  <c:v>11.334939759036144</c:v>
                </c:pt>
                <c:pt idx="8">
                  <c:v>11.267065868263472</c:v>
                </c:pt>
                <c:pt idx="9">
                  <c:v>11.2</c:v>
                </c:pt>
                <c:pt idx="10">
                  <c:v>11.2</c:v>
                </c:pt>
                <c:pt idx="11">
                  <c:v>11.2</c:v>
                </c:pt>
                <c:pt idx="12">
                  <c:v>11.2</c:v>
                </c:pt>
                <c:pt idx="13">
                  <c:v>11.2</c:v>
                </c:pt>
                <c:pt idx="14">
                  <c:v>11.2</c:v>
                </c:pt>
                <c:pt idx="15">
                  <c:v>11.2</c:v>
                </c:pt>
                <c:pt idx="16">
                  <c:v>11.2</c:v>
                </c:pt>
                <c:pt idx="17">
                  <c:v>11.2</c:v>
                </c:pt>
                <c:pt idx="18">
                  <c:v>11.2</c:v>
                </c:pt>
                <c:pt idx="19">
                  <c:v>11.2</c:v>
                </c:pt>
                <c:pt idx="20">
                  <c:v>11.267065868263472</c:v>
                </c:pt>
                <c:pt idx="21">
                  <c:v>11.267065868263472</c:v>
                </c:pt>
                <c:pt idx="22">
                  <c:v>11.267065868263472</c:v>
                </c:pt>
                <c:pt idx="23">
                  <c:v>11.267065868263472</c:v>
                </c:pt>
                <c:pt idx="24">
                  <c:v>11.334939759036144</c:v>
                </c:pt>
              </c:numCache>
            </c:numRef>
          </c:val>
        </c:ser>
        <c:ser>
          <c:idx val="13"/>
          <c:order val="13"/>
          <c:tx>
            <c:strRef>
              <c:f>'Fuel - BIG MAP'!$AJ$5</c:f>
              <c:strCache>
                <c:ptCount val="1"/>
                <c:pt idx="0">
                  <c:v>160</c:v>
                </c:pt>
              </c:strCache>
            </c:strRef>
          </c:tx>
          <c:spPr>
            <a:solidFill>
              <a:srgbClr val="80000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MAP'!$AJ$6:$AJ$30</c:f>
              <c:numCache>
                <c:formatCode>0.00</c:formatCode>
                <c:ptCount val="25"/>
                <c:pt idx="0">
                  <c:v>12.543999999999999</c:v>
                </c:pt>
                <c:pt idx="1">
                  <c:v>12.378947368421052</c:v>
                </c:pt>
                <c:pt idx="2">
                  <c:v>12.061538461538461</c:v>
                </c:pt>
                <c:pt idx="3">
                  <c:v>11.76</c:v>
                </c:pt>
                <c:pt idx="4">
                  <c:v>11.543558282208588</c:v>
                </c:pt>
                <c:pt idx="5">
                  <c:v>11.403636363636362</c:v>
                </c:pt>
                <c:pt idx="6">
                  <c:v>11.2</c:v>
                </c:pt>
                <c:pt idx="7">
                  <c:v>11.133727810650887</c:v>
                </c:pt>
                <c:pt idx="8">
                  <c:v>11.003508771929823</c:v>
                </c:pt>
                <c:pt idx="9">
                  <c:v>11.003508771929823</c:v>
                </c:pt>
                <c:pt idx="10">
                  <c:v>10.939534883720929</c:v>
                </c:pt>
                <c:pt idx="11">
                  <c:v>10.876300578034682</c:v>
                </c:pt>
                <c:pt idx="12">
                  <c:v>10.876300578034682</c:v>
                </c:pt>
                <c:pt idx="13">
                  <c:v>10.876300578034682</c:v>
                </c:pt>
                <c:pt idx="14">
                  <c:v>10.876300578034682</c:v>
                </c:pt>
                <c:pt idx="15">
                  <c:v>10.876300578034682</c:v>
                </c:pt>
                <c:pt idx="16">
                  <c:v>10.939534883720929</c:v>
                </c:pt>
                <c:pt idx="17">
                  <c:v>10.939534883720929</c:v>
                </c:pt>
                <c:pt idx="18">
                  <c:v>11.003508771929823</c:v>
                </c:pt>
                <c:pt idx="19">
                  <c:v>11.068235294117647</c:v>
                </c:pt>
                <c:pt idx="20">
                  <c:v>11.133727810650887</c:v>
                </c:pt>
                <c:pt idx="21">
                  <c:v>11.2</c:v>
                </c:pt>
                <c:pt idx="22">
                  <c:v>11.2</c:v>
                </c:pt>
                <c:pt idx="23">
                  <c:v>11.2</c:v>
                </c:pt>
                <c:pt idx="24">
                  <c:v>11.2</c:v>
                </c:pt>
              </c:numCache>
            </c:numRef>
          </c:val>
        </c:ser>
        <c:ser>
          <c:idx val="14"/>
          <c:order val="14"/>
          <c:tx>
            <c:strRef>
              <c:f>'Fuel - BIG MAP'!$AK$5</c:f>
              <c:strCache>
                <c:ptCount val="1"/>
                <c:pt idx="0">
                  <c:v>170</c:v>
                </c:pt>
              </c:strCache>
            </c:strRef>
          </c:tx>
          <c:spPr>
            <a:solidFill>
              <a:srgbClr val="00808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MAP'!$AK$6:$AK$30</c:f>
              <c:numCache>
                <c:formatCode>0.00</c:formatCode>
                <c:ptCount val="25"/>
                <c:pt idx="0">
                  <c:v>12.378947368421052</c:v>
                </c:pt>
                <c:pt idx="1">
                  <c:v>12.218181818181817</c:v>
                </c:pt>
                <c:pt idx="2">
                  <c:v>11.90886075949367</c:v>
                </c:pt>
                <c:pt idx="3">
                  <c:v>11.614814814814814</c:v>
                </c:pt>
                <c:pt idx="4">
                  <c:v>11.403636363636362</c:v>
                </c:pt>
                <c:pt idx="5">
                  <c:v>11.2</c:v>
                </c:pt>
                <c:pt idx="6">
                  <c:v>11.068235294117647</c:v>
                </c:pt>
                <c:pt idx="7">
                  <c:v>10.939534883720929</c:v>
                </c:pt>
                <c:pt idx="8">
                  <c:v>10.813793103448276</c:v>
                </c:pt>
                <c:pt idx="9">
                  <c:v>10.876300578034682</c:v>
                </c:pt>
                <c:pt idx="10">
                  <c:v>10.813793103448276</c:v>
                </c:pt>
                <c:pt idx="11">
                  <c:v>10.751999999999999</c:v>
                </c:pt>
                <c:pt idx="12">
                  <c:v>10.751999999999999</c:v>
                </c:pt>
                <c:pt idx="13">
                  <c:v>10.751999999999999</c:v>
                </c:pt>
                <c:pt idx="14">
                  <c:v>10.751999999999999</c:v>
                </c:pt>
                <c:pt idx="15">
                  <c:v>10.751999999999999</c:v>
                </c:pt>
                <c:pt idx="16">
                  <c:v>10.813793103448276</c:v>
                </c:pt>
                <c:pt idx="17">
                  <c:v>10.876300578034682</c:v>
                </c:pt>
                <c:pt idx="18">
                  <c:v>10.876300578034682</c:v>
                </c:pt>
                <c:pt idx="19">
                  <c:v>10.939534883720929</c:v>
                </c:pt>
                <c:pt idx="20">
                  <c:v>11.003508771929823</c:v>
                </c:pt>
                <c:pt idx="21">
                  <c:v>11.068235294117647</c:v>
                </c:pt>
                <c:pt idx="22">
                  <c:v>11.068235294117647</c:v>
                </c:pt>
                <c:pt idx="23">
                  <c:v>11.068235294117647</c:v>
                </c:pt>
                <c:pt idx="24">
                  <c:v>11.133727810650887</c:v>
                </c:pt>
              </c:numCache>
            </c:numRef>
          </c:val>
        </c:ser>
        <c:ser>
          <c:idx val="15"/>
          <c:order val="15"/>
          <c:tx>
            <c:strRef>
              <c:f>'Fuel - BIG MAP'!$AL$5</c:f>
              <c:strCache>
                <c:ptCount val="1"/>
                <c:pt idx="0">
                  <c:v>180</c:v>
                </c:pt>
              </c:strCache>
            </c:strRef>
          </c:tx>
          <c:spPr>
            <a:solidFill>
              <a:srgbClr val="0000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MAP'!$AL$6:$AL$30</c:f>
              <c:numCache>
                <c:formatCode>0.00</c:formatCode>
                <c:ptCount val="25"/>
                <c:pt idx="0">
                  <c:v>12.298039215686273</c:v>
                </c:pt>
                <c:pt idx="1">
                  <c:v>12.139354838709677</c:v>
                </c:pt>
                <c:pt idx="2">
                  <c:v>11.833962264150943</c:v>
                </c:pt>
                <c:pt idx="3">
                  <c:v>11.473170731707317</c:v>
                </c:pt>
                <c:pt idx="4">
                  <c:v>11.267065868263472</c:v>
                </c:pt>
                <c:pt idx="5">
                  <c:v>11.068235294117647</c:v>
                </c:pt>
                <c:pt idx="6">
                  <c:v>10.876300578034682</c:v>
                </c:pt>
                <c:pt idx="7">
                  <c:v>10.751999999999999</c:v>
                </c:pt>
                <c:pt idx="8">
                  <c:v>10.69090909090909</c:v>
                </c:pt>
                <c:pt idx="9">
                  <c:v>10.751999999999999</c:v>
                </c:pt>
                <c:pt idx="10">
                  <c:v>10.69090909090909</c:v>
                </c:pt>
                <c:pt idx="11">
                  <c:v>10.69090909090909</c:v>
                </c:pt>
                <c:pt idx="12">
                  <c:v>10.69090909090909</c:v>
                </c:pt>
                <c:pt idx="13">
                  <c:v>10.69090909090909</c:v>
                </c:pt>
                <c:pt idx="14">
                  <c:v>10.69090909090909</c:v>
                </c:pt>
                <c:pt idx="15">
                  <c:v>10.69090909090909</c:v>
                </c:pt>
                <c:pt idx="16">
                  <c:v>10.69090909090909</c:v>
                </c:pt>
                <c:pt idx="17">
                  <c:v>10.751999999999999</c:v>
                </c:pt>
                <c:pt idx="18">
                  <c:v>10.751999999999999</c:v>
                </c:pt>
                <c:pt idx="19">
                  <c:v>10.813793103448276</c:v>
                </c:pt>
                <c:pt idx="20">
                  <c:v>10.939534883720929</c:v>
                </c:pt>
                <c:pt idx="21">
                  <c:v>10.876300578034682</c:v>
                </c:pt>
                <c:pt idx="22">
                  <c:v>10.939534883720929</c:v>
                </c:pt>
                <c:pt idx="23">
                  <c:v>10.939534883720929</c:v>
                </c:pt>
                <c:pt idx="24">
                  <c:v>11.003508771929823</c:v>
                </c:pt>
              </c:numCache>
            </c:numRef>
          </c:val>
        </c:ser>
        <c:ser>
          <c:idx val="16"/>
          <c:order val="16"/>
          <c:tx>
            <c:strRef>
              <c:f>'Fuel - BIG MAP'!$AM$5</c:f>
              <c:strCache>
                <c:ptCount val="1"/>
                <c:pt idx="0">
                  <c:v>190</c:v>
                </c:pt>
              </c:strCache>
            </c:strRef>
          </c:tx>
          <c:spPr>
            <a:solidFill>
              <a:srgbClr val="00CC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MAP'!$AM$6:$AM$30</c:f>
              <c:numCache>
                <c:formatCode>0.00</c:formatCode>
                <c:ptCount val="25"/>
                <c:pt idx="0">
                  <c:v>12.218181818181817</c:v>
                </c:pt>
                <c:pt idx="1">
                  <c:v>12.139354838709677</c:v>
                </c:pt>
                <c:pt idx="2">
                  <c:v>11.76</c:v>
                </c:pt>
                <c:pt idx="3">
                  <c:v>11.473170731707317</c:v>
                </c:pt>
                <c:pt idx="4">
                  <c:v>11.2</c:v>
                </c:pt>
                <c:pt idx="5">
                  <c:v>11.003508771929823</c:v>
                </c:pt>
                <c:pt idx="6">
                  <c:v>10.876300578034682</c:v>
                </c:pt>
                <c:pt idx="7">
                  <c:v>10.751999999999999</c:v>
                </c:pt>
                <c:pt idx="8">
                  <c:v>10.751999999999999</c:v>
                </c:pt>
                <c:pt idx="9">
                  <c:v>10.69090909090909</c:v>
                </c:pt>
                <c:pt idx="10">
                  <c:v>10.69090909090909</c:v>
                </c:pt>
                <c:pt idx="11">
                  <c:v>10.69090909090909</c:v>
                </c:pt>
                <c:pt idx="12">
                  <c:v>10.69090909090909</c:v>
                </c:pt>
                <c:pt idx="13">
                  <c:v>10.69090909090909</c:v>
                </c:pt>
                <c:pt idx="14">
                  <c:v>10.69090909090909</c:v>
                </c:pt>
                <c:pt idx="15">
                  <c:v>10.69090909090909</c:v>
                </c:pt>
                <c:pt idx="16">
                  <c:v>10.69090909090909</c:v>
                </c:pt>
                <c:pt idx="17">
                  <c:v>10.69090909090909</c:v>
                </c:pt>
                <c:pt idx="18">
                  <c:v>10.69090909090909</c:v>
                </c:pt>
                <c:pt idx="19">
                  <c:v>10.69090909090909</c:v>
                </c:pt>
                <c:pt idx="20">
                  <c:v>10.813793103448276</c:v>
                </c:pt>
                <c:pt idx="21">
                  <c:v>10.813793103448276</c:v>
                </c:pt>
                <c:pt idx="22">
                  <c:v>10.876300578034682</c:v>
                </c:pt>
                <c:pt idx="23">
                  <c:v>10.876300578034682</c:v>
                </c:pt>
                <c:pt idx="24">
                  <c:v>10.876300578034682</c:v>
                </c:pt>
              </c:numCache>
            </c:numRef>
          </c:val>
        </c:ser>
        <c:ser>
          <c:idx val="17"/>
          <c:order val="17"/>
          <c:tx>
            <c:strRef>
              <c:f>'Fuel - BIG MAP'!$AN$5</c:f>
              <c:strCache>
                <c:ptCount val="1"/>
                <c:pt idx="0">
                  <c:v>200</c:v>
                </c:pt>
              </c:strCache>
            </c:strRef>
          </c:tx>
          <c:spPr>
            <a:solidFill>
              <a:srgbClr val="CCFF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MAP'!$AN$6:$AN$30</c:f>
              <c:numCache>
                <c:formatCode>0.00</c:formatCode>
                <c:ptCount val="25"/>
                <c:pt idx="0">
                  <c:v>12.218181818181817</c:v>
                </c:pt>
                <c:pt idx="1">
                  <c:v>12.061538461538461</c:v>
                </c:pt>
                <c:pt idx="2">
                  <c:v>11.76</c:v>
                </c:pt>
                <c:pt idx="3">
                  <c:v>11.403636363636362</c:v>
                </c:pt>
                <c:pt idx="4">
                  <c:v>11.2</c:v>
                </c:pt>
                <c:pt idx="5">
                  <c:v>10.939534883720929</c:v>
                </c:pt>
                <c:pt idx="6">
                  <c:v>10.813793103448276</c:v>
                </c:pt>
                <c:pt idx="7">
                  <c:v>10.751999999999999</c:v>
                </c:pt>
                <c:pt idx="8">
                  <c:v>10.630508474576271</c:v>
                </c:pt>
                <c:pt idx="9">
                  <c:v>10.69090909090909</c:v>
                </c:pt>
                <c:pt idx="10">
                  <c:v>10.570786516853932</c:v>
                </c:pt>
                <c:pt idx="11">
                  <c:v>10.511731843575419</c:v>
                </c:pt>
                <c:pt idx="12">
                  <c:v>10.511731843575419</c:v>
                </c:pt>
                <c:pt idx="13">
                  <c:v>10.453333333333333</c:v>
                </c:pt>
                <c:pt idx="14">
                  <c:v>10.453333333333333</c:v>
                </c:pt>
                <c:pt idx="15">
                  <c:v>10.511731843575419</c:v>
                </c:pt>
                <c:pt idx="16">
                  <c:v>10.511731843575419</c:v>
                </c:pt>
                <c:pt idx="17">
                  <c:v>10.630508474576271</c:v>
                </c:pt>
                <c:pt idx="18">
                  <c:v>10.630508474576271</c:v>
                </c:pt>
                <c:pt idx="19">
                  <c:v>10.570786516853932</c:v>
                </c:pt>
                <c:pt idx="20">
                  <c:v>10.630508474576271</c:v>
                </c:pt>
                <c:pt idx="21">
                  <c:v>10.69090909090909</c:v>
                </c:pt>
                <c:pt idx="22">
                  <c:v>10.813793103448276</c:v>
                </c:pt>
                <c:pt idx="23">
                  <c:v>10.813793103448276</c:v>
                </c:pt>
                <c:pt idx="24">
                  <c:v>10.813793103448276</c:v>
                </c:pt>
              </c:numCache>
            </c:numRef>
          </c:val>
        </c:ser>
        <c:ser>
          <c:idx val="18"/>
          <c:order val="18"/>
          <c:tx>
            <c:strRef>
              <c:f>'Fuel - BIG MAP'!$AO$5</c:f>
              <c:strCache>
                <c:ptCount val="1"/>
                <c:pt idx="0">
                  <c:v>210</c:v>
                </c:pt>
              </c:strCache>
            </c:strRef>
          </c:tx>
          <c:spPr>
            <a:solidFill>
              <a:srgbClr val="CCFFCC"/>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MAP'!$AO$6:$AO$30</c:f>
              <c:numCache>
                <c:formatCode>0.00</c:formatCode>
                <c:ptCount val="25"/>
                <c:pt idx="0">
                  <c:v>12.139354838709677</c:v>
                </c:pt>
                <c:pt idx="1">
                  <c:v>12.061538461538461</c:v>
                </c:pt>
                <c:pt idx="2">
                  <c:v>11.68695652173913</c:v>
                </c:pt>
                <c:pt idx="3">
                  <c:v>11.403636363636362</c:v>
                </c:pt>
                <c:pt idx="4">
                  <c:v>11.133727810650887</c:v>
                </c:pt>
                <c:pt idx="5">
                  <c:v>10.939534883720929</c:v>
                </c:pt>
                <c:pt idx="6">
                  <c:v>10.751999999999999</c:v>
                </c:pt>
                <c:pt idx="7">
                  <c:v>10.570786516853932</c:v>
                </c:pt>
                <c:pt idx="8">
                  <c:v>10.511731843575419</c:v>
                </c:pt>
                <c:pt idx="9">
                  <c:v>10.570786516853932</c:v>
                </c:pt>
                <c:pt idx="10">
                  <c:v>10.511731843575419</c:v>
                </c:pt>
                <c:pt idx="11">
                  <c:v>10.453333333333333</c:v>
                </c:pt>
                <c:pt idx="12">
                  <c:v>10.453333333333333</c:v>
                </c:pt>
                <c:pt idx="13">
                  <c:v>10.395580110497237</c:v>
                </c:pt>
                <c:pt idx="14">
                  <c:v>10.395580110497237</c:v>
                </c:pt>
                <c:pt idx="15">
                  <c:v>10.453333333333333</c:v>
                </c:pt>
                <c:pt idx="16">
                  <c:v>10.511731843575419</c:v>
                </c:pt>
                <c:pt idx="17">
                  <c:v>10.69090909090909</c:v>
                </c:pt>
                <c:pt idx="18">
                  <c:v>10.69090909090909</c:v>
                </c:pt>
                <c:pt idx="19">
                  <c:v>10.630508474576271</c:v>
                </c:pt>
                <c:pt idx="20">
                  <c:v>10.751999999999999</c:v>
                </c:pt>
                <c:pt idx="21">
                  <c:v>10.751999999999999</c:v>
                </c:pt>
                <c:pt idx="22">
                  <c:v>10.751999999999999</c:v>
                </c:pt>
                <c:pt idx="23">
                  <c:v>10.751999999999999</c:v>
                </c:pt>
                <c:pt idx="24">
                  <c:v>10.751999999999999</c:v>
                </c:pt>
              </c:numCache>
            </c:numRef>
          </c:val>
        </c:ser>
        <c:ser>
          <c:idx val="19"/>
          <c:order val="19"/>
          <c:tx>
            <c:strRef>
              <c:f>'Fuel - BIG MAP'!$AP$5</c:f>
              <c:strCache>
                <c:ptCount val="1"/>
                <c:pt idx="0">
                  <c:v>220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MAP'!$AP$6:$AP$30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10.570786516853932</c:v>
                </c:pt>
                <c:pt idx="8">
                  <c:v>10.511731843575419</c:v>
                </c:pt>
                <c:pt idx="9">
                  <c:v>10.453333333333333</c:v>
                </c:pt>
                <c:pt idx="10">
                  <c:v>10.453333333333333</c:v>
                </c:pt>
                <c:pt idx="11">
                  <c:v>10.453333333333333</c:v>
                </c:pt>
                <c:pt idx="12">
                  <c:v>10.395580110497237</c:v>
                </c:pt>
                <c:pt idx="13">
                  <c:v>10.453333333333333</c:v>
                </c:pt>
                <c:pt idx="14">
                  <c:v>10.453333333333333</c:v>
                </c:pt>
                <c:pt idx="15">
                  <c:v>10.453333333333333</c:v>
                </c:pt>
                <c:pt idx="16">
                  <c:v>10.570786516853932</c:v>
                </c:pt>
                <c:pt idx="17">
                  <c:v>10.570786516853932</c:v>
                </c:pt>
                <c:pt idx="18">
                  <c:v>10.570786516853932</c:v>
                </c:pt>
                <c:pt idx="19">
                  <c:v>10.630508474576271</c:v>
                </c:pt>
                <c:pt idx="20">
                  <c:v>10.69090909090909</c:v>
                </c:pt>
                <c:pt idx="21">
                  <c:v>10.751999999999999</c:v>
                </c:pt>
                <c:pt idx="22">
                  <c:v>10.751999999999999</c:v>
                </c:pt>
                <c:pt idx="23">
                  <c:v>10.751999999999999</c:v>
                </c:pt>
                <c:pt idx="24">
                  <c:v>10.751999999999999</c:v>
                </c:pt>
              </c:numCache>
            </c:numRef>
          </c:val>
        </c:ser>
        <c:ser>
          <c:idx val="20"/>
          <c:order val="20"/>
          <c:tx>
            <c:strRef>
              <c:f>'Fuel - BIG MAP'!$AQ$5</c:f>
              <c:strCache>
                <c:ptCount val="1"/>
                <c:pt idx="0">
                  <c:v>230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MAP'!$AQ$6:$AQ$30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10.395580110497237</c:v>
                </c:pt>
                <c:pt idx="12">
                  <c:v>10.395580110497237</c:v>
                </c:pt>
                <c:pt idx="13">
                  <c:v>10.338461538461537</c:v>
                </c:pt>
                <c:pt idx="14">
                  <c:v>10.338461538461537</c:v>
                </c:pt>
                <c:pt idx="15">
                  <c:v>10.395580110497237</c:v>
                </c:pt>
                <c:pt idx="16">
                  <c:v>10.453333333333333</c:v>
                </c:pt>
                <c:pt idx="17">
                  <c:v>10.453333333333333</c:v>
                </c:pt>
                <c:pt idx="18">
                  <c:v>10.511731843575419</c:v>
                </c:pt>
                <c:pt idx="19">
                  <c:v>10.570786516853932</c:v>
                </c:pt>
                <c:pt idx="20">
                  <c:v>10.69090909090909</c:v>
                </c:pt>
                <c:pt idx="21">
                  <c:v>10.751999999999999</c:v>
                </c:pt>
                <c:pt idx="22">
                  <c:v>10.813793103448276</c:v>
                </c:pt>
                <c:pt idx="23">
                  <c:v>10.813793103448276</c:v>
                </c:pt>
                <c:pt idx="24">
                  <c:v>10.876300578034682</c:v>
                </c:pt>
              </c:numCache>
            </c:numRef>
          </c:val>
        </c:ser>
        <c:ser>
          <c:idx val="21"/>
          <c:order val="21"/>
          <c:tx>
            <c:strRef>
              <c:f>'Fuel - BIG MAP'!$AR$5</c:f>
              <c:strCache>
                <c:ptCount val="1"/>
                <c:pt idx="0">
                  <c:v>240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MAP'!$AR$6:$AR$30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10.338461538461537</c:v>
                </c:pt>
                <c:pt idx="12">
                  <c:v>10.281967213114754</c:v>
                </c:pt>
                <c:pt idx="13">
                  <c:v>10.226086956521739</c:v>
                </c:pt>
                <c:pt idx="14">
                  <c:v>10.226086956521739</c:v>
                </c:pt>
                <c:pt idx="15">
                  <c:v>10.281967213114754</c:v>
                </c:pt>
                <c:pt idx="16">
                  <c:v>10.338461538461537</c:v>
                </c:pt>
                <c:pt idx="17">
                  <c:v>10.453333333333333</c:v>
                </c:pt>
                <c:pt idx="18">
                  <c:v>10.395580110497237</c:v>
                </c:pt>
                <c:pt idx="19">
                  <c:v>10.453333333333333</c:v>
                </c:pt>
                <c:pt idx="20">
                  <c:v>10.511731843575419</c:v>
                </c:pt>
                <c:pt idx="21">
                  <c:v>10.630508474576271</c:v>
                </c:pt>
                <c:pt idx="22">
                  <c:v>10.751999999999999</c:v>
                </c:pt>
                <c:pt idx="23">
                  <c:v>10.751999999999999</c:v>
                </c:pt>
                <c:pt idx="24">
                  <c:v>10.751999999999999</c:v>
                </c:pt>
              </c:numCache>
            </c:numRef>
          </c:val>
        </c:ser>
        <c:ser>
          <c:idx val="22"/>
          <c:order val="22"/>
          <c:tx>
            <c:strRef>
              <c:f>'Fuel - BIG MAP'!$AS$5</c:f>
              <c:strCache>
                <c:ptCount val="1"/>
                <c:pt idx="0">
                  <c:v>250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MAP'!$AS$6:$AS$30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10.395580110497237</c:v>
                </c:pt>
                <c:pt idx="18">
                  <c:v>10.395580110497237</c:v>
                </c:pt>
                <c:pt idx="19">
                  <c:v>10.453333333333333</c:v>
                </c:pt>
                <c:pt idx="20">
                  <c:v>10.511731843575419</c:v>
                </c:pt>
                <c:pt idx="21">
                  <c:v>10.630508474576271</c:v>
                </c:pt>
                <c:pt idx="22">
                  <c:v>10.751999999999999</c:v>
                </c:pt>
                <c:pt idx="23">
                  <c:v>10.751999999999999</c:v>
                </c:pt>
                <c:pt idx="24">
                  <c:v>10.751999999999999</c:v>
                </c:pt>
              </c:numCache>
            </c:numRef>
          </c:val>
        </c:ser>
        <c:ser>
          <c:idx val="23"/>
          <c:order val="23"/>
          <c:tx>
            <c:strRef>
              <c:f>'Fuel - BIG MAP'!$AT$5</c:f>
              <c:strCache>
                <c:ptCount val="1"/>
                <c:pt idx="0">
                  <c:v>260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MAP'!$AT$6:$AT$30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10.395580110497237</c:v>
                </c:pt>
                <c:pt idx="19">
                  <c:v>10.453333333333333</c:v>
                </c:pt>
                <c:pt idx="20">
                  <c:v>10.511731843575419</c:v>
                </c:pt>
                <c:pt idx="21">
                  <c:v>10.630508474576271</c:v>
                </c:pt>
                <c:pt idx="22">
                  <c:v>10.751999999999999</c:v>
                </c:pt>
                <c:pt idx="23">
                  <c:v>10.751999999999999</c:v>
                </c:pt>
                <c:pt idx="24">
                  <c:v>10.751999999999999</c:v>
                </c:pt>
              </c:numCache>
            </c:numRef>
          </c:val>
        </c:ser>
        <c:ser>
          <c:idx val="24"/>
          <c:order val="24"/>
          <c:tx>
            <c:strRef>
              <c:f>'Fuel - BIG MAP'!$AU$5</c:f>
              <c:strCache>
                <c:ptCount val="1"/>
                <c:pt idx="0">
                  <c:v>270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MAP'!$AU$6:$AU$30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10.395580110497237</c:v>
                </c:pt>
                <c:pt idx="19">
                  <c:v>10.453333333333333</c:v>
                </c:pt>
                <c:pt idx="20">
                  <c:v>10.511731843575419</c:v>
                </c:pt>
                <c:pt idx="21">
                  <c:v>10.630508474576271</c:v>
                </c:pt>
                <c:pt idx="22">
                  <c:v>10.751999999999999</c:v>
                </c:pt>
                <c:pt idx="23">
                  <c:v>10.751999999999999</c:v>
                </c:pt>
                <c:pt idx="24">
                  <c:v>10.751999999999999</c:v>
                </c:pt>
              </c:numCache>
            </c:numRef>
          </c:val>
        </c:ser>
        <c:ser>
          <c:idx val="25"/>
          <c:order val="25"/>
          <c:tx>
            <c:strRef>
              <c:f>'Fuel - BIG MAP'!$AV$5</c:f>
              <c:strCache>
                <c:ptCount val="1"/>
                <c:pt idx="0">
                  <c:v>280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MAP'!$AV$6:$AV$30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ser>
          <c:idx val="26"/>
          <c:order val="26"/>
          <c:tx>
            <c:strRef>
              <c:f>'Fuel - BIG MAP'!$AW$5</c:f>
              <c:strCache>
                <c:ptCount val="1"/>
                <c:pt idx="0">
                  <c:v>290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MAP'!$AW$6:$AW$30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ser>
          <c:idx val="27"/>
          <c:order val="27"/>
          <c:tx>
            <c:strRef>
              <c:f>'Fuel - BIG MAP'!$AX$5</c:f>
              <c:strCache>
                <c:ptCount val="1"/>
                <c:pt idx="0">
                  <c:v>300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MAP'!$AX$6:$AX$30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ser>
          <c:idx val="28"/>
          <c:order val="28"/>
          <c:tx>
            <c:strRef>
              <c:f>'Fuel - BIG MAP'!$AY$5</c:f>
              <c:strCache>
                <c:ptCount val="1"/>
                <c:pt idx="0">
                  <c:v>310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MAP'!$AY$6:$AY$30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ser>
          <c:idx val="29"/>
          <c:order val="29"/>
          <c:tx>
            <c:strRef>
              <c:f>'Fuel - BIG MAP'!$AZ$5</c:f>
              <c:strCache>
                <c:ptCount val="1"/>
                <c:pt idx="0">
                  <c:v>320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MAP'!$AZ$6:$AZ$30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10.570786516853932</c:v>
                </c:pt>
                <c:pt idx="8">
                  <c:v>10.453333333333333</c:v>
                </c:pt>
                <c:pt idx="9">
                  <c:v>10.453333333333333</c:v>
                </c:pt>
                <c:pt idx="10">
                  <c:v>10.395580110497237</c:v>
                </c:pt>
                <c:pt idx="11">
                  <c:v>10.338461538461537</c:v>
                </c:pt>
                <c:pt idx="12">
                  <c:v>10.226086956521739</c:v>
                </c:pt>
                <c:pt idx="13">
                  <c:v>10.17081081081081</c:v>
                </c:pt>
                <c:pt idx="14">
                  <c:v>10.17081081081081</c:v>
                </c:pt>
                <c:pt idx="15">
                  <c:v>10.17081081081081</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s>
        <c:axId val="87110400"/>
        <c:axId val="87112320"/>
        <c:axId val="87048640"/>
      </c:surface3DChart>
      <c:catAx>
        <c:axId val="87110400"/>
        <c:scaling>
          <c:orientation val="maxMin"/>
        </c:scaling>
        <c:axPos val="b"/>
        <c:title>
          <c:tx>
            <c:rich>
              <a:bodyPr rot="5400000" vert="horz"/>
              <a:lstStyle/>
              <a:p>
                <a:pPr algn="ctr">
                  <a:defRPr sz="1000" b="1" i="0" u="none" strike="noStrike" baseline="0">
                    <a:solidFill>
                      <a:srgbClr val="000000"/>
                    </a:solidFill>
                    <a:latin typeface="Arial"/>
                    <a:ea typeface="Arial"/>
                    <a:cs typeface="Arial"/>
                  </a:defRPr>
                </a:pPr>
                <a:r>
                  <a:rPr lang="en-US"/>
                  <a:t>RPM</a:t>
                </a:r>
              </a:p>
            </c:rich>
          </c:tx>
          <c:layout>
            <c:manualLayout>
              <c:xMode val="edge"/>
              <c:yMode val="edge"/>
              <c:x val="0.9585955283867782"/>
              <c:y val="0.43675974367962955"/>
            </c:manualLayout>
          </c:layout>
          <c:spPr>
            <a:noFill/>
            <a:ln w="25400">
              <a:noFill/>
            </a:ln>
          </c:spPr>
        </c:title>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7112320"/>
        <c:crosses val="autoZero"/>
        <c:auto val="1"/>
        <c:lblAlgn val="ctr"/>
        <c:lblOffset val="100"/>
        <c:tickLblSkip val="1"/>
        <c:tickMarkSkip val="1"/>
        <c:noMultiLvlLbl val="1"/>
      </c:catAx>
      <c:valAx>
        <c:axId val="87112320"/>
        <c:scaling>
          <c:orientation val="minMax"/>
          <c:max val="18"/>
          <c:min val="8"/>
        </c:scaling>
        <c:axPos val="r"/>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7110400"/>
        <c:crosses val="autoZero"/>
        <c:crossBetween val="midCat"/>
        <c:majorUnit val="0.25"/>
        <c:minorUnit val="0.1"/>
      </c:valAx>
      <c:serAx>
        <c:axId val="87048640"/>
        <c:scaling>
          <c:orientation val="maxMin"/>
        </c:scaling>
        <c:axPos val="b"/>
        <c:title>
          <c:tx>
            <c:rich>
              <a:bodyPr/>
              <a:lstStyle/>
              <a:p>
                <a:pPr>
                  <a:defRPr sz="1000" b="1" i="0" u="none" strike="noStrike" baseline="0">
                    <a:solidFill>
                      <a:srgbClr val="000000"/>
                    </a:solidFill>
                    <a:latin typeface="Arial"/>
                    <a:ea typeface="Arial"/>
                    <a:cs typeface="Arial"/>
                  </a:defRPr>
                </a:pPr>
                <a:r>
                  <a:rPr lang="en-US"/>
                  <a:t>Load</a:t>
                </a:r>
              </a:p>
            </c:rich>
          </c:tx>
          <c:layout>
            <c:manualLayout>
              <c:xMode val="edge"/>
              <c:yMode val="edge"/>
              <c:x val="0.45987344925186774"/>
              <c:y val="0.94492006556242825"/>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7112320"/>
        <c:crosses val="autoZero"/>
        <c:tickLblSkip val="3"/>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view3D>
      <c:rotX val="5"/>
      <c:hPercent val="100"/>
      <c:rotY val="358"/>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5.7575055291541263E-2"/>
          <c:y val="4.7188681377533501E-2"/>
          <c:w val="0.87842165667436833"/>
          <c:h val="0.8427518533711662"/>
        </c:manualLayout>
      </c:layout>
      <c:surface3DChart>
        <c:ser>
          <c:idx val="0"/>
          <c:order val="0"/>
          <c:tx>
            <c:strRef>
              <c:f>'Fuel - BIG MAP'!$W$5</c:f>
              <c:strCache>
                <c:ptCount val="1"/>
                <c:pt idx="0">
                  <c:v>10</c:v>
                </c:pt>
              </c:strCache>
            </c:strRef>
          </c:tx>
          <c:spPr>
            <a:solidFill>
              <a:srgbClr val="9999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MAP'!$W$6:$W$30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14.586046511627906</c:v>
                </c:pt>
                <c:pt idx="18">
                  <c:v>14.363358778625953</c:v>
                </c:pt>
                <c:pt idx="19">
                  <c:v>13.937777777777777</c:v>
                </c:pt>
                <c:pt idx="20">
                  <c:v>13.835294117647058</c:v>
                </c:pt>
                <c:pt idx="21">
                  <c:v>13.835294117647058</c:v>
                </c:pt>
                <c:pt idx="22">
                  <c:v>13.835294117647058</c:v>
                </c:pt>
                <c:pt idx="23">
                  <c:v>13.835294117647058</c:v>
                </c:pt>
                <c:pt idx="24">
                  <c:v>13.835294117647058</c:v>
                </c:pt>
              </c:numCache>
            </c:numRef>
          </c:val>
        </c:ser>
        <c:ser>
          <c:idx val="1"/>
          <c:order val="1"/>
          <c:tx>
            <c:strRef>
              <c:f>'Fuel - BIG MAP'!$X$5</c:f>
              <c:strCache>
                <c:ptCount val="1"/>
                <c:pt idx="0">
                  <c:v>20</c:v>
                </c:pt>
              </c:strCache>
            </c:strRef>
          </c:tx>
          <c:spPr>
            <a:solidFill>
              <a:srgbClr val="993366"/>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MAP'!$X$6:$X$30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14.586046511627906</c:v>
                </c:pt>
                <c:pt idx="18">
                  <c:v>14.254545454545454</c:v>
                </c:pt>
                <c:pt idx="19">
                  <c:v>13.937777777777777</c:v>
                </c:pt>
                <c:pt idx="20">
                  <c:v>13.835294117647058</c:v>
                </c:pt>
                <c:pt idx="21">
                  <c:v>13.835294117647058</c:v>
                </c:pt>
                <c:pt idx="22">
                  <c:v>13.835294117647058</c:v>
                </c:pt>
                <c:pt idx="23">
                  <c:v>13.835294117647058</c:v>
                </c:pt>
                <c:pt idx="24">
                  <c:v>13.835294117647058</c:v>
                </c:pt>
              </c:numCache>
            </c:numRef>
          </c:val>
        </c:ser>
        <c:ser>
          <c:idx val="2"/>
          <c:order val="2"/>
          <c:tx>
            <c:strRef>
              <c:f>'Fuel - BIG MAP'!$Y$5</c:f>
              <c:strCache>
                <c:ptCount val="1"/>
                <c:pt idx="0">
                  <c:v>30</c:v>
                </c:pt>
              </c:strCache>
            </c:strRef>
          </c:tx>
          <c:spPr>
            <a:solidFill>
              <a:srgbClr val="FFFFCC"/>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MAP'!$Y$6:$Y$30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14.586046511627906</c:v>
                </c:pt>
                <c:pt idx="17">
                  <c:v>14.473846153846154</c:v>
                </c:pt>
                <c:pt idx="18">
                  <c:v>14.254545454545454</c:v>
                </c:pt>
                <c:pt idx="19">
                  <c:v>13.937777777777777</c:v>
                </c:pt>
                <c:pt idx="20">
                  <c:v>13.734306569343065</c:v>
                </c:pt>
                <c:pt idx="21">
                  <c:v>13.734306569343065</c:v>
                </c:pt>
                <c:pt idx="22">
                  <c:v>13.734306569343065</c:v>
                </c:pt>
                <c:pt idx="23">
                  <c:v>13.734306569343065</c:v>
                </c:pt>
                <c:pt idx="24">
                  <c:v>13.835294117647058</c:v>
                </c:pt>
              </c:numCache>
            </c:numRef>
          </c:val>
        </c:ser>
        <c:ser>
          <c:idx val="3"/>
          <c:order val="3"/>
          <c:tx>
            <c:strRef>
              <c:f>'Fuel - BIG MAP'!$Z$5</c:f>
              <c:strCache>
                <c:ptCount val="1"/>
                <c:pt idx="0">
                  <c:v>40</c:v>
                </c:pt>
              </c:strCache>
            </c:strRef>
          </c:tx>
          <c:spPr>
            <a:solidFill>
              <a:srgbClr val="CCFF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MAP'!$Z$6:$Z$30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14.586046511627906</c:v>
                </c:pt>
                <c:pt idx="14">
                  <c:v>14.586046511627906</c:v>
                </c:pt>
                <c:pt idx="15">
                  <c:v>14.586046511627906</c:v>
                </c:pt>
                <c:pt idx="16">
                  <c:v>14.473846153846154</c:v>
                </c:pt>
                <c:pt idx="17">
                  <c:v>14.363358778625953</c:v>
                </c:pt>
                <c:pt idx="18">
                  <c:v>14.041791044776119</c:v>
                </c:pt>
                <c:pt idx="19">
                  <c:v>13.734306569343065</c:v>
                </c:pt>
                <c:pt idx="20">
                  <c:v>13.536690647482013</c:v>
                </c:pt>
                <c:pt idx="21">
                  <c:v>13.536690647482013</c:v>
                </c:pt>
                <c:pt idx="22">
                  <c:v>13.536690647482013</c:v>
                </c:pt>
                <c:pt idx="23">
                  <c:v>13.536690647482013</c:v>
                </c:pt>
                <c:pt idx="24">
                  <c:v>13.536690647482013</c:v>
                </c:pt>
              </c:numCache>
            </c:numRef>
          </c:val>
        </c:ser>
        <c:ser>
          <c:idx val="4"/>
          <c:order val="4"/>
          <c:tx>
            <c:strRef>
              <c:f>'Fuel - BIG MAP'!$AA$5</c:f>
              <c:strCache>
                <c:ptCount val="1"/>
                <c:pt idx="0">
                  <c:v>50</c:v>
                </c:pt>
              </c:strCache>
            </c:strRef>
          </c:tx>
          <c:spPr>
            <a:solidFill>
              <a:srgbClr val="660066"/>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MAP'!$AA$6:$AA$30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14.586046511627906</c:v>
                </c:pt>
                <c:pt idx="13">
                  <c:v>14.586046511627906</c:v>
                </c:pt>
                <c:pt idx="14">
                  <c:v>14.473846153846154</c:v>
                </c:pt>
                <c:pt idx="15">
                  <c:v>14.363358778625953</c:v>
                </c:pt>
                <c:pt idx="16">
                  <c:v>14.254545454545454</c:v>
                </c:pt>
                <c:pt idx="17">
                  <c:v>14.041791044776119</c:v>
                </c:pt>
                <c:pt idx="18">
                  <c:v>13.734306569343065</c:v>
                </c:pt>
                <c:pt idx="19">
                  <c:v>13.34468085106383</c:v>
                </c:pt>
                <c:pt idx="20">
                  <c:v>13.158041958041958</c:v>
                </c:pt>
                <c:pt idx="21">
                  <c:v>13.066666666666666</c:v>
                </c:pt>
                <c:pt idx="22">
                  <c:v>13.066666666666666</c:v>
                </c:pt>
                <c:pt idx="23">
                  <c:v>13.066666666666666</c:v>
                </c:pt>
                <c:pt idx="24">
                  <c:v>13.158041958041958</c:v>
                </c:pt>
              </c:numCache>
            </c:numRef>
          </c:val>
        </c:ser>
        <c:ser>
          <c:idx val="5"/>
          <c:order val="5"/>
          <c:tx>
            <c:strRef>
              <c:f>'Fuel - BIG MAP'!$AB$5</c:f>
              <c:strCache>
                <c:ptCount val="1"/>
                <c:pt idx="0">
                  <c:v>60</c:v>
                </c:pt>
              </c:strCache>
            </c:strRef>
          </c:tx>
          <c:spPr>
            <a:solidFill>
              <a:srgbClr val="FF808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MAP'!$AB$6:$AB$30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14.586046511627906</c:v>
                </c:pt>
                <c:pt idx="12">
                  <c:v>14.473846153846154</c:v>
                </c:pt>
                <c:pt idx="13">
                  <c:v>14.473846153846154</c:v>
                </c:pt>
                <c:pt idx="14">
                  <c:v>14.254545454545454</c:v>
                </c:pt>
                <c:pt idx="15">
                  <c:v>14.041791044776119</c:v>
                </c:pt>
                <c:pt idx="16">
                  <c:v>13.835294117647058</c:v>
                </c:pt>
                <c:pt idx="17">
                  <c:v>13.634782608695652</c:v>
                </c:pt>
                <c:pt idx="18">
                  <c:v>13.250704225352113</c:v>
                </c:pt>
                <c:pt idx="19">
                  <c:v>12.887671232876711</c:v>
                </c:pt>
                <c:pt idx="20">
                  <c:v>12.628187919463087</c:v>
                </c:pt>
                <c:pt idx="21">
                  <c:v>12.628187919463087</c:v>
                </c:pt>
                <c:pt idx="22">
                  <c:v>12.628187919463087</c:v>
                </c:pt>
                <c:pt idx="23">
                  <c:v>12.628187919463087</c:v>
                </c:pt>
                <c:pt idx="24">
                  <c:v>12.628187919463087</c:v>
                </c:pt>
              </c:numCache>
            </c:numRef>
          </c:val>
        </c:ser>
        <c:ser>
          <c:idx val="6"/>
          <c:order val="6"/>
          <c:tx>
            <c:strRef>
              <c:f>'Fuel - BIG MAP'!$AC$5</c:f>
              <c:strCache>
                <c:ptCount val="1"/>
                <c:pt idx="0">
                  <c:v>70</c:v>
                </c:pt>
              </c:strCache>
            </c:strRef>
          </c:tx>
          <c:spPr>
            <a:solidFill>
              <a:srgbClr val="0066CC"/>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MAP'!$AC$6:$AC$30</c:f>
              <c:numCache>
                <c:formatCode>0.00</c:formatCode>
                <c:ptCount val="25"/>
                <c:pt idx="0">
                  <c:v>14.7</c:v>
                </c:pt>
                <c:pt idx="1">
                  <c:v>14.7</c:v>
                </c:pt>
                <c:pt idx="2">
                  <c:v>14.7</c:v>
                </c:pt>
                <c:pt idx="3">
                  <c:v>14.7</c:v>
                </c:pt>
                <c:pt idx="4">
                  <c:v>14.7</c:v>
                </c:pt>
                <c:pt idx="5">
                  <c:v>14.7</c:v>
                </c:pt>
                <c:pt idx="6">
                  <c:v>14.7</c:v>
                </c:pt>
                <c:pt idx="7">
                  <c:v>14.7</c:v>
                </c:pt>
                <c:pt idx="8">
                  <c:v>14.7</c:v>
                </c:pt>
                <c:pt idx="9">
                  <c:v>14.7</c:v>
                </c:pt>
                <c:pt idx="10">
                  <c:v>14.586046511627906</c:v>
                </c:pt>
                <c:pt idx="11">
                  <c:v>14.473846153846154</c:v>
                </c:pt>
                <c:pt idx="12">
                  <c:v>14.041791044776119</c:v>
                </c:pt>
                <c:pt idx="13">
                  <c:v>14.041791044776119</c:v>
                </c:pt>
                <c:pt idx="14">
                  <c:v>13.835294117647058</c:v>
                </c:pt>
                <c:pt idx="15">
                  <c:v>13.634782608695652</c:v>
                </c:pt>
                <c:pt idx="16">
                  <c:v>13.34468085106383</c:v>
                </c:pt>
                <c:pt idx="17">
                  <c:v>13.066666666666666</c:v>
                </c:pt>
                <c:pt idx="18">
                  <c:v>12.713513513513513</c:v>
                </c:pt>
                <c:pt idx="19">
                  <c:v>12.460927152317881</c:v>
                </c:pt>
                <c:pt idx="20">
                  <c:v>12.298039215686273</c:v>
                </c:pt>
                <c:pt idx="21">
                  <c:v>12.218181818181817</c:v>
                </c:pt>
                <c:pt idx="22">
                  <c:v>12.218181818181817</c:v>
                </c:pt>
                <c:pt idx="23">
                  <c:v>12.218181818181817</c:v>
                </c:pt>
                <c:pt idx="24">
                  <c:v>12.218181818181817</c:v>
                </c:pt>
              </c:numCache>
            </c:numRef>
          </c:val>
        </c:ser>
        <c:ser>
          <c:idx val="7"/>
          <c:order val="7"/>
          <c:tx>
            <c:strRef>
              <c:f>'Fuel - BIG MAP'!$AD$5</c:f>
              <c:strCache>
                <c:ptCount val="1"/>
                <c:pt idx="0">
                  <c:v>80</c:v>
                </c:pt>
              </c:strCache>
            </c:strRef>
          </c:tx>
          <c:spPr>
            <a:solidFill>
              <a:srgbClr val="CCCC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MAP'!$AD$6:$AD$30</c:f>
              <c:numCache>
                <c:formatCode>0.00</c:formatCode>
                <c:ptCount val="25"/>
                <c:pt idx="0">
                  <c:v>14.586046511627906</c:v>
                </c:pt>
                <c:pt idx="1">
                  <c:v>14.586046511627906</c:v>
                </c:pt>
                <c:pt idx="2">
                  <c:v>14.586046511627906</c:v>
                </c:pt>
                <c:pt idx="3">
                  <c:v>14.586046511627906</c:v>
                </c:pt>
                <c:pt idx="4">
                  <c:v>14.586046511627906</c:v>
                </c:pt>
                <c:pt idx="5">
                  <c:v>14.586046511627906</c:v>
                </c:pt>
                <c:pt idx="6">
                  <c:v>14.586046511627906</c:v>
                </c:pt>
                <c:pt idx="7">
                  <c:v>14.586046511627906</c:v>
                </c:pt>
                <c:pt idx="8">
                  <c:v>14.586046511627906</c:v>
                </c:pt>
                <c:pt idx="9">
                  <c:v>14.473846153846154</c:v>
                </c:pt>
                <c:pt idx="10">
                  <c:v>14.473846153846154</c:v>
                </c:pt>
                <c:pt idx="11">
                  <c:v>14.254545454545454</c:v>
                </c:pt>
                <c:pt idx="12">
                  <c:v>13.835294117647058</c:v>
                </c:pt>
                <c:pt idx="13">
                  <c:v>13.634782608695652</c:v>
                </c:pt>
                <c:pt idx="14">
                  <c:v>13.34468085106383</c:v>
                </c:pt>
                <c:pt idx="15">
                  <c:v>13.066666666666666</c:v>
                </c:pt>
                <c:pt idx="16">
                  <c:v>12.713513513513513</c:v>
                </c:pt>
                <c:pt idx="17">
                  <c:v>12.543999999999999</c:v>
                </c:pt>
                <c:pt idx="18">
                  <c:v>12.298039215686273</c:v>
                </c:pt>
                <c:pt idx="19">
                  <c:v>12.139354838709677</c:v>
                </c:pt>
                <c:pt idx="20">
                  <c:v>12.061538461538461</c:v>
                </c:pt>
                <c:pt idx="21">
                  <c:v>12.061538461538461</c:v>
                </c:pt>
                <c:pt idx="22">
                  <c:v>12.061538461538461</c:v>
                </c:pt>
                <c:pt idx="23">
                  <c:v>12.061538461538461</c:v>
                </c:pt>
                <c:pt idx="24">
                  <c:v>12.061538461538461</c:v>
                </c:pt>
              </c:numCache>
            </c:numRef>
          </c:val>
        </c:ser>
        <c:ser>
          <c:idx val="8"/>
          <c:order val="8"/>
          <c:tx>
            <c:strRef>
              <c:f>'Fuel - BIG MAP'!$AE$5</c:f>
              <c:strCache>
                <c:ptCount val="1"/>
                <c:pt idx="0">
                  <c:v>90</c:v>
                </c:pt>
              </c:strCache>
            </c:strRef>
          </c:tx>
          <c:spPr>
            <a:solidFill>
              <a:srgbClr val="00008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MAP'!$AE$6:$AE$30</c:f>
              <c:numCache>
                <c:formatCode>0.00</c:formatCode>
                <c:ptCount val="25"/>
                <c:pt idx="0">
                  <c:v>14.147368421052631</c:v>
                </c:pt>
                <c:pt idx="1">
                  <c:v>14.147368421052631</c:v>
                </c:pt>
                <c:pt idx="2">
                  <c:v>14.147368421052631</c:v>
                </c:pt>
                <c:pt idx="3">
                  <c:v>14.147368421052631</c:v>
                </c:pt>
                <c:pt idx="4">
                  <c:v>14.041791044776119</c:v>
                </c:pt>
                <c:pt idx="5">
                  <c:v>14.041791044776119</c:v>
                </c:pt>
                <c:pt idx="6">
                  <c:v>13.937777777777777</c:v>
                </c:pt>
                <c:pt idx="7">
                  <c:v>13.937777777777777</c:v>
                </c:pt>
                <c:pt idx="8">
                  <c:v>13.937777777777777</c:v>
                </c:pt>
                <c:pt idx="9">
                  <c:v>13.835294117647058</c:v>
                </c:pt>
                <c:pt idx="10">
                  <c:v>13.734306569343065</c:v>
                </c:pt>
                <c:pt idx="11">
                  <c:v>13.536690647482013</c:v>
                </c:pt>
                <c:pt idx="12">
                  <c:v>13.250704225352113</c:v>
                </c:pt>
                <c:pt idx="13">
                  <c:v>13.066666666666666</c:v>
                </c:pt>
                <c:pt idx="14">
                  <c:v>12.799999999999999</c:v>
                </c:pt>
                <c:pt idx="15">
                  <c:v>12.543999999999999</c:v>
                </c:pt>
                <c:pt idx="16">
                  <c:v>12.378947368421052</c:v>
                </c:pt>
                <c:pt idx="17">
                  <c:v>12.218181818181817</c:v>
                </c:pt>
                <c:pt idx="18">
                  <c:v>12.139354838709677</c:v>
                </c:pt>
                <c:pt idx="19">
                  <c:v>12.061538461538461</c:v>
                </c:pt>
                <c:pt idx="20">
                  <c:v>11.90886075949367</c:v>
                </c:pt>
                <c:pt idx="21">
                  <c:v>11.90886075949367</c:v>
                </c:pt>
                <c:pt idx="22">
                  <c:v>11.90886075949367</c:v>
                </c:pt>
                <c:pt idx="23">
                  <c:v>11.90886075949367</c:v>
                </c:pt>
                <c:pt idx="24">
                  <c:v>11.984713375796177</c:v>
                </c:pt>
              </c:numCache>
            </c:numRef>
          </c:val>
        </c:ser>
        <c:ser>
          <c:idx val="9"/>
          <c:order val="9"/>
          <c:tx>
            <c:strRef>
              <c:f>'Fuel - BIG MAP'!$AF$5</c:f>
              <c:strCache>
                <c:ptCount val="1"/>
                <c:pt idx="0">
                  <c:v>100</c:v>
                </c:pt>
              </c:strCache>
            </c:strRef>
          </c:tx>
          <c:spPr>
            <a:solidFill>
              <a:srgbClr val="FF00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MAP'!$AF$6:$AF$30</c:f>
              <c:numCache>
                <c:formatCode>0.00</c:formatCode>
                <c:ptCount val="25"/>
                <c:pt idx="0">
                  <c:v>13.536690647482013</c:v>
                </c:pt>
                <c:pt idx="1">
                  <c:v>13.536690647482013</c:v>
                </c:pt>
                <c:pt idx="2">
                  <c:v>13.536690647482013</c:v>
                </c:pt>
                <c:pt idx="3">
                  <c:v>13.536690647482013</c:v>
                </c:pt>
                <c:pt idx="4">
                  <c:v>13.44</c:v>
                </c:pt>
                <c:pt idx="5">
                  <c:v>13.34468085106383</c:v>
                </c:pt>
                <c:pt idx="6">
                  <c:v>13.250704225352113</c:v>
                </c:pt>
                <c:pt idx="7">
                  <c:v>13.158041958041958</c:v>
                </c:pt>
                <c:pt idx="8">
                  <c:v>12.976551724137931</c:v>
                </c:pt>
                <c:pt idx="9">
                  <c:v>12.887671232876711</c:v>
                </c:pt>
                <c:pt idx="10">
                  <c:v>12.713513513513513</c:v>
                </c:pt>
                <c:pt idx="11">
                  <c:v>12.543999999999999</c:v>
                </c:pt>
                <c:pt idx="12">
                  <c:v>12.378947368421052</c:v>
                </c:pt>
                <c:pt idx="13">
                  <c:v>12.218181818181817</c:v>
                </c:pt>
                <c:pt idx="14">
                  <c:v>12.061538461538461</c:v>
                </c:pt>
                <c:pt idx="15">
                  <c:v>11.90886075949367</c:v>
                </c:pt>
                <c:pt idx="16">
                  <c:v>11.90886075949367</c:v>
                </c:pt>
                <c:pt idx="17">
                  <c:v>11.833962264150943</c:v>
                </c:pt>
                <c:pt idx="18">
                  <c:v>11.76</c:v>
                </c:pt>
                <c:pt idx="19">
                  <c:v>11.76</c:v>
                </c:pt>
                <c:pt idx="20">
                  <c:v>11.76</c:v>
                </c:pt>
                <c:pt idx="21">
                  <c:v>11.76</c:v>
                </c:pt>
                <c:pt idx="22">
                  <c:v>11.76</c:v>
                </c:pt>
                <c:pt idx="23">
                  <c:v>11.76</c:v>
                </c:pt>
                <c:pt idx="24">
                  <c:v>11.76</c:v>
                </c:pt>
              </c:numCache>
            </c:numRef>
          </c:val>
        </c:ser>
        <c:ser>
          <c:idx val="10"/>
          <c:order val="10"/>
          <c:tx>
            <c:strRef>
              <c:f>'Fuel - BIG MAP'!$AG$5</c:f>
              <c:strCache>
                <c:ptCount val="1"/>
                <c:pt idx="0">
                  <c:v>120</c:v>
                </c:pt>
              </c:strCache>
            </c:strRef>
          </c:tx>
          <c:spPr>
            <a:solidFill>
              <a:srgbClr val="FFFF0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MAP'!$AG$6:$AG$30</c:f>
              <c:numCache>
                <c:formatCode>0.00</c:formatCode>
                <c:ptCount val="25"/>
                <c:pt idx="0">
                  <c:v>13.250704225352113</c:v>
                </c:pt>
                <c:pt idx="1">
                  <c:v>13.250704225352113</c:v>
                </c:pt>
                <c:pt idx="2">
                  <c:v>13.066666666666666</c:v>
                </c:pt>
                <c:pt idx="3">
                  <c:v>12.887671232876711</c:v>
                </c:pt>
                <c:pt idx="4">
                  <c:v>12.713513513513513</c:v>
                </c:pt>
                <c:pt idx="5">
                  <c:v>12.628187919463087</c:v>
                </c:pt>
                <c:pt idx="6">
                  <c:v>12.460927152317881</c:v>
                </c:pt>
                <c:pt idx="7">
                  <c:v>12.298039215686273</c:v>
                </c:pt>
                <c:pt idx="8">
                  <c:v>12.218181818181817</c:v>
                </c:pt>
                <c:pt idx="9">
                  <c:v>12.061538461538461</c:v>
                </c:pt>
                <c:pt idx="10">
                  <c:v>11.984713375796177</c:v>
                </c:pt>
                <c:pt idx="11">
                  <c:v>11.90886075949367</c:v>
                </c:pt>
                <c:pt idx="12">
                  <c:v>11.76</c:v>
                </c:pt>
                <c:pt idx="13">
                  <c:v>11.68695652173913</c:v>
                </c:pt>
                <c:pt idx="14">
                  <c:v>11.68695652173913</c:v>
                </c:pt>
                <c:pt idx="15">
                  <c:v>11.614814814814814</c:v>
                </c:pt>
                <c:pt idx="16">
                  <c:v>11.543558282208588</c:v>
                </c:pt>
                <c:pt idx="17">
                  <c:v>11.543558282208588</c:v>
                </c:pt>
                <c:pt idx="18">
                  <c:v>11.543558282208588</c:v>
                </c:pt>
                <c:pt idx="19">
                  <c:v>11.543558282208588</c:v>
                </c:pt>
                <c:pt idx="20">
                  <c:v>11.543558282208588</c:v>
                </c:pt>
                <c:pt idx="21">
                  <c:v>11.543558282208588</c:v>
                </c:pt>
                <c:pt idx="22">
                  <c:v>11.543558282208588</c:v>
                </c:pt>
                <c:pt idx="23">
                  <c:v>11.543558282208588</c:v>
                </c:pt>
                <c:pt idx="24">
                  <c:v>11.543558282208588</c:v>
                </c:pt>
              </c:numCache>
            </c:numRef>
          </c:val>
        </c:ser>
        <c:ser>
          <c:idx val="11"/>
          <c:order val="11"/>
          <c:tx>
            <c:strRef>
              <c:f>'Fuel - BIG MAP'!$AH$5</c:f>
              <c:strCache>
                <c:ptCount val="1"/>
                <c:pt idx="0">
                  <c:v>140</c:v>
                </c:pt>
              </c:strCache>
            </c:strRef>
          </c:tx>
          <c:spPr>
            <a:solidFill>
              <a:srgbClr val="00FF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MAP'!$AH$6:$AH$30</c:f>
              <c:numCache>
                <c:formatCode>0.00</c:formatCode>
                <c:ptCount val="25"/>
                <c:pt idx="0">
                  <c:v>13.066666666666666</c:v>
                </c:pt>
                <c:pt idx="1">
                  <c:v>12.887671232876711</c:v>
                </c:pt>
                <c:pt idx="2">
                  <c:v>12.628187919463087</c:v>
                </c:pt>
                <c:pt idx="3">
                  <c:v>12.378947368421052</c:v>
                </c:pt>
                <c:pt idx="4">
                  <c:v>12.218181818181817</c:v>
                </c:pt>
                <c:pt idx="5">
                  <c:v>12.061538461538461</c:v>
                </c:pt>
                <c:pt idx="6">
                  <c:v>11.90886075949367</c:v>
                </c:pt>
                <c:pt idx="7">
                  <c:v>11.76</c:v>
                </c:pt>
                <c:pt idx="8">
                  <c:v>11.614814814814814</c:v>
                </c:pt>
                <c:pt idx="9">
                  <c:v>11.543558282208588</c:v>
                </c:pt>
                <c:pt idx="10">
                  <c:v>11.473170731707317</c:v>
                </c:pt>
                <c:pt idx="11">
                  <c:v>11.403636363636362</c:v>
                </c:pt>
                <c:pt idx="12">
                  <c:v>11.334939759036144</c:v>
                </c:pt>
                <c:pt idx="13">
                  <c:v>11.334939759036144</c:v>
                </c:pt>
                <c:pt idx="14">
                  <c:v>11.334939759036144</c:v>
                </c:pt>
                <c:pt idx="15">
                  <c:v>11.334939759036144</c:v>
                </c:pt>
                <c:pt idx="16">
                  <c:v>11.334939759036144</c:v>
                </c:pt>
                <c:pt idx="17">
                  <c:v>11.334939759036144</c:v>
                </c:pt>
                <c:pt idx="18">
                  <c:v>11.334939759036144</c:v>
                </c:pt>
                <c:pt idx="19">
                  <c:v>11.403636363636362</c:v>
                </c:pt>
                <c:pt idx="20">
                  <c:v>11.403636363636362</c:v>
                </c:pt>
                <c:pt idx="21">
                  <c:v>11.403636363636362</c:v>
                </c:pt>
                <c:pt idx="22">
                  <c:v>11.403636363636362</c:v>
                </c:pt>
                <c:pt idx="23">
                  <c:v>11.403636363636362</c:v>
                </c:pt>
                <c:pt idx="24">
                  <c:v>11.403636363636362</c:v>
                </c:pt>
              </c:numCache>
            </c:numRef>
          </c:val>
        </c:ser>
        <c:ser>
          <c:idx val="12"/>
          <c:order val="12"/>
          <c:tx>
            <c:strRef>
              <c:f>'Fuel - BIG MAP'!$AI$5</c:f>
              <c:strCache>
                <c:ptCount val="1"/>
                <c:pt idx="0">
                  <c:v>150</c:v>
                </c:pt>
              </c:strCache>
            </c:strRef>
          </c:tx>
          <c:spPr>
            <a:solidFill>
              <a:srgbClr val="80008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MAP'!$AI$6:$AI$30</c:f>
              <c:numCache>
                <c:formatCode>0.00</c:formatCode>
                <c:ptCount val="25"/>
                <c:pt idx="0">
                  <c:v>12.799999999999999</c:v>
                </c:pt>
                <c:pt idx="1">
                  <c:v>12.628187919463087</c:v>
                </c:pt>
                <c:pt idx="2">
                  <c:v>12.378947368421052</c:v>
                </c:pt>
                <c:pt idx="3">
                  <c:v>11.984713375796177</c:v>
                </c:pt>
                <c:pt idx="4">
                  <c:v>11.833962264150943</c:v>
                </c:pt>
                <c:pt idx="5">
                  <c:v>11.68695652173913</c:v>
                </c:pt>
                <c:pt idx="6">
                  <c:v>11.543558282208588</c:v>
                </c:pt>
                <c:pt idx="7">
                  <c:v>11.334939759036144</c:v>
                </c:pt>
                <c:pt idx="8">
                  <c:v>11.267065868263472</c:v>
                </c:pt>
                <c:pt idx="9">
                  <c:v>11.2</c:v>
                </c:pt>
                <c:pt idx="10">
                  <c:v>11.2</c:v>
                </c:pt>
                <c:pt idx="11">
                  <c:v>11.2</c:v>
                </c:pt>
                <c:pt idx="12">
                  <c:v>11.2</c:v>
                </c:pt>
                <c:pt idx="13">
                  <c:v>11.2</c:v>
                </c:pt>
                <c:pt idx="14">
                  <c:v>11.2</c:v>
                </c:pt>
                <c:pt idx="15">
                  <c:v>11.2</c:v>
                </c:pt>
                <c:pt idx="16">
                  <c:v>11.2</c:v>
                </c:pt>
                <c:pt idx="17">
                  <c:v>11.2</c:v>
                </c:pt>
                <c:pt idx="18">
                  <c:v>11.2</c:v>
                </c:pt>
                <c:pt idx="19">
                  <c:v>11.2</c:v>
                </c:pt>
                <c:pt idx="20">
                  <c:v>11.267065868263472</c:v>
                </c:pt>
                <c:pt idx="21">
                  <c:v>11.267065868263472</c:v>
                </c:pt>
                <c:pt idx="22">
                  <c:v>11.267065868263472</c:v>
                </c:pt>
                <c:pt idx="23">
                  <c:v>11.267065868263472</c:v>
                </c:pt>
                <c:pt idx="24">
                  <c:v>11.334939759036144</c:v>
                </c:pt>
              </c:numCache>
            </c:numRef>
          </c:val>
        </c:ser>
        <c:ser>
          <c:idx val="13"/>
          <c:order val="13"/>
          <c:tx>
            <c:strRef>
              <c:f>'Fuel - BIG MAP'!$AJ$5</c:f>
              <c:strCache>
                <c:ptCount val="1"/>
                <c:pt idx="0">
                  <c:v>160</c:v>
                </c:pt>
              </c:strCache>
            </c:strRef>
          </c:tx>
          <c:spPr>
            <a:solidFill>
              <a:srgbClr val="80000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MAP'!$AJ$6:$AJ$30</c:f>
              <c:numCache>
                <c:formatCode>0.00</c:formatCode>
                <c:ptCount val="25"/>
                <c:pt idx="0">
                  <c:v>12.543999999999999</c:v>
                </c:pt>
                <c:pt idx="1">
                  <c:v>12.378947368421052</c:v>
                </c:pt>
                <c:pt idx="2">
                  <c:v>12.061538461538461</c:v>
                </c:pt>
                <c:pt idx="3">
                  <c:v>11.76</c:v>
                </c:pt>
                <c:pt idx="4">
                  <c:v>11.543558282208588</c:v>
                </c:pt>
                <c:pt idx="5">
                  <c:v>11.403636363636362</c:v>
                </c:pt>
                <c:pt idx="6">
                  <c:v>11.2</c:v>
                </c:pt>
                <c:pt idx="7">
                  <c:v>11.133727810650887</c:v>
                </c:pt>
                <c:pt idx="8">
                  <c:v>11.003508771929823</c:v>
                </c:pt>
                <c:pt idx="9">
                  <c:v>11.003508771929823</c:v>
                </c:pt>
                <c:pt idx="10">
                  <c:v>10.939534883720929</c:v>
                </c:pt>
                <c:pt idx="11">
                  <c:v>10.876300578034682</c:v>
                </c:pt>
                <c:pt idx="12">
                  <c:v>10.876300578034682</c:v>
                </c:pt>
                <c:pt idx="13">
                  <c:v>10.876300578034682</c:v>
                </c:pt>
                <c:pt idx="14">
                  <c:v>10.876300578034682</c:v>
                </c:pt>
                <c:pt idx="15">
                  <c:v>10.876300578034682</c:v>
                </c:pt>
                <c:pt idx="16">
                  <c:v>10.939534883720929</c:v>
                </c:pt>
                <c:pt idx="17">
                  <c:v>10.939534883720929</c:v>
                </c:pt>
                <c:pt idx="18">
                  <c:v>11.003508771929823</c:v>
                </c:pt>
                <c:pt idx="19">
                  <c:v>11.068235294117647</c:v>
                </c:pt>
                <c:pt idx="20">
                  <c:v>11.133727810650887</c:v>
                </c:pt>
                <c:pt idx="21">
                  <c:v>11.2</c:v>
                </c:pt>
                <c:pt idx="22">
                  <c:v>11.2</c:v>
                </c:pt>
                <c:pt idx="23">
                  <c:v>11.2</c:v>
                </c:pt>
                <c:pt idx="24">
                  <c:v>11.2</c:v>
                </c:pt>
              </c:numCache>
            </c:numRef>
          </c:val>
        </c:ser>
        <c:ser>
          <c:idx val="14"/>
          <c:order val="14"/>
          <c:tx>
            <c:strRef>
              <c:f>'Fuel - BIG MAP'!$AK$5</c:f>
              <c:strCache>
                <c:ptCount val="1"/>
                <c:pt idx="0">
                  <c:v>170</c:v>
                </c:pt>
              </c:strCache>
            </c:strRef>
          </c:tx>
          <c:spPr>
            <a:solidFill>
              <a:srgbClr val="008080"/>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MAP'!$AK$6:$AK$30</c:f>
              <c:numCache>
                <c:formatCode>0.00</c:formatCode>
                <c:ptCount val="25"/>
                <c:pt idx="0">
                  <c:v>12.378947368421052</c:v>
                </c:pt>
                <c:pt idx="1">
                  <c:v>12.218181818181817</c:v>
                </c:pt>
                <c:pt idx="2">
                  <c:v>11.90886075949367</c:v>
                </c:pt>
                <c:pt idx="3">
                  <c:v>11.614814814814814</c:v>
                </c:pt>
                <c:pt idx="4">
                  <c:v>11.403636363636362</c:v>
                </c:pt>
                <c:pt idx="5">
                  <c:v>11.2</c:v>
                </c:pt>
                <c:pt idx="6">
                  <c:v>11.068235294117647</c:v>
                </c:pt>
                <c:pt idx="7">
                  <c:v>10.939534883720929</c:v>
                </c:pt>
                <c:pt idx="8">
                  <c:v>10.813793103448276</c:v>
                </c:pt>
                <c:pt idx="9">
                  <c:v>10.876300578034682</c:v>
                </c:pt>
                <c:pt idx="10">
                  <c:v>10.813793103448276</c:v>
                </c:pt>
                <c:pt idx="11">
                  <c:v>10.751999999999999</c:v>
                </c:pt>
                <c:pt idx="12">
                  <c:v>10.751999999999999</c:v>
                </c:pt>
                <c:pt idx="13">
                  <c:v>10.751999999999999</c:v>
                </c:pt>
                <c:pt idx="14">
                  <c:v>10.751999999999999</c:v>
                </c:pt>
                <c:pt idx="15">
                  <c:v>10.751999999999999</c:v>
                </c:pt>
                <c:pt idx="16">
                  <c:v>10.813793103448276</c:v>
                </c:pt>
                <c:pt idx="17">
                  <c:v>10.876300578034682</c:v>
                </c:pt>
                <c:pt idx="18">
                  <c:v>10.876300578034682</c:v>
                </c:pt>
                <c:pt idx="19">
                  <c:v>10.939534883720929</c:v>
                </c:pt>
                <c:pt idx="20">
                  <c:v>11.003508771929823</c:v>
                </c:pt>
                <c:pt idx="21">
                  <c:v>11.068235294117647</c:v>
                </c:pt>
                <c:pt idx="22">
                  <c:v>11.068235294117647</c:v>
                </c:pt>
                <c:pt idx="23">
                  <c:v>11.068235294117647</c:v>
                </c:pt>
                <c:pt idx="24">
                  <c:v>11.133727810650887</c:v>
                </c:pt>
              </c:numCache>
            </c:numRef>
          </c:val>
        </c:ser>
        <c:ser>
          <c:idx val="15"/>
          <c:order val="15"/>
          <c:tx>
            <c:strRef>
              <c:f>'Fuel - BIG MAP'!$AL$5</c:f>
              <c:strCache>
                <c:ptCount val="1"/>
                <c:pt idx="0">
                  <c:v>180</c:v>
                </c:pt>
              </c:strCache>
            </c:strRef>
          </c:tx>
          <c:spPr>
            <a:solidFill>
              <a:srgbClr val="0000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MAP'!$AL$6:$AL$30</c:f>
              <c:numCache>
                <c:formatCode>0.00</c:formatCode>
                <c:ptCount val="25"/>
                <c:pt idx="0">
                  <c:v>12.298039215686273</c:v>
                </c:pt>
                <c:pt idx="1">
                  <c:v>12.139354838709677</c:v>
                </c:pt>
                <c:pt idx="2">
                  <c:v>11.833962264150943</c:v>
                </c:pt>
                <c:pt idx="3">
                  <c:v>11.473170731707317</c:v>
                </c:pt>
                <c:pt idx="4">
                  <c:v>11.267065868263472</c:v>
                </c:pt>
                <c:pt idx="5">
                  <c:v>11.068235294117647</c:v>
                </c:pt>
                <c:pt idx="6">
                  <c:v>10.876300578034682</c:v>
                </c:pt>
                <c:pt idx="7">
                  <c:v>10.751999999999999</c:v>
                </c:pt>
                <c:pt idx="8">
                  <c:v>10.69090909090909</c:v>
                </c:pt>
                <c:pt idx="9">
                  <c:v>10.751999999999999</c:v>
                </c:pt>
                <c:pt idx="10">
                  <c:v>10.69090909090909</c:v>
                </c:pt>
                <c:pt idx="11">
                  <c:v>10.69090909090909</c:v>
                </c:pt>
                <c:pt idx="12">
                  <c:v>10.69090909090909</c:v>
                </c:pt>
                <c:pt idx="13">
                  <c:v>10.69090909090909</c:v>
                </c:pt>
                <c:pt idx="14">
                  <c:v>10.69090909090909</c:v>
                </c:pt>
                <c:pt idx="15">
                  <c:v>10.69090909090909</c:v>
                </c:pt>
                <c:pt idx="16">
                  <c:v>10.69090909090909</c:v>
                </c:pt>
                <c:pt idx="17">
                  <c:v>10.751999999999999</c:v>
                </c:pt>
                <c:pt idx="18">
                  <c:v>10.751999999999999</c:v>
                </c:pt>
                <c:pt idx="19">
                  <c:v>10.813793103448276</c:v>
                </c:pt>
                <c:pt idx="20">
                  <c:v>10.939534883720929</c:v>
                </c:pt>
                <c:pt idx="21">
                  <c:v>10.876300578034682</c:v>
                </c:pt>
                <c:pt idx="22">
                  <c:v>10.939534883720929</c:v>
                </c:pt>
                <c:pt idx="23">
                  <c:v>10.939534883720929</c:v>
                </c:pt>
                <c:pt idx="24">
                  <c:v>11.003508771929823</c:v>
                </c:pt>
              </c:numCache>
            </c:numRef>
          </c:val>
        </c:ser>
        <c:ser>
          <c:idx val="16"/>
          <c:order val="16"/>
          <c:tx>
            <c:strRef>
              <c:f>'Fuel - BIG MAP'!$AM$5</c:f>
              <c:strCache>
                <c:ptCount val="1"/>
                <c:pt idx="0">
                  <c:v>190</c:v>
                </c:pt>
              </c:strCache>
            </c:strRef>
          </c:tx>
          <c:spPr>
            <a:solidFill>
              <a:srgbClr val="00CC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MAP'!$AM$6:$AM$30</c:f>
              <c:numCache>
                <c:formatCode>0.00</c:formatCode>
                <c:ptCount val="25"/>
                <c:pt idx="0">
                  <c:v>12.218181818181817</c:v>
                </c:pt>
                <c:pt idx="1">
                  <c:v>12.139354838709677</c:v>
                </c:pt>
                <c:pt idx="2">
                  <c:v>11.76</c:v>
                </c:pt>
                <c:pt idx="3">
                  <c:v>11.473170731707317</c:v>
                </c:pt>
                <c:pt idx="4">
                  <c:v>11.2</c:v>
                </c:pt>
                <c:pt idx="5">
                  <c:v>11.003508771929823</c:v>
                </c:pt>
                <c:pt idx="6">
                  <c:v>10.876300578034682</c:v>
                </c:pt>
                <c:pt idx="7">
                  <c:v>10.751999999999999</c:v>
                </c:pt>
                <c:pt idx="8">
                  <c:v>10.751999999999999</c:v>
                </c:pt>
                <c:pt idx="9">
                  <c:v>10.69090909090909</c:v>
                </c:pt>
                <c:pt idx="10">
                  <c:v>10.69090909090909</c:v>
                </c:pt>
                <c:pt idx="11">
                  <c:v>10.69090909090909</c:v>
                </c:pt>
                <c:pt idx="12">
                  <c:v>10.69090909090909</c:v>
                </c:pt>
                <c:pt idx="13">
                  <c:v>10.69090909090909</c:v>
                </c:pt>
                <c:pt idx="14">
                  <c:v>10.69090909090909</c:v>
                </c:pt>
                <c:pt idx="15">
                  <c:v>10.69090909090909</c:v>
                </c:pt>
                <c:pt idx="16">
                  <c:v>10.69090909090909</c:v>
                </c:pt>
                <c:pt idx="17">
                  <c:v>10.69090909090909</c:v>
                </c:pt>
                <c:pt idx="18">
                  <c:v>10.69090909090909</c:v>
                </c:pt>
                <c:pt idx="19">
                  <c:v>10.69090909090909</c:v>
                </c:pt>
                <c:pt idx="20">
                  <c:v>10.813793103448276</c:v>
                </c:pt>
                <c:pt idx="21">
                  <c:v>10.813793103448276</c:v>
                </c:pt>
                <c:pt idx="22">
                  <c:v>10.876300578034682</c:v>
                </c:pt>
                <c:pt idx="23">
                  <c:v>10.876300578034682</c:v>
                </c:pt>
                <c:pt idx="24">
                  <c:v>10.876300578034682</c:v>
                </c:pt>
              </c:numCache>
            </c:numRef>
          </c:val>
        </c:ser>
        <c:ser>
          <c:idx val="17"/>
          <c:order val="17"/>
          <c:tx>
            <c:strRef>
              <c:f>'Fuel - BIG MAP'!$AN$5</c:f>
              <c:strCache>
                <c:ptCount val="1"/>
                <c:pt idx="0">
                  <c:v>200</c:v>
                </c:pt>
              </c:strCache>
            </c:strRef>
          </c:tx>
          <c:spPr>
            <a:solidFill>
              <a:srgbClr val="CCFFFF"/>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MAP'!$AN$6:$AN$30</c:f>
              <c:numCache>
                <c:formatCode>0.00</c:formatCode>
                <c:ptCount val="25"/>
                <c:pt idx="0">
                  <c:v>12.218181818181817</c:v>
                </c:pt>
                <c:pt idx="1">
                  <c:v>12.061538461538461</c:v>
                </c:pt>
                <c:pt idx="2">
                  <c:v>11.76</c:v>
                </c:pt>
                <c:pt idx="3">
                  <c:v>11.403636363636362</c:v>
                </c:pt>
                <c:pt idx="4">
                  <c:v>11.2</c:v>
                </c:pt>
                <c:pt idx="5">
                  <c:v>10.939534883720929</c:v>
                </c:pt>
                <c:pt idx="6">
                  <c:v>10.813793103448276</c:v>
                </c:pt>
                <c:pt idx="7">
                  <c:v>10.751999999999999</c:v>
                </c:pt>
                <c:pt idx="8">
                  <c:v>10.630508474576271</c:v>
                </c:pt>
                <c:pt idx="9">
                  <c:v>10.69090909090909</c:v>
                </c:pt>
                <c:pt idx="10">
                  <c:v>10.570786516853932</c:v>
                </c:pt>
                <c:pt idx="11">
                  <c:v>10.511731843575419</c:v>
                </c:pt>
                <c:pt idx="12">
                  <c:v>10.511731843575419</c:v>
                </c:pt>
                <c:pt idx="13">
                  <c:v>10.453333333333333</c:v>
                </c:pt>
                <c:pt idx="14">
                  <c:v>10.453333333333333</c:v>
                </c:pt>
                <c:pt idx="15">
                  <c:v>10.511731843575419</c:v>
                </c:pt>
                <c:pt idx="16">
                  <c:v>10.511731843575419</c:v>
                </c:pt>
                <c:pt idx="17">
                  <c:v>10.630508474576271</c:v>
                </c:pt>
                <c:pt idx="18">
                  <c:v>10.630508474576271</c:v>
                </c:pt>
                <c:pt idx="19">
                  <c:v>10.570786516853932</c:v>
                </c:pt>
                <c:pt idx="20">
                  <c:v>10.630508474576271</c:v>
                </c:pt>
                <c:pt idx="21">
                  <c:v>10.69090909090909</c:v>
                </c:pt>
                <c:pt idx="22">
                  <c:v>10.813793103448276</c:v>
                </c:pt>
                <c:pt idx="23">
                  <c:v>10.813793103448276</c:v>
                </c:pt>
                <c:pt idx="24">
                  <c:v>10.813793103448276</c:v>
                </c:pt>
              </c:numCache>
            </c:numRef>
          </c:val>
        </c:ser>
        <c:ser>
          <c:idx val="18"/>
          <c:order val="18"/>
          <c:tx>
            <c:strRef>
              <c:f>'Fuel - BIG MAP'!$AO$5</c:f>
              <c:strCache>
                <c:ptCount val="1"/>
                <c:pt idx="0">
                  <c:v>210</c:v>
                </c:pt>
              </c:strCache>
            </c:strRef>
          </c:tx>
          <c:spPr>
            <a:solidFill>
              <a:srgbClr val="CCFFCC"/>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MAP'!$AO$6:$AO$30</c:f>
              <c:numCache>
                <c:formatCode>0.00</c:formatCode>
                <c:ptCount val="25"/>
                <c:pt idx="0">
                  <c:v>12.139354838709677</c:v>
                </c:pt>
                <c:pt idx="1">
                  <c:v>12.061538461538461</c:v>
                </c:pt>
                <c:pt idx="2">
                  <c:v>11.68695652173913</c:v>
                </c:pt>
                <c:pt idx="3">
                  <c:v>11.403636363636362</c:v>
                </c:pt>
                <c:pt idx="4">
                  <c:v>11.133727810650887</c:v>
                </c:pt>
                <c:pt idx="5">
                  <c:v>10.939534883720929</c:v>
                </c:pt>
                <c:pt idx="6">
                  <c:v>10.751999999999999</c:v>
                </c:pt>
                <c:pt idx="7">
                  <c:v>10.570786516853932</c:v>
                </c:pt>
                <c:pt idx="8">
                  <c:v>10.511731843575419</c:v>
                </c:pt>
                <c:pt idx="9">
                  <c:v>10.570786516853932</c:v>
                </c:pt>
                <c:pt idx="10">
                  <c:v>10.511731843575419</c:v>
                </c:pt>
                <c:pt idx="11">
                  <c:v>10.453333333333333</c:v>
                </c:pt>
                <c:pt idx="12">
                  <c:v>10.453333333333333</c:v>
                </c:pt>
                <c:pt idx="13">
                  <c:v>10.395580110497237</c:v>
                </c:pt>
                <c:pt idx="14">
                  <c:v>10.395580110497237</c:v>
                </c:pt>
                <c:pt idx="15">
                  <c:v>10.453333333333333</c:v>
                </c:pt>
                <c:pt idx="16">
                  <c:v>10.511731843575419</c:v>
                </c:pt>
                <c:pt idx="17">
                  <c:v>10.69090909090909</c:v>
                </c:pt>
                <c:pt idx="18">
                  <c:v>10.69090909090909</c:v>
                </c:pt>
                <c:pt idx="19">
                  <c:v>10.630508474576271</c:v>
                </c:pt>
                <c:pt idx="20">
                  <c:v>10.751999999999999</c:v>
                </c:pt>
                <c:pt idx="21">
                  <c:v>10.751999999999999</c:v>
                </c:pt>
                <c:pt idx="22">
                  <c:v>10.751999999999999</c:v>
                </c:pt>
                <c:pt idx="23">
                  <c:v>10.751999999999999</c:v>
                </c:pt>
                <c:pt idx="24">
                  <c:v>10.751999999999999</c:v>
                </c:pt>
              </c:numCache>
            </c:numRef>
          </c:val>
        </c:ser>
        <c:ser>
          <c:idx val="19"/>
          <c:order val="19"/>
          <c:tx>
            <c:strRef>
              <c:f>'Fuel - BIG MAP'!$AP$5</c:f>
              <c:strCache>
                <c:ptCount val="1"/>
                <c:pt idx="0">
                  <c:v>220</c:v>
                </c:pt>
              </c:strCache>
            </c:strRef>
          </c:tx>
          <c:spPr>
            <a:solidFill>
              <a:srgbClr val="FFFF99"/>
            </a:solidFill>
            <a:ln w="12700">
              <a:solidFill>
                <a:srgbClr val="000000"/>
              </a:solidFill>
              <a:prstDash val="solid"/>
            </a:ln>
            <a:sp3d prstMaterial="flat"/>
          </c:spPr>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MAP'!$AP$6:$AP$30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10.570786516853932</c:v>
                </c:pt>
                <c:pt idx="8">
                  <c:v>10.511731843575419</c:v>
                </c:pt>
                <c:pt idx="9">
                  <c:v>10.453333333333333</c:v>
                </c:pt>
                <c:pt idx="10">
                  <c:v>10.453333333333333</c:v>
                </c:pt>
                <c:pt idx="11">
                  <c:v>10.453333333333333</c:v>
                </c:pt>
                <c:pt idx="12">
                  <c:v>10.395580110497237</c:v>
                </c:pt>
                <c:pt idx="13">
                  <c:v>10.453333333333333</c:v>
                </c:pt>
                <c:pt idx="14">
                  <c:v>10.453333333333333</c:v>
                </c:pt>
                <c:pt idx="15">
                  <c:v>10.453333333333333</c:v>
                </c:pt>
                <c:pt idx="16">
                  <c:v>10.570786516853932</c:v>
                </c:pt>
                <c:pt idx="17">
                  <c:v>10.570786516853932</c:v>
                </c:pt>
                <c:pt idx="18">
                  <c:v>10.570786516853932</c:v>
                </c:pt>
                <c:pt idx="19">
                  <c:v>10.630508474576271</c:v>
                </c:pt>
                <c:pt idx="20">
                  <c:v>10.69090909090909</c:v>
                </c:pt>
                <c:pt idx="21">
                  <c:v>10.751999999999999</c:v>
                </c:pt>
                <c:pt idx="22">
                  <c:v>10.751999999999999</c:v>
                </c:pt>
                <c:pt idx="23">
                  <c:v>10.751999999999999</c:v>
                </c:pt>
                <c:pt idx="24">
                  <c:v>10.751999999999999</c:v>
                </c:pt>
              </c:numCache>
            </c:numRef>
          </c:val>
        </c:ser>
        <c:ser>
          <c:idx val="20"/>
          <c:order val="20"/>
          <c:tx>
            <c:strRef>
              <c:f>'Fuel - BIG MAP'!$AQ$5</c:f>
              <c:strCache>
                <c:ptCount val="1"/>
                <c:pt idx="0">
                  <c:v>230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MAP'!$AQ$6:$AQ$30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10.395580110497237</c:v>
                </c:pt>
                <c:pt idx="12">
                  <c:v>10.395580110497237</c:v>
                </c:pt>
                <c:pt idx="13">
                  <c:v>10.338461538461537</c:v>
                </c:pt>
                <c:pt idx="14">
                  <c:v>10.338461538461537</c:v>
                </c:pt>
                <c:pt idx="15">
                  <c:v>10.395580110497237</c:v>
                </c:pt>
                <c:pt idx="16">
                  <c:v>10.453333333333333</c:v>
                </c:pt>
                <c:pt idx="17">
                  <c:v>10.453333333333333</c:v>
                </c:pt>
                <c:pt idx="18">
                  <c:v>10.511731843575419</c:v>
                </c:pt>
                <c:pt idx="19">
                  <c:v>10.570786516853932</c:v>
                </c:pt>
                <c:pt idx="20">
                  <c:v>10.69090909090909</c:v>
                </c:pt>
                <c:pt idx="21">
                  <c:v>10.751999999999999</c:v>
                </c:pt>
                <c:pt idx="22">
                  <c:v>10.813793103448276</c:v>
                </c:pt>
                <c:pt idx="23">
                  <c:v>10.813793103448276</c:v>
                </c:pt>
                <c:pt idx="24">
                  <c:v>10.876300578034682</c:v>
                </c:pt>
              </c:numCache>
            </c:numRef>
          </c:val>
        </c:ser>
        <c:ser>
          <c:idx val="22"/>
          <c:order val="21"/>
          <c:tx>
            <c:strRef>
              <c:f>'Fuel - BIG MAP'!$AR$5</c:f>
              <c:strCache>
                <c:ptCount val="1"/>
                <c:pt idx="0">
                  <c:v>240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MAP'!$AR$6:$AR$30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10.338461538461537</c:v>
                </c:pt>
                <c:pt idx="12">
                  <c:v>10.281967213114754</c:v>
                </c:pt>
                <c:pt idx="13">
                  <c:v>10.226086956521739</c:v>
                </c:pt>
                <c:pt idx="14">
                  <c:v>10.226086956521739</c:v>
                </c:pt>
                <c:pt idx="15">
                  <c:v>10.281967213114754</c:v>
                </c:pt>
                <c:pt idx="16">
                  <c:v>10.338461538461537</c:v>
                </c:pt>
                <c:pt idx="17">
                  <c:v>10.453333333333333</c:v>
                </c:pt>
                <c:pt idx="18">
                  <c:v>10.395580110497237</c:v>
                </c:pt>
                <c:pt idx="19">
                  <c:v>10.453333333333333</c:v>
                </c:pt>
                <c:pt idx="20">
                  <c:v>10.511731843575419</c:v>
                </c:pt>
                <c:pt idx="21">
                  <c:v>10.630508474576271</c:v>
                </c:pt>
                <c:pt idx="22">
                  <c:v>10.751999999999999</c:v>
                </c:pt>
                <c:pt idx="23">
                  <c:v>10.751999999999999</c:v>
                </c:pt>
                <c:pt idx="24">
                  <c:v>10.751999999999999</c:v>
                </c:pt>
              </c:numCache>
            </c:numRef>
          </c:val>
        </c:ser>
        <c:ser>
          <c:idx val="23"/>
          <c:order val="22"/>
          <c:tx>
            <c:strRef>
              <c:f>'Fuel - BIG MAP'!$AS$5</c:f>
              <c:strCache>
                <c:ptCount val="1"/>
                <c:pt idx="0">
                  <c:v>250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MAP'!$AS$6:$AS$30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10.395580110497237</c:v>
                </c:pt>
                <c:pt idx="18">
                  <c:v>10.395580110497237</c:v>
                </c:pt>
                <c:pt idx="19">
                  <c:v>10.453333333333333</c:v>
                </c:pt>
                <c:pt idx="20">
                  <c:v>10.511731843575419</c:v>
                </c:pt>
                <c:pt idx="21">
                  <c:v>10.630508474576271</c:v>
                </c:pt>
                <c:pt idx="22">
                  <c:v>10.751999999999999</c:v>
                </c:pt>
                <c:pt idx="23">
                  <c:v>10.751999999999999</c:v>
                </c:pt>
                <c:pt idx="24">
                  <c:v>10.751999999999999</c:v>
                </c:pt>
              </c:numCache>
            </c:numRef>
          </c:val>
        </c:ser>
        <c:ser>
          <c:idx val="24"/>
          <c:order val="23"/>
          <c:tx>
            <c:strRef>
              <c:f>'Fuel - BIG MAP'!$AT$5</c:f>
              <c:strCache>
                <c:ptCount val="1"/>
                <c:pt idx="0">
                  <c:v>260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MAP'!$AT$6:$AT$30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10.395580110497237</c:v>
                </c:pt>
                <c:pt idx="19">
                  <c:v>10.453333333333333</c:v>
                </c:pt>
                <c:pt idx="20">
                  <c:v>10.511731843575419</c:v>
                </c:pt>
                <c:pt idx="21">
                  <c:v>10.630508474576271</c:v>
                </c:pt>
                <c:pt idx="22">
                  <c:v>10.751999999999999</c:v>
                </c:pt>
                <c:pt idx="23">
                  <c:v>10.751999999999999</c:v>
                </c:pt>
                <c:pt idx="24">
                  <c:v>10.751999999999999</c:v>
                </c:pt>
              </c:numCache>
            </c:numRef>
          </c:val>
        </c:ser>
        <c:ser>
          <c:idx val="21"/>
          <c:order val="24"/>
          <c:tx>
            <c:strRef>
              <c:f>'Fuel - BIG MAP'!$AU$5</c:f>
              <c:strCache>
                <c:ptCount val="1"/>
                <c:pt idx="0">
                  <c:v>270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MAP'!$AU$6:$AU$30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10.395580110497237</c:v>
                </c:pt>
                <c:pt idx="19">
                  <c:v>10.453333333333333</c:v>
                </c:pt>
                <c:pt idx="20">
                  <c:v>10.511731843575419</c:v>
                </c:pt>
                <c:pt idx="21">
                  <c:v>10.630508474576271</c:v>
                </c:pt>
                <c:pt idx="22">
                  <c:v>10.751999999999999</c:v>
                </c:pt>
                <c:pt idx="23">
                  <c:v>10.751999999999999</c:v>
                </c:pt>
                <c:pt idx="24">
                  <c:v>10.751999999999999</c:v>
                </c:pt>
              </c:numCache>
            </c:numRef>
          </c:val>
        </c:ser>
        <c:ser>
          <c:idx val="25"/>
          <c:order val="25"/>
          <c:tx>
            <c:strRef>
              <c:f>'Fuel - BIG MAP'!$AV$5</c:f>
              <c:strCache>
                <c:ptCount val="1"/>
                <c:pt idx="0">
                  <c:v>280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MAP'!$AV$6:$AV$30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ser>
          <c:idx val="26"/>
          <c:order val="26"/>
          <c:tx>
            <c:strRef>
              <c:f>'Fuel - BIG MAP'!$AW$5</c:f>
              <c:strCache>
                <c:ptCount val="1"/>
                <c:pt idx="0">
                  <c:v>290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MAP'!$AW$6:$AW$30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ser>
          <c:idx val="27"/>
          <c:order val="27"/>
          <c:tx>
            <c:strRef>
              <c:f>'Fuel - BIG MAP'!$AX$5</c:f>
              <c:strCache>
                <c:ptCount val="1"/>
                <c:pt idx="0">
                  <c:v>300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MAP'!$AX$6:$AX$30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ser>
          <c:idx val="28"/>
          <c:order val="28"/>
          <c:tx>
            <c:strRef>
              <c:f>'Fuel - BIG MAP'!$AY$5</c:f>
              <c:strCache>
                <c:ptCount val="1"/>
                <c:pt idx="0">
                  <c:v>310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MAP'!$AY$6:$AY$30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10.511731843575419</c:v>
                </c:pt>
                <c:pt idx="8">
                  <c:v>10.453333333333333</c:v>
                </c:pt>
                <c:pt idx="9">
                  <c:v>10.453333333333333</c:v>
                </c:pt>
                <c:pt idx="10">
                  <c:v>10.395580110497237</c:v>
                </c:pt>
                <c:pt idx="11">
                  <c:v>10.281967213114754</c:v>
                </c:pt>
                <c:pt idx="12">
                  <c:v>10.226086956521739</c:v>
                </c:pt>
                <c:pt idx="13">
                  <c:v>10.17081081081081</c:v>
                </c:pt>
                <c:pt idx="14">
                  <c:v>10.17081081081081</c:v>
                </c:pt>
                <c:pt idx="15">
                  <c:v>10.226086956521739</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ser>
          <c:idx val="29"/>
          <c:order val="29"/>
          <c:tx>
            <c:strRef>
              <c:f>'Fuel - BIG MAP'!$AZ$5</c:f>
              <c:strCache>
                <c:ptCount val="1"/>
                <c:pt idx="0">
                  <c:v>320</c:v>
                </c:pt>
              </c:strCache>
            </c:strRef>
          </c:tx>
          <c:cat>
            <c:numRef>
              <c:f>'Fuel - BIG MAP'!$V$6:$V$30</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MAP'!$AZ$6:$AZ$30</c:f>
              <c:numCache>
                <c:formatCode>0.00</c:formatCode>
                <c:ptCount val="25"/>
                <c:pt idx="0">
                  <c:v>12.139354838709677</c:v>
                </c:pt>
                <c:pt idx="1">
                  <c:v>11.984713375796177</c:v>
                </c:pt>
                <c:pt idx="2">
                  <c:v>11.68695652173913</c:v>
                </c:pt>
                <c:pt idx="3">
                  <c:v>11.334939759036144</c:v>
                </c:pt>
                <c:pt idx="4">
                  <c:v>11.133727810650887</c:v>
                </c:pt>
                <c:pt idx="5">
                  <c:v>10.876300578034682</c:v>
                </c:pt>
                <c:pt idx="6">
                  <c:v>10.69090909090909</c:v>
                </c:pt>
                <c:pt idx="7">
                  <c:v>10.570786516853932</c:v>
                </c:pt>
                <c:pt idx="8">
                  <c:v>10.453333333333333</c:v>
                </c:pt>
                <c:pt idx="9">
                  <c:v>10.453333333333333</c:v>
                </c:pt>
                <c:pt idx="10">
                  <c:v>10.395580110497237</c:v>
                </c:pt>
                <c:pt idx="11">
                  <c:v>10.338461538461537</c:v>
                </c:pt>
                <c:pt idx="12">
                  <c:v>10.226086956521739</c:v>
                </c:pt>
                <c:pt idx="13">
                  <c:v>10.17081081081081</c:v>
                </c:pt>
                <c:pt idx="14">
                  <c:v>10.17081081081081</c:v>
                </c:pt>
                <c:pt idx="15">
                  <c:v>10.17081081081081</c:v>
                </c:pt>
                <c:pt idx="16">
                  <c:v>10.338461538461537</c:v>
                </c:pt>
                <c:pt idx="17">
                  <c:v>10.338461538461537</c:v>
                </c:pt>
                <c:pt idx="18">
                  <c:v>10.281967213114754</c:v>
                </c:pt>
                <c:pt idx="19">
                  <c:v>10.338461538461537</c:v>
                </c:pt>
                <c:pt idx="20">
                  <c:v>10.395580110497237</c:v>
                </c:pt>
                <c:pt idx="21">
                  <c:v>10.511731843575419</c:v>
                </c:pt>
                <c:pt idx="22">
                  <c:v>10.630508474576271</c:v>
                </c:pt>
                <c:pt idx="23">
                  <c:v>10.751999999999999</c:v>
                </c:pt>
                <c:pt idx="24">
                  <c:v>10.751999999999999</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87390080"/>
        <c:axId val="87392256"/>
        <c:axId val="87284800"/>
      </c:surface3DChart>
      <c:catAx>
        <c:axId val="87390080"/>
        <c:scaling>
          <c:orientation val="maxMin"/>
        </c:scaling>
        <c:axPos val="b"/>
        <c:title>
          <c:tx>
            <c:rich>
              <a:bodyPr/>
              <a:lstStyle/>
              <a:p>
                <a:pPr>
                  <a:defRPr sz="1200" b="1" i="0" u="none" strike="noStrike" baseline="0">
                    <a:solidFill>
                      <a:srgbClr val="000000"/>
                    </a:solidFill>
                    <a:latin typeface="Arial"/>
                    <a:ea typeface="Arial"/>
                    <a:cs typeface="Arial"/>
                  </a:defRPr>
                </a:pPr>
                <a:r>
                  <a:rPr lang="en-US"/>
                  <a:t>RPM</a:t>
                </a:r>
              </a:p>
            </c:rich>
          </c:tx>
          <c:layout>
            <c:manualLayout>
              <c:xMode val="edge"/>
              <c:yMode val="edge"/>
              <c:x val="0.5107765189174921"/>
              <c:y val="0.95257220676095444"/>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87392256"/>
        <c:crosses val="autoZero"/>
        <c:auto val="1"/>
        <c:lblAlgn val="ctr"/>
        <c:lblOffset val="100"/>
        <c:tickLblSkip val="1"/>
        <c:tickMarkSkip val="1"/>
        <c:noMultiLvlLbl val="1"/>
      </c:catAx>
      <c:valAx>
        <c:axId val="87392256"/>
        <c:scaling>
          <c:orientation val="minMax"/>
          <c:max val="15"/>
          <c:min val="8"/>
        </c:scaling>
        <c:axPos val="r"/>
        <c:majorGridlines>
          <c:spPr>
            <a:ln w="3175">
              <a:solidFill>
                <a:srgbClr val="000000"/>
              </a:solidFill>
              <a:prstDash val="solid"/>
            </a:ln>
          </c:spPr>
        </c:majorGridlines>
        <c:title>
          <c:tx>
            <c:rich>
              <a:bodyPr rot="0" vert="horz"/>
              <a:lstStyle/>
              <a:p>
                <a:pPr algn="ctr">
                  <a:defRPr sz="1200" b="1" i="0" u="none" strike="noStrike" baseline="0">
                    <a:solidFill>
                      <a:srgbClr val="000000"/>
                    </a:solidFill>
                    <a:latin typeface="Arial"/>
                    <a:ea typeface="Arial"/>
                    <a:cs typeface="Arial"/>
                  </a:defRPr>
                </a:pPr>
                <a:r>
                  <a:rPr lang="en-US"/>
                  <a:t>Trim</a:t>
                </a:r>
              </a:p>
            </c:rich>
          </c:tx>
          <c:layout>
            <c:manualLayout>
              <c:xMode val="edge"/>
              <c:yMode val="edge"/>
              <c:x val="0.91784221884876249"/>
              <c:y val="0.44599396542381781"/>
            </c:manualLayout>
          </c:layout>
          <c:spPr>
            <a:noFill/>
            <a:ln w="25400">
              <a:noFill/>
            </a:ln>
          </c:spPr>
        </c:title>
        <c:numFmt formatCode="0.00"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7390080"/>
        <c:crosses val="min"/>
        <c:crossBetween val="midCat"/>
        <c:majorUnit val="0.25"/>
        <c:minorUnit val="0.1"/>
      </c:valAx>
      <c:serAx>
        <c:axId val="87284800"/>
        <c:scaling>
          <c:orientation val="maxMin"/>
        </c:scaling>
        <c:axPos val="b"/>
        <c:title>
          <c:tx>
            <c:rich>
              <a:bodyPr/>
              <a:lstStyle/>
              <a:p>
                <a:pPr>
                  <a:defRPr sz="1200" b="1" i="0" u="none" strike="noStrike" baseline="0">
                    <a:solidFill>
                      <a:srgbClr val="000000"/>
                    </a:solidFill>
                    <a:latin typeface="Arial"/>
                    <a:ea typeface="Arial"/>
                    <a:cs typeface="Arial"/>
                  </a:defRPr>
                </a:pPr>
                <a:r>
                  <a:rPr lang="en-US"/>
                  <a:t>Load</a:t>
                </a:r>
              </a:p>
            </c:rich>
          </c:tx>
          <c:layout>
            <c:manualLayout>
              <c:xMode val="edge"/>
              <c:yMode val="edge"/>
              <c:x val="5.6201034832591118E-2"/>
              <c:y val="0.85901118610688965"/>
            </c:manualLayout>
          </c:layout>
          <c:spPr>
            <a:noFill/>
            <a:ln w="25400">
              <a:noFill/>
            </a:ln>
          </c:spPr>
        </c:title>
        <c:numFmt formatCode="General" sourceLinked="1"/>
        <c:tickLblPos val="low"/>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7392256"/>
        <c:crosses val="autoZero"/>
        <c:tickLblSkip val="13"/>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view3D>
      <c:rotX val="7"/>
      <c:hPercent val="100"/>
      <c:rotY val="356"/>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7.7679975576363025E-2"/>
          <c:y val="7.7067029228461174E-3"/>
          <c:w val="0.81342740811955871"/>
          <c:h val="0.88659265315780433"/>
        </c:manualLayout>
      </c:layout>
      <c:surface3DChart>
        <c:ser>
          <c:idx val="0"/>
          <c:order val="0"/>
          <c:tx>
            <c:strRef>
              <c:f>'Fuel - BIG MAP'!$W$38</c:f>
              <c:strCache>
                <c:ptCount val="1"/>
                <c:pt idx="0">
                  <c:v>10</c:v>
                </c:pt>
              </c:strCache>
            </c:strRef>
          </c:tx>
          <c:spPr>
            <a:solidFill>
              <a:srgbClr val="9999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MAP'!$W$39:$W$63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14.473800000000001</c:v>
                </c:pt>
                <c:pt idx="19">
                  <c:v>14.0418</c:v>
                </c:pt>
                <c:pt idx="20">
                  <c:v>13.8353</c:v>
                </c:pt>
                <c:pt idx="21">
                  <c:v>13.8353</c:v>
                </c:pt>
                <c:pt idx="22">
                  <c:v>13.8353</c:v>
                </c:pt>
                <c:pt idx="23">
                  <c:v>13.8353</c:v>
                </c:pt>
                <c:pt idx="24">
                  <c:v>13.8353</c:v>
                </c:pt>
              </c:numCache>
            </c:numRef>
          </c:val>
        </c:ser>
        <c:ser>
          <c:idx val="1"/>
          <c:order val="1"/>
          <c:tx>
            <c:strRef>
              <c:f>'Fuel - BIG MAP'!$X$38</c:f>
              <c:strCache>
                <c:ptCount val="1"/>
                <c:pt idx="0">
                  <c:v>20</c:v>
                </c:pt>
              </c:strCache>
            </c:strRef>
          </c:tx>
          <c:spPr>
            <a:solidFill>
              <a:srgbClr val="993366"/>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MAP'!$X$39:$X$63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14.3634</c:v>
                </c:pt>
                <c:pt idx="19">
                  <c:v>14.0418</c:v>
                </c:pt>
                <c:pt idx="20">
                  <c:v>13.8353</c:v>
                </c:pt>
                <c:pt idx="21">
                  <c:v>13.8353</c:v>
                </c:pt>
                <c:pt idx="22">
                  <c:v>13.8353</c:v>
                </c:pt>
                <c:pt idx="23">
                  <c:v>13.8353</c:v>
                </c:pt>
                <c:pt idx="24">
                  <c:v>13.8353</c:v>
                </c:pt>
              </c:numCache>
            </c:numRef>
          </c:val>
        </c:ser>
        <c:ser>
          <c:idx val="2"/>
          <c:order val="2"/>
          <c:tx>
            <c:strRef>
              <c:f>'Fuel - BIG MAP'!$Y$38</c:f>
              <c:strCache>
                <c:ptCount val="1"/>
                <c:pt idx="0">
                  <c:v>30</c:v>
                </c:pt>
              </c:strCache>
            </c:strRef>
          </c:tx>
          <c:spPr>
            <a:solidFill>
              <a:srgbClr val="FFFFCC"/>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MAP'!$Y$39:$Y$63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14.586</c:v>
                </c:pt>
                <c:pt idx="17">
                  <c:v>14.586</c:v>
                </c:pt>
                <c:pt idx="18">
                  <c:v>14.3634</c:v>
                </c:pt>
                <c:pt idx="19">
                  <c:v>14.0418</c:v>
                </c:pt>
                <c:pt idx="20">
                  <c:v>13.8353</c:v>
                </c:pt>
                <c:pt idx="21">
                  <c:v>13.8353</c:v>
                </c:pt>
                <c:pt idx="22">
                  <c:v>13.8353</c:v>
                </c:pt>
                <c:pt idx="23">
                  <c:v>13.8353</c:v>
                </c:pt>
                <c:pt idx="24">
                  <c:v>13.8353</c:v>
                </c:pt>
              </c:numCache>
            </c:numRef>
          </c:val>
        </c:ser>
        <c:ser>
          <c:idx val="3"/>
          <c:order val="3"/>
          <c:tx>
            <c:strRef>
              <c:f>'Fuel - BIG MAP'!$Z$38</c:f>
              <c:strCache>
                <c:ptCount val="1"/>
                <c:pt idx="0">
                  <c:v>40</c:v>
                </c:pt>
              </c:strCache>
            </c:strRef>
          </c:tx>
          <c:spPr>
            <a:solidFill>
              <a:srgbClr val="CCFF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MAP'!$Z$39:$Z$63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14.586</c:v>
                </c:pt>
                <c:pt idx="15">
                  <c:v>14.586</c:v>
                </c:pt>
                <c:pt idx="16">
                  <c:v>14.586</c:v>
                </c:pt>
                <c:pt idx="17">
                  <c:v>14.586</c:v>
                </c:pt>
                <c:pt idx="18">
                  <c:v>14.147399999999999</c:v>
                </c:pt>
                <c:pt idx="19">
                  <c:v>13.8353</c:v>
                </c:pt>
                <c:pt idx="20">
                  <c:v>13.6348</c:v>
                </c:pt>
                <c:pt idx="21">
                  <c:v>13.6348</c:v>
                </c:pt>
                <c:pt idx="22">
                  <c:v>13.6348</c:v>
                </c:pt>
                <c:pt idx="23">
                  <c:v>13.6348</c:v>
                </c:pt>
                <c:pt idx="24">
                  <c:v>13.6348</c:v>
                </c:pt>
              </c:numCache>
            </c:numRef>
          </c:val>
        </c:ser>
        <c:ser>
          <c:idx val="4"/>
          <c:order val="4"/>
          <c:tx>
            <c:strRef>
              <c:f>'Fuel - BIG MAP'!$AA$38</c:f>
              <c:strCache>
                <c:ptCount val="1"/>
                <c:pt idx="0">
                  <c:v>50</c:v>
                </c:pt>
              </c:strCache>
            </c:strRef>
          </c:tx>
          <c:spPr>
            <a:solidFill>
              <a:srgbClr val="660066"/>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MAP'!$AA$39:$AA$63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14.586</c:v>
                </c:pt>
                <c:pt idx="13">
                  <c:v>14.586</c:v>
                </c:pt>
                <c:pt idx="14">
                  <c:v>14.473800000000001</c:v>
                </c:pt>
                <c:pt idx="15">
                  <c:v>14.473800000000001</c:v>
                </c:pt>
                <c:pt idx="16">
                  <c:v>14.3634</c:v>
                </c:pt>
                <c:pt idx="17">
                  <c:v>14.2545</c:v>
                </c:pt>
                <c:pt idx="18">
                  <c:v>13.937799999999999</c:v>
                </c:pt>
                <c:pt idx="19">
                  <c:v>13.5367</c:v>
                </c:pt>
                <c:pt idx="20">
                  <c:v>13.2507</c:v>
                </c:pt>
                <c:pt idx="21">
                  <c:v>13.2507</c:v>
                </c:pt>
                <c:pt idx="22">
                  <c:v>13.2507</c:v>
                </c:pt>
                <c:pt idx="23">
                  <c:v>13.2507</c:v>
                </c:pt>
                <c:pt idx="24">
                  <c:v>13.2507</c:v>
                </c:pt>
              </c:numCache>
            </c:numRef>
          </c:val>
        </c:ser>
        <c:ser>
          <c:idx val="5"/>
          <c:order val="5"/>
          <c:tx>
            <c:strRef>
              <c:f>'Fuel - BIG MAP'!$AB$38</c:f>
              <c:strCache>
                <c:ptCount val="1"/>
                <c:pt idx="0">
                  <c:v>60</c:v>
                </c:pt>
              </c:strCache>
            </c:strRef>
          </c:tx>
          <c:spPr>
            <a:solidFill>
              <a:srgbClr val="FF808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MAP'!$AB$39:$AB$63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14.7</c:v>
                </c:pt>
                <c:pt idx="11">
                  <c:v>14.7</c:v>
                </c:pt>
                <c:pt idx="12">
                  <c:v>14.586</c:v>
                </c:pt>
                <c:pt idx="13">
                  <c:v>14.586</c:v>
                </c:pt>
                <c:pt idx="14">
                  <c:v>14.473800000000001</c:v>
                </c:pt>
                <c:pt idx="15">
                  <c:v>14.2545</c:v>
                </c:pt>
                <c:pt idx="16">
                  <c:v>14.0418</c:v>
                </c:pt>
                <c:pt idx="17">
                  <c:v>13.8353</c:v>
                </c:pt>
                <c:pt idx="18">
                  <c:v>13.44</c:v>
                </c:pt>
                <c:pt idx="19">
                  <c:v>13.066700000000001</c:v>
                </c:pt>
                <c:pt idx="20">
                  <c:v>12.8</c:v>
                </c:pt>
                <c:pt idx="21">
                  <c:v>12.7135</c:v>
                </c:pt>
                <c:pt idx="22">
                  <c:v>12.7135</c:v>
                </c:pt>
                <c:pt idx="23">
                  <c:v>12.7135</c:v>
                </c:pt>
                <c:pt idx="24">
                  <c:v>12.7135</c:v>
                </c:pt>
              </c:numCache>
            </c:numRef>
          </c:val>
        </c:ser>
        <c:ser>
          <c:idx val="6"/>
          <c:order val="6"/>
          <c:tx>
            <c:strRef>
              <c:f>'Fuel - BIG MAP'!$AC$38</c:f>
              <c:strCache>
                <c:ptCount val="1"/>
                <c:pt idx="0">
                  <c:v>70</c:v>
                </c:pt>
              </c:strCache>
            </c:strRef>
          </c:tx>
          <c:spPr>
            <a:solidFill>
              <a:srgbClr val="0066CC"/>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MAP'!$AC$39:$AC$63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14.586</c:v>
                </c:pt>
                <c:pt idx="11">
                  <c:v>14.586</c:v>
                </c:pt>
                <c:pt idx="12">
                  <c:v>14.147399999999999</c:v>
                </c:pt>
                <c:pt idx="13">
                  <c:v>14.147399999999999</c:v>
                </c:pt>
                <c:pt idx="14">
                  <c:v>14.0418</c:v>
                </c:pt>
                <c:pt idx="15">
                  <c:v>13.8353</c:v>
                </c:pt>
                <c:pt idx="16">
                  <c:v>13.6348</c:v>
                </c:pt>
                <c:pt idx="17">
                  <c:v>13.3447</c:v>
                </c:pt>
                <c:pt idx="18">
                  <c:v>12.887700000000001</c:v>
                </c:pt>
                <c:pt idx="19">
                  <c:v>12.6282</c:v>
                </c:pt>
                <c:pt idx="20">
                  <c:v>12.3789</c:v>
                </c:pt>
                <c:pt idx="21">
                  <c:v>12.298</c:v>
                </c:pt>
                <c:pt idx="22">
                  <c:v>12.298</c:v>
                </c:pt>
                <c:pt idx="23">
                  <c:v>12.298</c:v>
                </c:pt>
                <c:pt idx="24">
                  <c:v>12.298</c:v>
                </c:pt>
              </c:numCache>
            </c:numRef>
          </c:val>
        </c:ser>
        <c:ser>
          <c:idx val="7"/>
          <c:order val="7"/>
          <c:tx>
            <c:strRef>
              <c:f>'Fuel - BIG MAP'!$AD$38</c:f>
              <c:strCache>
                <c:ptCount val="1"/>
                <c:pt idx="0">
                  <c:v>80</c:v>
                </c:pt>
              </c:strCache>
            </c:strRef>
          </c:tx>
          <c:spPr>
            <a:solidFill>
              <a:srgbClr val="CCCC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MAP'!$AD$39:$AD$63</c:f>
              <c:numCache>
                <c:formatCode>0.00</c:formatCode>
                <c:ptCount val="25"/>
                <c:pt idx="0">
                  <c:v>14.7</c:v>
                </c:pt>
                <c:pt idx="1">
                  <c:v>14.7</c:v>
                </c:pt>
                <c:pt idx="2">
                  <c:v>14.7</c:v>
                </c:pt>
                <c:pt idx="3">
                  <c:v>14.7</c:v>
                </c:pt>
                <c:pt idx="4">
                  <c:v>14.7</c:v>
                </c:pt>
                <c:pt idx="5">
                  <c:v>14.7</c:v>
                </c:pt>
                <c:pt idx="6">
                  <c:v>14.7</c:v>
                </c:pt>
                <c:pt idx="7">
                  <c:v>14.7</c:v>
                </c:pt>
                <c:pt idx="8">
                  <c:v>14.7</c:v>
                </c:pt>
                <c:pt idx="9">
                  <c:v>14.7</c:v>
                </c:pt>
                <c:pt idx="10">
                  <c:v>14.586</c:v>
                </c:pt>
                <c:pt idx="11">
                  <c:v>14.586</c:v>
                </c:pt>
                <c:pt idx="12">
                  <c:v>14.0418</c:v>
                </c:pt>
                <c:pt idx="13">
                  <c:v>13.8353</c:v>
                </c:pt>
                <c:pt idx="14">
                  <c:v>13.5367</c:v>
                </c:pt>
                <c:pt idx="15">
                  <c:v>13.2507</c:v>
                </c:pt>
                <c:pt idx="16">
                  <c:v>12.887700000000001</c:v>
                </c:pt>
                <c:pt idx="17">
                  <c:v>12.7135</c:v>
                </c:pt>
                <c:pt idx="18">
                  <c:v>12.3789</c:v>
                </c:pt>
                <c:pt idx="19">
                  <c:v>12.2182</c:v>
                </c:pt>
                <c:pt idx="20">
                  <c:v>12.1394</c:v>
                </c:pt>
                <c:pt idx="21">
                  <c:v>12.061500000000001</c:v>
                </c:pt>
                <c:pt idx="22">
                  <c:v>12.061500000000001</c:v>
                </c:pt>
                <c:pt idx="23">
                  <c:v>12.061500000000001</c:v>
                </c:pt>
                <c:pt idx="24">
                  <c:v>12.061500000000001</c:v>
                </c:pt>
              </c:numCache>
            </c:numRef>
          </c:val>
        </c:ser>
        <c:ser>
          <c:idx val="8"/>
          <c:order val="8"/>
          <c:tx>
            <c:strRef>
              <c:f>'Fuel - BIG MAP'!$AE$38</c:f>
              <c:strCache>
                <c:ptCount val="1"/>
                <c:pt idx="0">
                  <c:v>90</c:v>
                </c:pt>
              </c:strCache>
            </c:strRef>
          </c:tx>
          <c:spPr>
            <a:solidFill>
              <a:srgbClr val="00008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MAP'!$AE$39:$AE$63</c:f>
              <c:numCache>
                <c:formatCode>0.00</c:formatCode>
                <c:ptCount val="25"/>
                <c:pt idx="0">
                  <c:v>14.3634</c:v>
                </c:pt>
                <c:pt idx="1">
                  <c:v>14.3634</c:v>
                </c:pt>
                <c:pt idx="2">
                  <c:v>14.3634</c:v>
                </c:pt>
                <c:pt idx="3">
                  <c:v>14.3634</c:v>
                </c:pt>
                <c:pt idx="4">
                  <c:v>14.2545</c:v>
                </c:pt>
                <c:pt idx="5">
                  <c:v>14.2545</c:v>
                </c:pt>
                <c:pt idx="6">
                  <c:v>14.147399999999999</c:v>
                </c:pt>
                <c:pt idx="7">
                  <c:v>14.147399999999999</c:v>
                </c:pt>
                <c:pt idx="8">
                  <c:v>14.147399999999999</c:v>
                </c:pt>
                <c:pt idx="9">
                  <c:v>14.147399999999999</c:v>
                </c:pt>
                <c:pt idx="10">
                  <c:v>14.0418</c:v>
                </c:pt>
                <c:pt idx="11">
                  <c:v>13.937799999999999</c:v>
                </c:pt>
                <c:pt idx="12">
                  <c:v>13.6348</c:v>
                </c:pt>
                <c:pt idx="13">
                  <c:v>13.3447</c:v>
                </c:pt>
                <c:pt idx="14">
                  <c:v>13.066700000000001</c:v>
                </c:pt>
                <c:pt idx="15">
                  <c:v>12.7135</c:v>
                </c:pt>
                <c:pt idx="16">
                  <c:v>12.544</c:v>
                </c:pt>
                <c:pt idx="17">
                  <c:v>12.3789</c:v>
                </c:pt>
                <c:pt idx="18">
                  <c:v>12.2182</c:v>
                </c:pt>
                <c:pt idx="19">
                  <c:v>12.1394</c:v>
                </c:pt>
                <c:pt idx="20">
                  <c:v>11.9847</c:v>
                </c:pt>
                <c:pt idx="21">
                  <c:v>11.9847</c:v>
                </c:pt>
                <c:pt idx="22">
                  <c:v>11.9847</c:v>
                </c:pt>
                <c:pt idx="23">
                  <c:v>11.9847</c:v>
                </c:pt>
                <c:pt idx="24">
                  <c:v>11.9847</c:v>
                </c:pt>
              </c:numCache>
            </c:numRef>
          </c:val>
        </c:ser>
        <c:ser>
          <c:idx val="9"/>
          <c:order val="9"/>
          <c:tx>
            <c:strRef>
              <c:f>'Fuel - BIG MAP'!$AF$38</c:f>
              <c:strCache>
                <c:ptCount val="1"/>
                <c:pt idx="0">
                  <c:v>100</c:v>
                </c:pt>
              </c:strCache>
            </c:strRef>
          </c:tx>
          <c:spPr>
            <a:solidFill>
              <a:srgbClr val="FF00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MAP'!$AF$39:$AF$63</c:f>
              <c:numCache>
                <c:formatCode>0.00</c:formatCode>
                <c:ptCount val="25"/>
                <c:pt idx="0">
                  <c:v>13.6348</c:v>
                </c:pt>
                <c:pt idx="1">
                  <c:v>13.6348</c:v>
                </c:pt>
                <c:pt idx="2">
                  <c:v>13.734299999999999</c:v>
                </c:pt>
                <c:pt idx="3">
                  <c:v>13.734299999999999</c:v>
                </c:pt>
                <c:pt idx="4">
                  <c:v>13.6348</c:v>
                </c:pt>
                <c:pt idx="5">
                  <c:v>13.6348</c:v>
                </c:pt>
                <c:pt idx="6">
                  <c:v>13.5367</c:v>
                </c:pt>
                <c:pt idx="7">
                  <c:v>13.44</c:v>
                </c:pt>
                <c:pt idx="8">
                  <c:v>13.2507</c:v>
                </c:pt>
                <c:pt idx="9">
                  <c:v>13.157999999999999</c:v>
                </c:pt>
                <c:pt idx="10">
                  <c:v>12.976599999999999</c:v>
                </c:pt>
                <c:pt idx="11">
                  <c:v>12.8</c:v>
                </c:pt>
                <c:pt idx="12">
                  <c:v>12.6282</c:v>
                </c:pt>
                <c:pt idx="13">
                  <c:v>12.3789</c:v>
                </c:pt>
                <c:pt idx="14">
                  <c:v>12.2182</c:v>
                </c:pt>
                <c:pt idx="15">
                  <c:v>12.061500000000001</c:v>
                </c:pt>
                <c:pt idx="16">
                  <c:v>11.9847</c:v>
                </c:pt>
                <c:pt idx="17">
                  <c:v>11.9847</c:v>
                </c:pt>
                <c:pt idx="18">
                  <c:v>11.834</c:v>
                </c:pt>
                <c:pt idx="19">
                  <c:v>11.834</c:v>
                </c:pt>
                <c:pt idx="20">
                  <c:v>11.834</c:v>
                </c:pt>
                <c:pt idx="21">
                  <c:v>11.834</c:v>
                </c:pt>
                <c:pt idx="22">
                  <c:v>11.834</c:v>
                </c:pt>
                <c:pt idx="23">
                  <c:v>11.834</c:v>
                </c:pt>
                <c:pt idx="24">
                  <c:v>11.834</c:v>
                </c:pt>
              </c:numCache>
            </c:numRef>
          </c:val>
        </c:ser>
        <c:ser>
          <c:idx val="10"/>
          <c:order val="10"/>
          <c:tx>
            <c:strRef>
              <c:f>'Fuel - BIG MAP'!$AG$38</c:f>
              <c:strCache>
                <c:ptCount val="1"/>
                <c:pt idx="0">
                  <c:v>120</c:v>
                </c:pt>
              </c:strCache>
            </c:strRef>
          </c:tx>
          <c:spPr>
            <a:solidFill>
              <a:srgbClr val="FFFF0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MAP'!$AG$39:$AG$63</c:f>
              <c:numCache>
                <c:formatCode>0.00</c:formatCode>
                <c:ptCount val="25"/>
                <c:pt idx="0">
                  <c:v>13.3447</c:v>
                </c:pt>
                <c:pt idx="1">
                  <c:v>13.3447</c:v>
                </c:pt>
                <c:pt idx="2">
                  <c:v>13.2507</c:v>
                </c:pt>
                <c:pt idx="3">
                  <c:v>13.066700000000001</c:v>
                </c:pt>
                <c:pt idx="4">
                  <c:v>12.887700000000001</c:v>
                </c:pt>
                <c:pt idx="5">
                  <c:v>12.8</c:v>
                </c:pt>
                <c:pt idx="6">
                  <c:v>12.6282</c:v>
                </c:pt>
                <c:pt idx="7">
                  <c:v>12.544</c:v>
                </c:pt>
                <c:pt idx="8">
                  <c:v>12.3789</c:v>
                </c:pt>
                <c:pt idx="9">
                  <c:v>12.298</c:v>
                </c:pt>
                <c:pt idx="10">
                  <c:v>12.1394</c:v>
                </c:pt>
                <c:pt idx="11">
                  <c:v>12.061500000000001</c:v>
                </c:pt>
                <c:pt idx="12">
                  <c:v>11.908899999999999</c:v>
                </c:pt>
                <c:pt idx="13">
                  <c:v>11.834</c:v>
                </c:pt>
                <c:pt idx="14">
                  <c:v>11.834</c:v>
                </c:pt>
                <c:pt idx="15">
                  <c:v>11.686999999999999</c:v>
                </c:pt>
                <c:pt idx="16">
                  <c:v>11.614800000000001</c:v>
                </c:pt>
                <c:pt idx="17">
                  <c:v>11.614800000000001</c:v>
                </c:pt>
                <c:pt idx="18">
                  <c:v>11.614800000000001</c:v>
                </c:pt>
                <c:pt idx="19">
                  <c:v>11.614800000000001</c:v>
                </c:pt>
                <c:pt idx="20">
                  <c:v>11.614800000000001</c:v>
                </c:pt>
                <c:pt idx="21">
                  <c:v>11.614800000000001</c:v>
                </c:pt>
                <c:pt idx="22">
                  <c:v>11.614800000000001</c:v>
                </c:pt>
                <c:pt idx="23">
                  <c:v>11.614800000000001</c:v>
                </c:pt>
                <c:pt idx="24">
                  <c:v>11.614800000000001</c:v>
                </c:pt>
              </c:numCache>
            </c:numRef>
          </c:val>
        </c:ser>
        <c:ser>
          <c:idx val="11"/>
          <c:order val="11"/>
          <c:tx>
            <c:strRef>
              <c:f>'Fuel - BIG MAP'!$AH$38</c:f>
              <c:strCache>
                <c:ptCount val="1"/>
                <c:pt idx="0">
                  <c:v>140</c:v>
                </c:pt>
              </c:strCache>
            </c:strRef>
          </c:tx>
          <c:spPr>
            <a:solidFill>
              <a:srgbClr val="00FF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MAP'!$AH$39:$AH$63</c:f>
              <c:numCache>
                <c:formatCode>0.00</c:formatCode>
                <c:ptCount val="25"/>
                <c:pt idx="0">
                  <c:v>13.157999999999999</c:v>
                </c:pt>
                <c:pt idx="1">
                  <c:v>13.066700000000001</c:v>
                </c:pt>
                <c:pt idx="2">
                  <c:v>12.8</c:v>
                </c:pt>
                <c:pt idx="3">
                  <c:v>12.544</c:v>
                </c:pt>
                <c:pt idx="4">
                  <c:v>12.3789</c:v>
                </c:pt>
                <c:pt idx="5">
                  <c:v>12.2182</c:v>
                </c:pt>
                <c:pt idx="6">
                  <c:v>12.061500000000001</c:v>
                </c:pt>
                <c:pt idx="7">
                  <c:v>11.908899999999999</c:v>
                </c:pt>
                <c:pt idx="8">
                  <c:v>11.76</c:v>
                </c:pt>
                <c:pt idx="9">
                  <c:v>11.686999999999999</c:v>
                </c:pt>
                <c:pt idx="10">
                  <c:v>11.5436</c:v>
                </c:pt>
                <c:pt idx="11">
                  <c:v>11.4732</c:v>
                </c:pt>
                <c:pt idx="12">
                  <c:v>11.403600000000001</c:v>
                </c:pt>
                <c:pt idx="13">
                  <c:v>11.334899999999999</c:v>
                </c:pt>
                <c:pt idx="14">
                  <c:v>11.334899999999999</c:v>
                </c:pt>
                <c:pt idx="15">
                  <c:v>11.334899999999999</c:v>
                </c:pt>
                <c:pt idx="16">
                  <c:v>11.334899999999999</c:v>
                </c:pt>
                <c:pt idx="17">
                  <c:v>11.334899999999999</c:v>
                </c:pt>
                <c:pt idx="18">
                  <c:v>11.403600000000001</c:v>
                </c:pt>
                <c:pt idx="19">
                  <c:v>11.403600000000001</c:v>
                </c:pt>
                <c:pt idx="20">
                  <c:v>11.403600000000001</c:v>
                </c:pt>
                <c:pt idx="21">
                  <c:v>11.403600000000001</c:v>
                </c:pt>
                <c:pt idx="22">
                  <c:v>11.403600000000001</c:v>
                </c:pt>
                <c:pt idx="23">
                  <c:v>11.403600000000001</c:v>
                </c:pt>
                <c:pt idx="24">
                  <c:v>11.403600000000001</c:v>
                </c:pt>
              </c:numCache>
            </c:numRef>
          </c:val>
        </c:ser>
        <c:ser>
          <c:idx val="12"/>
          <c:order val="12"/>
          <c:tx>
            <c:strRef>
              <c:f>'Fuel - BIG MAP'!$AI$38</c:f>
              <c:strCache>
                <c:ptCount val="1"/>
                <c:pt idx="0">
                  <c:v>150</c:v>
                </c:pt>
              </c:strCache>
            </c:strRef>
          </c:tx>
          <c:spPr>
            <a:solidFill>
              <a:srgbClr val="80008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MAP'!$AI$39:$AI$63</c:f>
              <c:numCache>
                <c:formatCode>0.00</c:formatCode>
                <c:ptCount val="25"/>
                <c:pt idx="0">
                  <c:v>12.887700000000001</c:v>
                </c:pt>
                <c:pt idx="1">
                  <c:v>12.8</c:v>
                </c:pt>
                <c:pt idx="2">
                  <c:v>12.544</c:v>
                </c:pt>
                <c:pt idx="3">
                  <c:v>12.1394</c:v>
                </c:pt>
                <c:pt idx="4">
                  <c:v>11.9847</c:v>
                </c:pt>
                <c:pt idx="5">
                  <c:v>11.834</c:v>
                </c:pt>
                <c:pt idx="6">
                  <c:v>11.686999999999999</c:v>
                </c:pt>
                <c:pt idx="7">
                  <c:v>11.4732</c:v>
                </c:pt>
                <c:pt idx="8">
                  <c:v>11.334899999999999</c:v>
                </c:pt>
                <c:pt idx="9">
                  <c:v>11.267099999999999</c:v>
                </c:pt>
                <c:pt idx="10">
                  <c:v>11.334899999999999</c:v>
                </c:pt>
                <c:pt idx="11">
                  <c:v>11.267099999999999</c:v>
                </c:pt>
                <c:pt idx="12">
                  <c:v>11.267099999999999</c:v>
                </c:pt>
                <c:pt idx="13">
                  <c:v>11.267099999999999</c:v>
                </c:pt>
                <c:pt idx="14">
                  <c:v>11.267099999999999</c:v>
                </c:pt>
                <c:pt idx="15">
                  <c:v>11.267099999999999</c:v>
                </c:pt>
                <c:pt idx="16">
                  <c:v>11.267099999999999</c:v>
                </c:pt>
                <c:pt idx="17">
                  <c:v>11.267099999999999</c:v>
                </c:pt>
                <c:pt idx="18">
                  <c:v>11.267099999999999</c:v>
                </c:pt>
                <c:pt idx="19">
                  <c:v>11.267099999999999</c:v>
                </c:pt>
                <c:pt idx="20">
                  <c:v>11.334899999999999</c:v>
                </c:pt>
                <c:pt idx="21">
                  <c:v>11.334899999999999</c:v>
                </c:pt>
                <c:pt idx="22">
                  <c:v>11.334899999999999</c:v>
                </c:pt>
                <c:pt idx="23">
                  <c:v>11.334899999999999</c:v>
                </c:pt>
                <c:pt idx="24">
                  <c:v>11.334899999999999</c:v>
                </c:pt>
              </c:numCache>
            </c:numRef>
          </c:val>
        </c:ser>
        <c:ser>
          <c:idx val="13"/>
          <c:order val="13"/>
          <c:tx>
            <c:strRef>
              <c:f>'Fuel - BIG MAP'!$AJ$38</c:f>
              <c:strCache>
                <c:ptCount val="1"/>
                <c:pt idx="0">
                  <c:v>160</c:v>
                </c:pt>
              </c:strCache>
            </c:strRef>
          </c:tx>
          <c:spPr>
            <a:solidFill>
              <a:srgbClr val="80000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MAP'!$AJ$39:$AJ$63</c:f>
              <c:numCache>
                <c:formatCode>0.00</c:formatCode>
                <c:ptCount val="25"/>
                <c:pt idx="0">
                  <c:v>12.6282</c:v>
                </c:pt>
                <c:pt idx="1">
                  <c:v>12.544</c:v>
                </c:pt>
                <c:pt idx="2">
                  <c:v>12.2182</c:v>
                </c:pt>
                <c:pt idx="3">
                  <c:v>11.834</c:v>
                </c:pt>
                <c:pt idx="4">
                  <c:v>11.686999999999999</c:v>
                </c:pt>
                <c:pt idx="5">
                  <c:v>11.4732</c:v>
                </c:pt>
                <c:pt idx="6">
                  <c:v>11.267099999999999</c:v>
                </c:pt>
                <c:pt idx="7">
                  <c:v>11.2</c:v>
                </c:pt>
                <c:pt idx="8">
                  <c:v>11.068199999999999</c:v>
                </c:pt>
                <c:pt idx="9">
                  <c:v>11.068199999999999</c:v>
                </c:pt>
                <c:pt idx="10">
                  <c:v>11.003500000000001</c:v>
                </c:pt>
                <c:pt idx="11">
                  <c:v>10.939500000000001</c:v>
                </c:pt>
                <c:pt idx="12">
                  <c:v>10.939500000000001</c:v>
                </c:pt>
                <c:pt idx="13">
                  <c:v>10.939500000000001</c:v>
                </c:pt>
                <c:pt idx="14">
                  <c:v>10.939500000000001</c:v>
                </c:pt>
                <c:pt idx="15">
                  <c:v>10.939500000000001</c:v>
                </c:pt>
                <c:pt idx="16">
                  <c:v>10.939500000000001</c:v>
                </c:pt>
                <c:pt idx="17">
                  <c:v>10.939500000000001</c:v>
                </c:pt>
                <c:pt idx="18">
                  <c:v>11.068199999999999</c:v>
                </c:pt>
                <c:pt idx="19">
                  <c:v>11.068199999999999</c:v>
                </c:pt>
                <c:pt idx="20">
                  <c:v>11.133699999999999</c:v>
                </c:pt>
                <c:pt idx="21">
                  <c:v>11.2</c:v>
                </c:pt>
                <c:pt idx="22">
                  <c:v>11.2</c:v>
                </c:pt>
                <c:pt idx="23">
                  <c:v>11.2</c:v>
                </c:pt>
                <c:pt idx="24">
                  <c:v>11.2</c:v>
                </c:pt>
              </c:numCache>
            </c:numRef>
          </c:val>
        </c:ser>
        <c:ser>
          <c:idx val="14"/>
          <c:order val="14"/>
          <c:tx>
            <c:strRef>
              <c:f>'Fuel - BIG MAP'!$AK$38</c:f>
              <c:strCache>
                <c:ptCount val="1"/>
                <c:pt idx="0">
                  <c:v>170</c:v>
                </c:pt>
              </c:strCache>
            </c:strRef>
          </c:tx>
          <c:spPr>
            <a:solidFill>
              <a:srgbClr val="008080"/>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MAP'!$AK$39:$AK$63</c:f>
              <c:numCache>
                <c:formatCode>0.00</c:formatCode>
                <c:ptCount val="25"/>
                <c:pt idx="0">
                  <c:v>12.460900000000001</c:v>
                </c:pt>
                <c:pt idx="1">
                  <c:v>12.3789</c:v>
                </c:pt>
                <c:pt idx="2">
                  <c:v>12.061500000000001</c:v>
                </c:pt>
                <c:pt idx="3">
                  <c:v>11.686999999999999</c:v>
                </c:pt>
                <c:pt idx="4">
                  <c:v>11.4732</c:v>
                </c:pt>
                <c:pt idx="5">
                  <c:v>11.267099999999999</c:v>
                </c:pt>
                <c:pt idx="6">
                  <c:v>11.133699999999999</c:v>
                </c:pt>
                <c:pt idx="7">
                  <c:v>11.003500000000001</c:v>
                </c:pt>
                <c:pt idx="8">
                  <c:v>10.876300000000001</c:v>
                </c:pt>
                <c:pt idx="9">
                  <c:v>10.939500000000001</c:v>
                </c:pt>
                <c:pt idx="10">
                  <c:v>10.876300000000001</c:v>
                </c:pt>
                <c:pt idx="11">
                  <c:v>10.813800000000001</c:v>
                </c:pt>
                <c:pt idx="12">
                  <c:v>10.752000000000001</c:v>
                </c:pt>
                <c:pt idx="13">
                  <c:v>10.813800000000001</c:v>
                </c:pt>
                <c:pt idx="14">
                  <c:v>10.813800000000001</c:v>
                </c:pt>
                <c:pt idx="15">
                  <c:v>10.752000000000001</c:v>
                </c:pt>
                <c:pt idx="16">
                  <c:v>10.813800000000001</c:v>
                </c:pt>
                <c:pt idx="17">
                  <c:v>10.876300000000001</c:v>
                </c:pt>
                <c:pt idx="18">
                  <c:v>10.939500000000001</c:v>
                </c:pt>
                <c:pt idx="19">
                  <c:v>10.939500000000001</c:v>
                </c:pt>
                <c:pt idx="20">
                  <c:v>11.068199999999999</c:v>
                </c:pt>
                <c:pt idx="21">
                  <c:v>11.133699999999999</c:v>
                </c:pt>
                <c:pt idx="22">
                  <c:v>11.133699999999999</c:v>
                </c:pt>
                <c:pt idx="23">
                  <c:v>11.133699999999999</c:v>
                </c:pt>
                <c:pt idx="24">
                  <c:v>11.133699999999999</c:v>
                </c:pt>
              </c:numCache>
            </c:numRef>
          </c:val>
        </c:ser>
        <c:ser>
          <c:idx val="15"/>
          <c:order val="15"/>
          <c:tx>
            <c:strRef>
              <c:f>'Fuel - BIG MAP'!$AL$38</c:f>
              <c:strCache>
                <c:ptCount val="1"/>
                <c:pt idx="0">
                  <c:v>180</c:v>
                </c:pt>
              </c:strCache>
            </c:strRef>
          </c:tx>
          <c:spPr>
            <a:solidFill>
              <a:srgbClr val="0000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MAP'!$AL$39:$AL$63</c:f>
              <c:numCache>
                <c:formatCode>0.00</c:formatCode>
                <c:ptCount val="25"/>
                <c:pt idx="0">
                  <c:v>12.298</c:v>
                </c:pt>
                <c:pt idx="1">
                  <c:v>12.2182</c:v>
                </c:pt>
                <c:pt idx="2">
                  <c:v>11.908899999999999</c:v>
                </c:pt>
                <c:pt idx="3">
                  <c:v>11.5436</c:v>
                </c:pt>
                <c:pt idx="4">
                  <c:v>11.334899999999999</c:v>
                </c:pt>
                <c:pt idx="5">
                  <c:v>11.133699999999999</c:v>
                </c:pt>
                <c:pt idx="6">
                  <c:v>10.939500000000001</c:v>
                </c:pt>
                <c:pt idx="7">
                  <c:v>10.813800000000001</c:v>
                </c:pt>
                <c:pt idx="8">
                  <c:v>10.690899999999999</c:v>
                </c:pt>
                <c:pt idx="9">
                  <c:v>10.752000000000001</c:v>
                </c:pt>
                <c:pt idx="10">
                  <c:v>10.690899999999999</c:v>
                </c:pt>
                <c:pt idx="11">
                  <c:v>10.690899999999999</c:v>
                </c:pt>
                <c:pt idx="12">
                  <c:v>10.690899999999999</c:v>
                </c:pt>
                <c:pt idx="13">
                  <c:v>10.6305</c:v>
                </c:pt>
                <c:pt idx="14">
                  <c:v>10.690899999999999</c:v>
                </c:pt>
                <c:pt idx="15">
                  <c:v>10.690899999999999</c:v>
                </c:pt>
                <c:pt idx="16">
                  <c:v>10.690899999999999</c:v>
                </c:pt>
                <c:pt idx="17">
                  <c:v>10.752000000000001</c:v>
                </c:pt>
                <c:pt idx="18">
                  <c:v>10.752000000000001</c:v>
                </c:pt>
                <c:pt idx="19">
                  <c:v>10.752000000000001</c:v>
                </c:pt>
                <c:pt idx="20">
                  <c:v>10.939500000000001</c:v>
                </c:pt>
                <c:pt idx="21">
                  <c:v>10.876300000000001</c:v>
                </c:pt>
                <c:pt idx="22">
                  <c:v>11.003500000000001</c:v>
                </c:pt>
                <c:pt idx="23">
                  <c:v>11.003500000000001</c:v>
                </c:pt>
                <c:pt idx="24">
                  <c:v>11.003500000000001</c:v>
                </c:pt>
              </c:numCache>
            </c:numRef>
          </c:val>
        </c:ser>
        <c:ser>
          <c:idx val="16"/>
          <c:order val="16"/>
          <c:tx>
            <c:strRef>
              <c:f>'Fuel - BIG MAP'!$AM$38</c:f>
              <c:strCache>
                <c:ptCount val="1"/>
                <c:pt idx="0">
                  <c:v>190</c:v>
                </c:pt>
              </c:strCache>
            </c:strRef>
          </c:tx>
          <c:spPr>
            <a:solidFill>
              <a:srgbClr val="00CC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MAP'!$AM$39:$AM$63</c:f>
              <c:numCache>
                <c:formatCode>0.00</c:formatCode>
                <c:ptCount val="25"/>
                <c:pt idx="0">
                  <c:v>12.298</c:v>
                </c:pt>
                <c:pt idx="1">
                  <c:v>12.2182</c:v>
                </c:pt>
                <c:pt idx="2">
                  <c:v>11.908899999999999</c:v>
                </c:pt>
                <c:pt idx="3">
                  <c:v>11.5436</c:v>
                </c:pt>
                <c:pt idx="4">
                  <c:v>11.267099999999999</c:v>
                </c:pt>
                <c:pt idx="5">
                  <c:v>11.068199999999999</c:v>
                </c:pt>
                <c:pt idx="6">
                  <c:v>10.939500000000001</c:v>
                </c:pt>
                <c:pt idx="7">
                  <c:v>10.752000000000001</c:v>
                </c:pt>
                <c:pt idx="8">
                  <c:v>10.752000000000001</c:v>
                </c:pt>
                <c:pt idx="9">
                  <c:v>10.690899999999999</c:v>
                </c:pt>
                <c:pt idx="10">
                  <c:v>10.690899999999999</c:v>
                </c:pt>
                <c:pt idx="11">
                  <c:v>10.752000000000001</c:v>
                </c:pt>
                <c:pt idx="12">
                  <c:v>10.752000000000001</c:v>
                </c:pt>
                <c:pt idx="13">
                  <c:v>10.752000000000001</c:v>
                </c:pt>
                <c:pt idx="14">
                  <c:v>10.752000000000001</c:v>
                </c:pt>
                <c:pt idx="15">
                  <c:v>10.752000000000001</c:v>
                </c:pt>
                <c:pt idx="16">
                  <c:v>10.752000000000001</c:v>
                </c:pt>
                <c:pt idx="17">
                  <c:v>10.752000000000001</c:v>
                </c:pt>
                <c:pt idx="18">
                  <c:v>10.690899999999999</c:v>
                </c:pt>
                <c:pt idx="19">
                  <c:v>10.752000000000001</c:v>
                </c:pt>
                <c:pt idx="20">
                  <c:v>10.876300000000001</c:v>
                </c:pt>
                <c:pt idx="21">
                  <c:v>10.876300000000001</c:v>
                </c:pt>
                <c:pt idx="22">
                  <c:v>10.876300000000001</c:v>
                </c:pt>
                <c:pt idx="23">
                  <c:v>10.876300000000001</c:v>
                </c:pt>
                <c:pt idx="24">
                  <c:v>10.876300000000001</c:v>
                </c:pt>
              </c:numCache>
            </c:numRef>
          </c:val>
        </c:ser>
        <c:ser>
          <c:idx val="17"/>
          <c:order val="17"/>
          <c:tx>
            <c:strRef>
              <c:f>'Fuel - BIG MAP'!$AN$38</c:f>
              <c:strCache>
                <c:ptCount val="1"/>
                <c:pt idx="0">
                  <c:v>200</c:v>
                </c:pt>
              </c:strCache>
            </c:strRef>
          </c:tx>
          <c:spPr>
            <a:solidFill>
              <a:srgbClr val="CCFFFF"/>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MAP'!$AN$39:$AN$63</c:f>
              <c:numCache>
                <c:formatCode>0.00</c:formatCode>
                <c:ptCount val="25"/>
                <c:pt idx="0">
                  <c:v>12.2182</c:v>
                </c:pt>
                <c:pt idx="1">
                  <c:v>12.1394</c:v>
                </c:pt>
                <c:pt idx="2">
                  <c:v>11.834</c:v>
                </c:pt>
                <c:pt idx="3">
                  <c:v>11.4732</c:v>
                </c:pt>
                <c:pt idx="4">
                  <c:v>11.267099999999999</c:v>
                </c:pt>
                <c:pt idx="5">
                  <c:v>11.003500000000001</c:v>
                </c:pt>
                <c:pt idx="6">
                  <c:v>10.876300000000001</c:v>
                </c:pt>
                <c:pt idx="7">
                  <c:v>10.813800000000001</c:v>
                </c:pt>
                <c:pt idx="8">
                  <c:v>10.690899999999999</c:v>
                </c:pt>
                <c:pt idx="9">
                  <c:v>10.752000000000001</c:v>
                </c:pt>
                <c:pt idx="10">
                  <c:v>10.6305</c:v>
                </c:pt>
                <c:pt idx="11">
                  <c:v>10.5708</c:v>
                </c:pt>
                <c:pt idx="12">
                  <c:v>10.511699999999999</c:v>
                </c:pt>
                <c:pt idx="13">
                  <c:v>10.511699999999999</c:v>
                </c:pt>
                <c:pt idx="14">
                  <c:v>10.511699999999999</c:v>
                </c:pt>
                <c:pt idx="15">
                  <c:v>10.511699999999999</c:v>
                </c:pt>
                <c:pt idx="16">
                  <c:v>10.511699999999999</c:v>
                </c:pt>
                <c:pt idx="17">
                  <c:v>10.5708</c:v>
                </c:pt>
                <c:pt idx="18">
                  <c:v>10.6305</c:v>
                </c:pt>
                <c:pt idx="19">
                  <c:v>10.5708</c:v>
                </c:pt>
                <c:pt idx="20">
                  <c:v>10.5708</c:v>
                </c:pt>
                <c:pt idx="21">
                  <c:v>10.690899999999999</c:v>
                </c:pt>
                <c:pt idx="22">
                  <c:v>10.813800000000001</c:v>
                </c:pt>
                <c:pt idx="23">
                  <c:v>10.813800000000001</c:v>
                </c:pt>
                <c:pt idx="24">
                  <c:v>10.813800000000001</c:v>
                </c:pt>
              </c:numCache>
            </c:numRef>
          </c:val>
        </c:ser>
        <c:ser>
          <c:idx val="18"/>
          <c:order val="18"/>
          <c:tx>
            <c:strRef>
              <c:f>'Fuel - BIG MAP'!$AO$38</c:f>
              <c:strCache>
                <c:ptCount val="1"/>
                <c:pt idx="0">
                  <c:v>210</c:v>
                </c:pt>
              </c:strCache>
            </c:strRef>
          </c:tx>
          <c:spPr>
            <a:solidFill>
              <a:srgbClr val="CCFFCC"/>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MAP'!$AO$39:$AO$63</c:f>
              <c:numCache>
                <c:formatCode>0.00</c:formatCode>
                <c:ptCount val="25"/>
                <c:pt idx="0">
                  <c:v>12.2182</c:v>
                </c:pt>
                <c:pt idx="1">
                  <c:v>12.1394</c:v>
                </c:pt>
                <c:pt idx="2">
                  <c:v>11.834</c:v>
                </c:pt>
                <c:pt idx="3">
                  <c:v>11.4732</c:v>
                </c:pt>
                <c:pt idx="4">
                  <c:v>11.2</c:v>
                </c:pt>
                <c:pt idx="5">
                  <c:v>11.003500000000001</c:v>
                </c:pt>
                <c:pt idx="6">
                  <c:v>10.813800000000001</c:v>
                </c:pt>
                <c:pt idx="7">
                  <c:v>10.6305</c:v>
                </c:pt>
                <c:pt idx="8">
                  <c:v>10.511699999999999</c:v>
                </c:pt>
                <c:pt idx="9">
                  <c:v>10.5708</c:v>
                </c:pt>
                <c:pt idx="10">
                  <c:v>10.5708</c:v>
                </c:pt>
                <c:pt idx="11">
                  <c:v>10.511699999999999</c:v>
                </c:pt>
                <c:pt idx="12">
                  <c:v>10.4533</c:v>
                </c:pt>
                <c:pt idx="13">
                  <c:v>10.3956</c:v>
                </c:pt>
                <c:pt idx="14">
                  <c:v>10.3956</c:v>
                </c:pt>
                <c:pt idx="15">
                  <c:v>10.3956</c:v>
                </c:pt>
                <c:pt idx="16">
                  <c:v>10.4533</c:v>
                </c:pt>
                <c:pt idx="17">
                  <c:v>10.752000000000001</c:v>
                </c:pt>
                <c:pt idx="18">
                  <c:v>10.752000000000001</c:v>
                </c:pt>
                <c:pt idx="19">
                  <c:v>10.6305</c:v>
                </c:pt>
                <c:pt idx="20">
                  <c:v>10.752000000000001</c:v>
                </c:pt>
                <c:pt idx="21">
                  <c:v>10.752000000000001</c:v>
                </c:pt>
                <c:pt idx="22">
                  <c:v>10.752000000000001</c:v>
                </c:pt>
                <c:pt idx="23">
                  <c:v>10.752000000000001</c:v>
                </c:pt>
                <c:pt idx="24">
                  <c:v>10.752000000000001</c:v>
                </c:pt>
              </c:numCache>
            </c:numRef>
          </c:val>
        </c:ser>
        <c:ser>
          <c:idx val="19"/>
          <c:order val="19"/>
          <c:tx>
            <c:strRef>
              <c:f>'Fuel - BIG MAP'!$AP$38</c:f>
              <c:strCache>
                <c:ptCount val="1"/>
                <c:pt idx="0">
                  <c:v>220</c:v>
                </c:pt>
              </c:strCache>
            </c:strRef>
          </c:tx>
          <c:spPr>
            <a:solidFill>
              <a:srgbClr val="FFFF99"/>
            </a:solidFill>
            <a:ln w="12700">
              <a:solidFill>
                <a:srgbClr val="000000"/>
              </a:solidFill>
              <a:prstDash val="solid"/>
            </a:ln>
            <a:sp3d prstMaterial="flat"/>
          </c:spPr>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MAP'!$AP$39:$AP$63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10.511699999999999</c:v>
                </c:pt>
                <c:pt idx="9">
                  <c:v>10.511699999999999</c:v>
                </c:pt>
                <c:pt idx="10">
                  <c:v>10.4533</c:v>
                </c:pt>
                <c:pt idx="11">
                  <c:v>10.4533</c:v>
                </c:pt>
                <c:pt idx="12">
                  <c:v>10.3956</c:v>
                </c:pt>
                <c:pt idx="13">
                  <c:v>10.4533</c:v>
                </c:pt>
                <c:pt idx="14">
                  <c:v>10.4533</c:v>
                </c:pt>
                <c:pt idx="15">
                  <c:v>10.4533</c:v>
                </c:pt>
                <c:pt idx="16">
                  <c:v>10.5708</c:v>
                </c:pt>
                <c:pt idx="17">
                  <c:v>10.6305</c:v>
                </c:pt>
                <c:pt idx="18">
                  <c:v>10.6305</c:v>
                </c:pt>
                <c:pt idx="19">
                  <c:v>10.5708</c:v>
                </c:pt>
                <c:pt idx="20">
                  <c:v>10.690899999999999</c:v>
                </c:pt>
                <c:pt idx="21">
                  <c:v>10.752000000000001</c:v>
                </c:pt>
                <c:pt idx="22">
                  <c:v>10.752000000000001</c:v>
                </c:pt>
                <c:pt idx="23">
                  <c:v>10.752000000000001</c:v>
                </c:pt>
                <c:pt idx="24">
                  <c:v>10.752000000000001</c:v>
                </c:pt>
              </c:numCache>
            </c:numRef>
          </c:val>
        </c:ser>
        <c:ser>
          <c:idx val="20"/>
          <c:order val="20"/>
          <c:tx>
            <c:strRef>
              <c:f>'Fuel - BIG MAP'!$AQ$38</c:f>
              <c:strCache>
                <c:ptCount val="1"/>
                <c:pt idx="0">
                  <c:v>230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MAP'!$AQ$39:$AQ$63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10.4533</c:v>
                </c:pt>
                <c:pt idx="12">
                  <c:v>10.4533</c:v>
                </c:pt>
                <c:pt idx="13">
                  <c:v>10.3956</c:v>
                </c:pt>
                <c:pt idx="14">
                  <c:v>10.3956</c:v>
                </c:pt>
                <c:pt idx="15">
                  <c:v>10.3956</c:v>
                </c:pt>
                <c:pt idx="16">
                  <c:v>10.4533</c:v>
                </c:pt>
                <c:pt idx="17">
                  <c:v>10.4533</c:v>
                </c:pt>
                <c:pt idx="18">
                  <c:v>10.511699999999999</c:v>
                </c:pt>
                <c:pt idx="19">
                  <c:v>10.5708</c:v>
                </c:pt>
                <c:pt idx="20">
                  <c:v>10.752000000000001</c:v>
                </c:pt>
                <c:pt idx="21">
                  <c:v>10.752000000000001</c:v>
                </c:pt>
                <c:pt idx="22">
                  <c:v>10.876300000000001</c:v>
                </c:pt>
                <c:pt idx="23">
                  <c:v>10.876300000000001</c:v>
                </c:pt>
                <c:pt idx="24">
                  <c:v>10.876300000000001</c:v>
                </c:pt>
              </c:numCache>
            </c:numRef>
          </c:val>
        </c:ser>
        <c:ser>
          <c:idx val="21"/>
          <c:order val="21"/>
          <c:tx>
            <c:strRef>
              <c:f>'Fuel - BIG MAP'!$AR$38</c:f>
              <c:strCache>
                <c:ptCount val="1"/>
                <c:pt idx="0">
                  <c:v>240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MAP'!$AR$39:$AR$63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10.3385</c:v>
                </c:pt>
                <c:pt idx="13">
                  <c:v>10.282</c:v>
                </c:pt>
                <c:pt idx="14">
                  <c:v>10.282</c:v>
                </c:pt>
                <c:pt idx="15">
                  <c:v>10.282</c:v>
                </c:pt>
                <c:pt idx="16">
                  <c:v>10.3385</c:v>
                </c:pt>
                <c:pt idx="17">
                  <c:v>10.4533</c:v>
                </c:pt>
                <c:pt idx="18">
                  <c:v>10.3956</c:v>
                </c:pt>
                <c:pt idx="19">
                  <c:v>10.4533</c:v>
                </c:pt>
                <c:pt idx="20">
                  <c:v>10.511699999999999</c:v>
                </c:pt>
                <c:pt idx="21">
                  <c:v>10.6305</c:v>
                </c:pt>
                <c:pt idx="22">
                  <c:v>10.752000000000001</c:v>
                </c:pt>
                <c:pt idx="23">
                  <c:v>10.752000000000001</c:v>
                </c:pt>
                <c:pt idx="24">
                  <c:v>10.752000000000001</c:v>
                </c:pt>
              </c:numCache>
            </c:numRef>
          </c:val>
        </c:ser>
        <c:ser>
          <c:idx val="22"/>
          <c:order val="22"/>
          <c:tx>
            <c:strRef>
              <c:f>'Fuel - BIG MAP'!$AS$38</c:f>
              <c:strCache>
                <c:ptCount val="1"/>
                <c:pt idx="0">
                  <c:v>250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MAP'!$AS$39:$AS$63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10.4533</c:v>
                </c:pt>
                <c:pt idx="18">
                  <c:v>10.3956</c:v>
                </c:pt>
                <c:pt idx="19">
                  <c:v>10.4533</c:v>
                </c:pt>
                <c:pt idx="20">
                  <c:v>10.511699999999999</c:v>
                </c:pt>
                <c:pt idx="21">
                  <c:v>10.6305</c:v>
                </c:pt>
                <c:pt idx="22">
                  <c:v>10.752000000000001</c:v>
                </c:pt>
                <c:pt idx="23">
                  <c:v>10.752000000000001</c:v>
                </c:pt>
                <c:pt idx="24">
                  <c:v>10.752000000000001</c:v>
                </c:pt>
              </c:numCache>
            </c:numRef>
          </c:val>
        </c:ser>
        <c:ser>
          <c:idx val="23"/>
          <c:order val="23"/>
          <c:tx>
            <c:strRef>
              <c:f>'Fuel - BIG MAP'!$AT$38</c:f>
              <c:strCache>
                <c:ptCount val="1"/>
                <c:pt idx="0">
                  <c:v>260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MAP'!$AT$39:$AT$63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10.3956</c:v>
                </c:pt>
                <c:pt idx="19">
                  <c:v>10.4533</c:v>
                </c:pt>
                <c:pt idx="20">
                  <c:v>10.511699999999999</c:v>
                </c:pt>
                <c:pt idx="21">
                  <c:v>10.6305</c:v>
                </c:pt>
                <c:pt idx="22">
                  <c:v>10.752000000000001</c:v>
                </c:pt>
                <c:pt idx="23">
                  <c:v>10.752000000000001</c:v>
                </c:pt>
                <c:pt idx="24">
                  <c:v>10.752000000000001</c:v>
                </c:pt>
              </c:numCache>
            </c:numRef>
          </c:val>
        </c:ser>
        <c:ser>
          <c:idx val="24"/>
          <c:order val="24"/>
          <c:tx>
            <c:strRef>
              <c:f>'Fuel - BIG MAP'!$AU$38</c:f>
              <c:strCache>
                <c:ptCount val="1"/>
                <c:pt idx="0">
                  <c:v>270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MAP'!$AU$39:$AU$63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10.3956</c:v>
                </c:pt>
                <c:pt idx="19">
                  <c:v>10.4533</c:v>
                </c:pt>
                <c:pt idx="20">
                  <c:v>10.511699999999999</c:v>
                </c:pt>
                <c:pt idx="21">
                  <c:v>10.6305</c:v>
                </c:pt>
                <c:pt idx="22">
                  <c:v>10.752000000000001</c:v>
                </c:pt>
                <c:pt idx="23">
                  <c:v>10.752000000000001</c:v>
                </c:pt>
                <c:pt idx="24">
                  <c:v>10.752000000000001</c:v>
                </c:pt>
              </c:numCache>
            </c:numRef>
          </c:val>
        </c:ser>
        <c:ser>
          <c:idx val="25"/>
          <c:order val="25"/>
          <c:tx>
            <c:strRef>
              <c:f>'Fuel - BIG MAP'!$AV$38</c:f>
              <c:strCache>
                <c:ptCount val="1"/>
                <c:pt idx="0">
                  <c:v>280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MAP'!$AV$39:$AV$63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ser>
          <c:idx val="26"/>
          <c:order val="26"/>
          <c:tx>
            <c:strRef>
              <c:f>'Fuel - BIG MAP'!$AW$38</c:f>
              <c:strCache>
                <c:ptCount val="1"/>
                <c:pt idx="0">
                  <c:v>290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MAP'!$AW$39:$AW$63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ser>
          <c:idx val="27"/>
          <c:order val="27"/>
          <c:tx>
            <c:strRef>
              <c:f>'Fuel - BIG MAP'!$AX$38</c:f>
              <c:strCache>
                <c:ptCount val="1"/>
                <c:pt idx="0">
                  <c:v>300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MAP'!$AX$39:$AX$63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ser>
          <c:idx val="28"/>
          <c:order val="28"/>
          <c:tx>
            <c:strRef>
              <c:f>'Fuel - BIG MAP'!$AY$38</c:f>
              <c:strCache>
                <c:ptCount val="1"/>
                <c:pt idx="0">
                  <c:v>310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MAP'!$AY$39:$AY$63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ser>
          <c:idx val="29"/>
          <c:order val="29"/>
          <c:tx>
            <c:strRef>
              <c:f>'Fuel - BIG MAP'!$AZ$38</c:f>
              <c:strCache>
                <c:ptCount val="1"/>
                <c:pt idx="0">
                  <c:v>320</c:v>
                </c:pt>
              </c:strCache>
            </c:strRef>
          </c:tx>
          <c:cat>
            <c:numRef>
              <c:f>'Fuel - BIG MAP'!$V$39:$V$63</c:f>
              <c:numCache>
                <c:formatCode>General</c:formatCode>
                <c:ptCount val="25"/>
                <c:pt idx="0">
                  <c:v>500</c:v>
                </c:pt>
                <c:pt idx="1">
                  <c:v>1000</c:v>
                </c:pt>
                <c:pt idx="2">
                  <c:v>1250</c:v>
                </c:pt>
                <c:pt idx="3">
                  <c:v>1500</c:v>
                </c:pt>
                <c:pt idx="4">
                  <c:v>2000</c:v>
                </c:pt>
                <c:pt idx="5">
                  <c:v>2500</c:v>
                </c:pt>
                <c:pt idx="6">
                  <c:v>2750</c:v>
                </c:pt>
                <c:pt idx="7">
                  <c:v>3000</c:v>
                </c:pt>
                <c:pt idx="8">
                  <c:v>3250</c:v>
                </c:pt>
                <c:pt idx="9">
                  <c:v>3500</c:v>
                </c:pt>
                <c:pt idx="10">
                  <c:v>3750</c:v>
                </c:pt>
                <c:pt idx="11">
                  <c:v>4000</c:v>
                </c:pt>
                <c:pt idx="12">
                  <c:v>4250</c:v>
                </c:pt>
                <c:pt idx="13">
                  <c:v>4500</c:v>
                </c:pt>
                <c:pt idx="14">
                  <c:v>4750</c:v>
                </c:pt>
                <c:pt idx="15">
                  <c:v>5000</c:v>
                </c:pt>
                <c:pt idx="16">
                  <c:v>5250</c:v>
                </c:pt>
                <c:pt idx="17">
                  <c:v>5500</c:v>
                </c:pt>
                <c:pt idx="18">
                  <c:v>5750</c:v>
                </c:pt>
                <c:pt idx="19">
                  <c:v>6000</c:v>
                </c:pt>
                <c:pt idx="20">
                  <c:v>6250</c:v>
                </c:pt>
                <c:pt idx="21">
                  <c:v>6500</c:v>
                </c:pt>
                <c:pt idx="22">
                  <c:v>6750</c:v>
                </c:pt>
                <c:pt idx="23">
                  <c:v>7000</c:v>
                </c:pt>
                <c:pt idx="24">
                  <c:v>7500</c:v>
                </c:pt>
              </c:numCache>
            </c:numRef>
          </c:cat>
          <c:val>
            <c:numRef>
              <c:f>'Fuel - BIG MAP'!$AZ$39:$AZ$63</c:f>
              <c:numCache>
                <c:formatCode>0.00</c:formatCode>
                <c:ptCount val="25"/>
                <c:pt idx="0">
                  <c:v>12.1394</c:v>
                </c:pt>
                <c:pt idx="1">
                  <c:v>12.061500000000001</c:v>
                </c:pt>
                <c:pt idx="2">
                  <c:v>11.76</c:v>
                </c:pt>
                <c:pt idx="3">
                  <c:v>11.403600000000001</c:v>
                </c:pt>
                <c:pt idx="4">
                  <c:v>11.2</c:v>
                </c:pt>
                <c:pt idx="5">
                  <c:v>10.939500000000001</c:v>
                </c:pt>
                <c:pt idx="6">
                  <c:v>10.752000000000001</c:v>
                </c:pt>
                <c:pt idx="7">
                  <c:v>10.5708</c:v>
                </c:pt>
                <c:pt idx="8">
                  <c:v>10.4533</c:v>
                </c:pt>
                <c:pt idx="9">
                  <c:v>10.4533</c:v>
                </c:pt>
                <c:pt idx="10">
                  <c:v>10.3956</c:v>
                </c:pt>
                <c:pt idx="11">
                  <c:v>10.3385</c:v>
                </c:pt>
                <c:pt idx="12">
                  <c:v>10.226100000000001</c:v>
                </c:pt>
                <c:pt idx="13">
                  <c:v>10.1708</c:v>
                </c:pt>
                <c:pt idx="14">
                  <c:v>10.1708</c:v>
                </c:pt>
                <c:pt idx="15">
                  <c:v>10.1708</c:v>
                </c:pt>
                <c:pt idx="16">
                  <c:v>10.3385</c:v>
                </c:pt>
                <c:pt idx="17">
                  <c:v>10.3385</c:v>
                </c:pt>
                <c:pt idx="18">
                  <c:v>10.282</c:v>
                </c:pt>
                <c:pt idx="19">
                  <c:v>10.3385</c:v>
                </c:pt>
                <c:pt idx="20">
                  <c:v>10.3956</c:v>
                </c:pt>
                <c:pt idx="21">
                  <c:v>10.511699999999999</c:v>
                </c:pt>
                <c:pt idx="22">
                  <c:v>10.6305</c:v>
                </c:pt>
                <c:pt idx="23">
                  <c:v>10.752000000000001</c:v>
                </c:pt>
                <c:pt idx="24">
                  <c:v>10.752000000000001</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s>
        <c:axId val="87629824"/>
        <c:axId val="87631744"/>
        <c:axId val="87570176"/>
      </c:surface3DChart>
      <c:catAx>
        <c:axId val="87629824"/>
        <c:scaling>
          <c:orientation val="maxMin"/>
        </c:scaling>
        <c:axPos val="b"/>
        <c:title>
          <c:tx>
            <c:rich>
              <a:bodyPr/>
              <a:lstStyle/>
              <a:p>
                <a:pPr>
                  <a:defRPr sz="1200" b="1" i="0" u="none" strike="noStrike" baseline="0">
                    <a:solidFill>
                      <a:srgbClr val="000000"/>
                    </a:solidFill>
                    <a:latin typeface="Arial"/>
                    <a:ea typeface="Arial"/>
                    <a:cs typeface="Arial"/>
                  </a:defRPr>
                </a:pPr>
                <a:r>
                  <a:rPr lang="en-US"/>
                  <a:t>RPM</a:t>
                </a:r>
              </a:p>
            </c:rich>
          </c:tx>
          <c:layout>
            <c:manualLayout>
              <c:xMode val="edge"/>
              <c:yMode val="edge"/>
              <c:x val="0.5219505486377285"/>
              <c:y val="0.95330746268595612"/>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87631744"/>
        <c:crosses val="autoZero"/>
        <c:auto val="1"/>
        <c:lblAlgn val="ctr"/>
        <c:lblOffset val="100"/>
        <c:tickLblSkip val="1"/>
        <c:tickMarkSkip val="1"/>
        <c:noMultiLvlLbl val="1"/>
      </c:catAx>
      <c:valAx>
        <c:axId val="87631744"/>
        <c:scaling>
          <c:orientation val="minMax"/>
          <c:max val="15"/>
          <c:min val="8"/>
        </c:scaling>
        <c:axPos val="r"/>
        <c:majorGridlines>
          <c:spPr>
            <a:ln w="3175">
              <a:solidFill>
                <a:srgbClr val="000000"/>
              </a:solidFill>
              <a:prstDash val="solid"/>
            </a:ln>
          </c:spPr>
        </c:majorGridlines>
        <c:title>
          <c:tx>
            <c:rich>
              <a:bodyPr rot="0" vert="horz"/>
              <a:lstStyle/>
              <a:p>
                <a:pPr algn="ctr">
                  <a:defRPr sz="1200" b="1" i="0" u="none" strike="noStrike" baseline="0">
                    <a:solidFill>
                      <a:srgbClr val="000000"/>
                    </a:solidFill>
                    <a:latin typeface="Arial"/>
                    <a:ea typeface="Arial"/>
                    <a:cs typeface="Arial"/>
                  </a:defRPr>
                </a:pPr>
                <a:r>
                  <a:rPr lang="en-US"/>
                  <a:t>Trim</a:t>
                </a:r>
              </a:p>
            </c:rich>
          </c:tx>
          <c:layout>
            <c:manualLayout>
              <c:xMode val="edge"/>
              <c:yMode val="edge"/>
              <c:x val="0.94070061027663343"/>
              <c:y val="0.45845687596018364"/>
            </c:manualLayout>
          </c:layout>
          <c:spPr>
            <a:noFill/>
            <a:ln w="25400">
              <a:noFill/>
            </a:ln>
          </c:spPr>
        </c:title>
        <c:numFmt formatCode="0.00" sourceLinked="1"/>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7629824"/>
        <c:crosses val="min"/>
        <c:crossBetween val="midCat"/>
        <c:majorUnit val="0.25"/>
        <c:minorUnit val="0.1"/>
      </c:valAx>
      <c:serAx>
        <c:axId val="87570176"/>
        <c:scaling>
          <c:orientation val="maxMin"/>
        </c:scaling>
        <c:axPos val="b"/>
        <c:title>
          <c:tx>
            <c:rich>
              <a:bodyPr/>
              <a:lstStyle/>
              <a:p>
                <a:pPr>
                  <a:defRPr sz="1200" b="1" i="0" u="none" strike="noStrike" baseline="0">
                    <a:solidFill>
                      <a:srgbClr val="000000"/>
                    </a:solidFill>
                    <a:latin typeface="Arial"/>
                    <a:ea typeface="Arial"/>
                    <a:cs typeface="Arial"/>
                  </a:defRPr>
                </a:pPr>
                <a:r>
                  <a:rPr lang="en-US"/>
                  <a:t>Load</a:t>
                </a:r>
              </a:p>
            </c:rich>
          </c:tx>
          <c:layout>
            <c:manualLayout>
              <c:xMode val="edge"/>
              <c:yMode val="edge"/>
              <c:x val="2.3040324469360843E-2"/>
              <c:y val="0.83675967429471099"/>
            </c:manualLayout>
          </c:layout>
          <c:spPr>
            <a:noFill/>
            <a:ln w="25400">
              <a:noFill/>
            </a:ln>
          </c:spPr>
        </c:title>
        <c:numFmt formatCode="General" sourceLinked="1"/>
        <c:tickLblPos val="low"/>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7631744"/>
        <c:crosses val="autoZero"/>
        <c:tickLblSkip val="10"/>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0"/>
      <c:depthPercent val="100"/>
      <c:perspective val="0"/>
    </c:view3D>
    <c:floor>
      <c:spPr>
        <a:noFill/>
        <a:ln w="9525">
          <a:noFill/>
        </a:ln>
      </c:spPr>
    </c:floor>
    <c:sideWall>
      <c:spPr>
        <a:noFill/>
        <a:ln w="25400">
          <a:noFill/>
        </a:ln>
      </c:spPr>
    </c:sideWall>
    <c:backWall>
      <c:spPr>
        <a:noFill/>
        <a:ln w="25400">
          <a:noFill/>
        </a:ln>
      </c:spPr>
    </c:backWall>
    <c:plotArea>
      <c:layout>
        <c:manualLayout>
          <c:layoutTarget val="inner"/>
          <c:xMode val="edge"/>
          <c:yMode val="edge"/>
          <c:x val="3.4355833901789319E-2"/>
          <c:y val="1.6606934783376302E-2"/>
          <c:w val="0.84976871632646578"/>
          <c:h val="0.8832069879703458"/>
        </c:manualLayout>
      </c:layout>
      <c:surfaceChart>
        <c:ser>
          <c:idx val="0"/>
          <c:order val="0"/>
          <c:tx>
            <c:strRef>
              <c:f>'Timing - BIG MAP'!$AA$6</c:f>
              <c:strCache>
                <c:ptCount val="1"/>
                <c:pt idx="0">
                  <c:v>500</c:v>
                </c:pt>
              </c:strCache>
            </c:strRef>
          </c:tx>
          <c:spPr>
            <a:solidFill>
              <a:srgbClr val="9999FF"/>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MAP'!$AB$6:$BE$6</c:f>
              <c:numCache>
                <c:formatCode>0</c:formatCode>
                <c:ptCount val="30"/>
                <c:pt idx="0">
                  <c:v>13</c:v>
                </c:pt>
                <c:pt idx="1">
                  <c:v>13</c:v>
                </c:pt>
                <c:pt idx="2">
                  <c:v>13</c:v>
                </c:pt>
                <c:pt idx="3">
                  <c:v>13</c:v>
                </c:pt>
                <c:pt idx="4">
                  <c:v>12</c:v>
                </c:pt>
                <c:pt idx="5">
                  <c:v>12</c:v>
                </c:pt>
                <c:pt idx="6">
                  <c:v>12</c:v>
                </c:pt>
                <c:pt idx="7">
                  <c:v>11</c:v>
                </c:pt>
                <c:pt idx="8">
                  <c:v>10</c:v>
                </c:pt>
                <c:pt idx="9">
                  <c:v>9</c:v>
                </c:pt>
                <c:pt idx="10">
                  <c:v>6</c:v>
                </c:pt>
                <c:pt idx="11">
                  <c:v>4</c:v>
                </c:pt>
                <c:pt idx="12">
                  <c:v>3</c:v>
                </c:pt>
                <c:pt idx="13">
                  <c:v>2</c:v>
                </c:pt>
                <c:pt idx="14">
                  <c:v>2</c:v>
                </c:pt>
                <c:pt idx="15">
                  <c:v>2</c:v>
                </c:pt>
                <c:pt idx="16">
                  <c:v>1</c:v>
                </c:pt>
                <c:pt idx="17">
                  <c:v>0</c:v>
                </c:pt>
                <c:pt idx="18">
                  <c:v>-2</c:v>
                </c:pt>
                <c:pt idx="19">
                  <c:v>-3</c:v>
                </c:pt>
                <c:pt idx="20">
                  <c:v>-5</c:v>
                </c:pt>
                <c:pt idx="21">
                  <c:v>-6</c:v>
                </c:pt>
                <c:pt idx="22">
                  <c:v>-7</c:v>
                </c:pt>
                <c:pt idx="23">
                  <c:v>-7</c:v>
                </c:pt>
                <c:pt idx="24">
                  <c:v>-7</c:v>
                </c:pt>
                <c:pt idx="25">
                  <c:v>-7</c:v>
                </c:pt>
                <c:pt idx="26">
                  <c:v>-7</c:v>
                </c:pt>
                <c:pt idx="27">
                  <c:v>-7</c:v>
                </c:pt>
                <c:pt idx="28">
                  <c:v>-7</c:v>
                </c:pt>
                <c:pt idx="29">
                  <c:v>-7</c:v>
                </c:pt>
              </c:numCache>
            </c:numRef>
          </c:val>
        </c:ser>
        <c:ser>
          <c:idx val="1"/>
          <c:order val="1"/>
          <c:tx>
            <c:strRef>
              <c:f>'Timing - BIG MAP'!$AA$7</c:f>
              <c:strCache>
                <c:ptCount val="1"/>
                <c:pt idx="0">
                  <c:v>1000</c:v>
                </c:pt>
              </c:strCache>
            </c:strRef>
          </c:tx>
          <c:spPr>
            <a:solidFill>
              <a:srgbClr val="993366"/>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MAP'!$AB$7:$BE$7</c:f>
              <c:numCache>
                <c:formatCode>0</c:formatCode>
                <c:ptCount val="30"/>
                <c:pt idx="0">
                  <c:v>13</c:v>
                </c:pt>
                <c:pt idx="1">
                  <c:v>13</c:v>
                </c:pt>
                <c:pt idx="2">
                  <c:v>13</c:v>
                </c:pt>
                <c:pt idx="3">
                  <c:v>13</c:v>
                </c:pt>
                <c:pt idx="4">
                  <c:v>13</c:v>
                </c:pt>
                <c:pt idx="5">
                  <c:v>13</c:v>
                </c:pt>
                <c:pt idx="6">
                  <c:v>13</c:v>
                </c:pt>
                <c:pt idx="7">
                  <c:v>12</c:v>
                </c:pt>
                <c:pt idx="8">
                  <c:v>11</c:v>
                </c:pt>
                <c:pt idx="9">
                  <c:v>10</c:v>
                </c:pt>
                <c:pt idx="10">
                  <c:v>7</c:v>
                </c:pt>
                <c:pt idx="11">
                  <c:v>5</c:v>
                </c:pt>
                <c:pt idx="12">
                  <c:v>4</c:v>
                </c:pt>
                <c:pt idx="13">
                  <c:v>3</c:v>
                </c:pt>
                <c:pt idx="14">
                  <c:v>3</c:v>
                </c:pt>
                <c:pt idx="15">
                  <c:v>3</c:v>
                </c:pt>
                <c:pt idx="16">
                  <c:v>2</c:v>
                </c:pt>
                <c:pt idx="17">
                  <c:v>0</c:v>
                </c:pt>
                <c:pt idx="18">
                  <c:v>-1</c:v>
                </c:pt>
                <c:pt idx="19">
                  <c:v>-2</c:v>
                </c:pt>
                <c:pt idx="20">
                  <c:v>-4</c:v>
                </c:pt>
                <c:pt idx="21">
                  <c:v>-5</c:v>
                </c:pt>
                <c:pt idx="22">
                  <c:v>-6</c:v>
                </c:pt>
                <c:pt idx="23">
                  <c:v>-6</c:v>
                </c:pt>
                <c:pt idx="24">
                  <c:v>-6</c:v>
                </c:pt>
                <c:pt idx="25">
                  <c:v>-6</c:v>
                </c:pt>
                <c:pt idx="26">
                  <c:v>-6</c:v>
                </c:pt>
                <c:pt idx="27">
                  <c:v>-6</c:v>
                </c:pt>
                <c:pt idx="28">
                  <c:v>-6</c:v>
                </c:pt>
                <c:pt idx="29">
                  <c:v>-6</c:v>
                </c:pt>
              </c:numCache>
            </c:numRef>
          </c:val>
        </c:ser>
        <c:ser>
          <c:idx val="2"/>
          <c:order val="2"/>
          <c:tx>
            <c:strRef>
              <c:f>'Timing - BIG MAP'!$AA$8</c:f>
              <c:strCache>
                <c:ptCount val="1"/>
                <c:pt idx="0">
                  <c:v>1250</c:v>
                </c:pt>
              </c:strCache>
            </c:strRef>
          </c:tx>
          <c:spPr>
            <a:solidFill>
              <a:srgbClr val="FFFFCC"/>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MAP'!$AB$8:$BE$8</c:f>
              <c:numCache>
                <c:formatCode>0</c:formatCode>
                <c:ptCount val="30"/>
                <c:pt idx="0">
                  <c:v>15</c:v>
                </c:pt>
                <c:pt idx="1">
                  <c:v>15</c:v>
                </c:pt>
                <c:pt idx="2">
                  <c:v>15</c:v>
                </c:pt>
                <c:pt idx="3">
                  <c:v>15</c:v>
                </c:pt>
                <c:pt idx="4">
                  <c:v>15</c:v>
                </c:pt>
                <c:pt idx="5">
                  <c:v>15</c:v>
                </c:pt>
                <c:pt idx="6">
                  <c:v>14</c:v>
                </c:pt>
                <c:pt idx="7">
                  <c:v>14</c:v>
                </c:pt>
                <c:pt idx="8">
                  <c:v>13</c:v>
                </c:pt>
                <c:pt idx="9">
                  <c:v>11</c:v>
                </c:pt>
                <c:pt idx="10">
                  <c:v>8</c:v>
                </c:pt>
                <c:pt idx="11">
                  <c:v>6</c:v>
                </c:pt>
                <c:pt idx="12">
                  <c:v>5</c:v>
                </c:pt>
                <c:pt idx="13">
                  <c:v>4</c:v>
                </c:pt>
                <c:pt idx="14">
                  <c:v>4</c:v>
                </c:pt>
                <c:pt idx="15">
                  <c:v>4</c:v>
                </c:pt>
                <c:pt idx="16">
                  <c:v>3</c:v>
                </c:pt>
                <c:pt idx="17">
                  <c:v>2</c:v>
                </c:pt>
                <c:pt idx="18">
                  <c:v>1</c:v>
                </c:pt>
                <c:pt idx="19">
                  <c:v>0</c:v>
                </c:pt>
                <c:pt idx="20">
                  <c:v>-1</c:v>
                </c:pt>
                <c:pt idx="21">
                  <c:v>-2</c:v>
                </c:pt>
                <c:pt idx="22">
                  <c:v>-2</c:v>
                </c:pt>
                <c:pt idx="23">
                  <c:v>-2</c:v>
                </c:pt>
                <c:pt idx="24">
                  <c:v>-2</c:v>
                </c:pt>
                <c:pt idx="25">
                  <c:v>-2</c:v>
                </c:pt>
                <c:pt idx="26">
                  <c:v>-2</c:v>
                </c:pt>
                <c:pt idx="27">
                  <c:v>-2</c:v>
                </c:pt>
                <c:pt idx="28">
                  <c:v>-2</c:v>
                </c:pt>
                <c:pt idx="29">
                  <c:v>-2</c:v>
                </c:pt>
              </c:numCache>
            </c:numRef>
          </c:val>
        </c:ser>
        <c:ser>
          <c:idx val="3"/>
          <c:order val="3"/>
          <c:tx>
            <c:strRef>
              <c:f>'Timing - BIG MAP'!$AA$9</c:f>
              <c:strCache>
                <c:ptCount val="1"/>
                <c:pt idx="0">
                  <c:v>1500</c:v>
                </c:pt>
              </c:strCache>
            </c:strRef>
          </c:tx>
          <c:spPr>
            <a:solidFill>
              <a:srgbClr val="CCFFFF"/>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MAP'!$AB$9:$BE$9</c:f>
              <c:numCache>
                <c:formatCode>0</c:formatCode>
                <c:ptCount val="30"/>
                <c:pt idx="0">
                  <c:v>18</c:v>
                </c:pt>
                <c:pt idx="1">
                  <c:v>18</c:v>
                </c:pt>
                <c:pt idx="2">
                  <c:v>18</c:v>
                </c:pt>
                <c:pt idx="3">
                  <c:v>18</c:v>
                </c:pt>
                <c:pt idx="4">
                  <c:v>18</c:v>
                </c:pt>
                <c:pt idx="5">
                  <c:v>18</c:v>
                </c:pt>
                <c:pt idx="6">
                  <c:v>18</c:v>
                </c:pt>
                <c:pt idx="7">
                  <c:v>17</c:v>
                </c:pt>
                <c:pt idx="8">
                  <c:v>15</c:v>
                </c:pt>
                <c:pt idx="9">
                  <c:v>13</c:v>
                </c:pt>
                <c:pt idx="10">
                  <c:v>10</c:v>
                </c:pt>
                <c:pt idx="11">
                  <c:v>8</c:v>
                </c:pt>
                <c:pt idx="12">
                  <c:v>6</c:v>
                </c:pt>
                <c:pt idx="13">
                  <c:v>6</c:v>
                </c:pt>
                <c:pt idx="14">
                  <c:v>5</c:v>
                </c:pt>
                <c:pt idx="15">
                  <c:v>5</c:v>
                </c:pt>
                <c:pt idx="16">
                  <c:v>4</c:v>
                </c:pt>
                <c:pt idx="17">
                  <c:v>3</c:v>
                </c:pt>
                <c:pt idx="18">
                  <c:v>2</c:v>
                </c:pt>
                <c:pt idx="19">
                  <c:v>1</c:v>
                </c:pt>
                <c:pt idx="20">
                  <c:v>0</c:v>
                </c:pt>
                <c:pt idx="21">
                  <c:v>-1</c:v>
                </c:pt>
                <c:pt idx="22">
                  <c:v>-1</c:v>
                </c:pt>
                <c:pt idx="23">
                  <c:v>-1</c:v>
                </c:pt>
                <c:pt idx="24">
                  <c:v>-1</c:v>
                </c:pt>
                <c:pt idx="25">
                  <c:v>-1</c:v>
                </c:pt>
                <c:pt idx="26">
                  <c:v>-1</c:v>
                </c:pt>
                <c:pt idx="27">
                  <c:v>-1</c:v>
                </c:pt>
                <c:pt idx="28">
                  <c:v>-1</c:v>
                </c:pt>
                <c:pt idx="29">
                  <c:v>-1</c:v>
                </c:pt>
              </c:numCache>
            </c:numRef>
          </c:val>
        </c:ser>
        <c:ser>
          <c:idx val="4"/>
          <c:order val="4"/>
          <c:tx>
            <c:strRef>
              <c:f>'Timing - BIG MAP'!$AA$10</c:f>
              <c:strCache>
                <c:ptCount val="1"/>
                <c:pt idx="0">
                  <c:v>2000</c:v>
                </c:pt>
              </c:strCache>
            </c:strRef>
          </c:tx>
          <c:spPr>
            <a:solidFill>
              <a:srgbClr val="660066"/>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MAP'!$AB$10:$BE$10</c:f>
              <c:numCache>
                <c:formatCode>0</c:formatCode>
                <c:ptCount val="30"/>
                <c:pt idx="0">
                  <c:v>29</c:v>
                </c:pt>
                <c:pt idx="1">
                  <c:v>29</c:v>
                </c:pt>
                <c:pt idx="2">
                  <c:v>29</c:v>
                </c:pt>
                <c:pt idx="3">
                  <c:v>28</c:v>
                </c:pt>
                <c:pt idx="4">
                  <c:v>27</c:v>
                </c:pt>
                <c:pt idx="5">
                  <c:v>26</c:v>
                </c:pt>
                <c:pt idx="6">
                  <c:v>25</c:v>
                </c:pt>
                <c:pt idx="7">
                  <c:v>23</c:v>
                </c:pt>
                <c:pt idx="8">
                  <c:v>19</c:v>
                </c:pt>
                <c:pt idx="9">
                  <c:v>16</c:v>
                </c:pt>
                <c:pt idx="10">
                  <c:v>13</c:v>
                </c:pt>
                <c:pt idx="11">
                  <c:v>10</c:v>
                </c:pt>
                <c:pt idx="12">
                  <c:v>8</c:v>
                </c:pt>
                <c:pt idx="13">
                  <c:v>7</c:v>
                </c:pt>
                <c:pt idx="14">
                  <c:v>6</c:v>
                </c:pt>
                <c:pt idx="15">
                  <c:v>5</c:v>
                </c:pt>
                <c:pt idx="16">
                  <c:v>4</c:v>
                </c:pt>
                <c:pt idx="17">
                  <c:v>4</c:v>
                </c:pt>
                <c:pt idx="18">
                  <c:v>3</c:v>
                </c:pt>
                <c:pt idx="19">
                  <c:v>3</c:v>
                </c:pt>
                <c:pt idx="20">
                  <c:v>2</c:v>
                </c:pt>
                <c:pt idx="21">
                  <c:v>0</c:v>
                </c:pt>
                <c:pt idx="22">
                  <c:v>0</c:v>
                </c:pt>
                <c:pt idx="23">
                  <c:v>0</c:v>
                </c:pt>
                <c:pt idx="24">
                  <c:v>-1</c:v>
                </c:pt>
                <c:pt idx="25">
                  <c:v>-1</c:v>
                </c:pt>
                <c:pt idx="26">
                  <c:v>-1</c:v>
                </c:pt>
                <c:pt idx="27">
                  <c:v>-1</c:v>
                </c:pt>
                <c:pt idx="28">
                  <c:v>-1</c:v>
                </c:pt>
                <c:pt idx="29">
                  <c:v>-1</c:v>
                </c:pt>
              </c:numCache>
            </c:numRef>
          </c:val>
        </c:ser>
        <c:ser>
          <c:idx val="5"/>
          <c:order val="5"/>
          <c:tx>
            <c:strRef>
              <c:f>'Timing - BIG MAP'!$AA$11</c:f>
              <c:strCache>
                <c:ptCount val="1"/>
                <c:pt idx="0">
                  <c:v>2500</c:v>
                </c:pt>
              </c:strCache>
            </c:strRef>
          </c:tx>
          <c:spPr>
            <a:solidFill>
              <a:srgbClr val="FF8080"/>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MAP'!$AB$11:$BE$11</c:f>
              <c:numCache>
                <c:formatCode>0</c:formatCode>
                <c:ptCount val="30"/>
                <c:pt idx="0">
                  <c:v>33</c:v>
                </c:pt>
                <c:pt idx="1">
                  <c:v>33</c:v>
                </c:pt>
                <c:pt idx="2">
                  <c:v>33</c:v>
                </c:pt>
                <c:pt idx="3">
                  <c:v>31</c:v>
                </c:pt>
                <c:pt idx="4">
                  <c:v>30</c:v>
                </c:pt>
                <c:pt idx="5">
                  <c:v>29</c:v>
                </c:pt>
                <c:pt idx="6">
                  <c:v>27</c:v>
                </c:pt>
                <c:pt idx="7">
                  <c:v>25</c:v>
                </c:pt>
                <c:pt idx="8">
                  <c:v>21</c:v>
                </c:pt>
                <c:pt idx="9">
                  <c:v>18</c:v>
                </c:pt>
                <c:pt idx="10">
                  <c:v>15</c:v>
                </c:pt>
                <c:pt idx="11">
                  <c:v>12</c:v>
                </c:pt>
                <c:pt idx="12">
                  <c:v>9</c:v>
                </c:pt>
                <c:pt idx="13">
                  <c:v>8</c:v>
                </c:pt>
                <c:pt idx="14">
                  <c:v>6</c:v>
                </c:pt>
                <c:pt idx="15">
                  <c:v>6</c:v>
                </c:pt>
                <c:pt idx="16">
                  <c:v>5</c:v>
                </c:pt>
                <c:pt idx="17">
                  <c:v>5</c:v>
                </c:pt>
                <c:pt idx="18">
                  <c:v>4</c:v>
                </c:pt>
                <c:pt idx="19">
                  <c:v>3</c:v>
                </c:pt>
                <c:pt idx="20">
                  <c:v>2</c:v>
                </c:pt>
                <c:pt idx="21">
                  <c:v>1</c:v>
                </c:pt>
                <c:pt idx="22">
                  <c:v>1</c:v>
                </c:pt>
                <c:pt idx="23">
                  <c:v>0</c:v>
                </c:pt>
                <c:pt idx="24">
                  <c:v>0</c:v>
                </c:pt>
                <c:pt idx="25">
                  <c:v>-1</c:v>
                </c:pt>
                <c:pt idx="26">
                  <c:v>-1</c:v>
                </c:pt>
                <c:pt idx="27">
                  <c:v>-1</c:v>
                </c:pt>
                <c:pt idx="28">
                  <c:v>-1</c:v>
                </c:pt>
                <c:pt idx="29">
                  <c:v>-1</c:v>
                </c:pt>
              </c:numCache>
            </c:numRef>
          </c:val>
        </c:ser>
        <c:ser>
          <c:idx val="6"/>
          <c:order val="6"/>
          <c:tx>
            <c:strRef>
              <c:f>'Timing - BIG MAP'!$AA$12</c:f>
              <c:strCache>
                <c:ptCount val="1"/>
                <c:pt idx="0">
                  <c:v>2750</c:v>
                </c:pt>
              </c:strCache>
            </c:strRef>
          </c:tx>
          <c:spPr>
            <a:solidFill>
              <a:srgbClr val="0066CC"/>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MAP'!$AB$12:$BE$12</c:f>
              <c:numCache>
                <c:formatCode>0</c:formatCode>
                <c:ptCount val="30"/>
                <c:pt idx="0">
                  <c:v>35</c:v>
                </c:pt>
                <c:pt idx="1">
                  <c:v>35</c:v>
                </c:pt>
                <c:pt idx="2">
                  <c:v>34</c:v>
                </c:pt>
                <c:pt idx="3">
                  <c:v>33</c:v>
                </c:pt>
                <c:pt idx="4">
                  <c:v>32</c:v>
                </c:pt>
                <c:pt idx="5">
                  <c:v>31</c:v>
                </c:pt>
                <c:pt idx="6">
                  <c:v>29</c:v>
                </c:pt>
                <c:pt idx="7">
                  <c:v>27</c:v>
                </c:pt>
                <c:pt idx="8">
                  <c:v>24</c:v>
                </c:pt>
                <c:pt idx="9">
                  <c:v>21</c:v>
                </c:pt>
                <c:pt idx="10">
                  <c:v>17</c:v>
                </c:pt>
                <c:pt idx="11">
                  <c:v>14</c:v>
                </c:pt>
                <c:pt idx="12">
                  <c:v>11</c:v>
                </c:pt>
                <c:pt idx="13">
                  <c:v>9</c:v>
                </c:pt>
                <c:pt idx="14">
                  <c:v>7</c:v>
                </c:pt>
                <c:pt idx="15">
                  <c:v>7</c:v>
                </c:pt>
                <c:pt idx="16">
                  <c:v>6</c:v>
                </c:pt>
                <c:pt idx="17">
                  <c:v>6</c:v>
                </c:pt>
                <c:pt idx="18">
                  <c:v>5</c:v>
                </c:pt>
                <c:pt idx="19">
                  <c:v>4</c:v>
                </c:pt>
                <c:pt idx="20">
                  <c:v>3</c:v>
                </c:pt>
                <c:pt idx="21">
                  <c:v>3</c:v>
                </c:pt>
                <c:pt idx="22">
                  <c:v>2</c:v>
                </c:pt>
                <c:pt idx="23">
                  <c:v>1</c:v>
                </c:pt>
                <c:pt idx="24">
                  <c:v>1</c:v>
                </c:pt>
                <c:pt idx="25">
                  <c:v>1</c:v>
                </c:pt>
                <c:pt idx="26">
                  <c:v>0</c:v>
                </c:pt>
                <c:pt idx="27">
                  <c:v>0</c:v>
                </c:pt>
                <c:pt idx="28">
                  <c:v>0</c:v>
                </c:pt>
                <c:pt idx="29">
                  <c:v>0</c:v>
                </c:pt>
              </c:numCache>
            </c:numRef>
          </c:val>
        </c:ser>
        <c:ser>
          <c:idx val="7"/>
          <c:order val="7"/>
          <c:tx>
            <c:strRef>
              <c:f>'Timing - BIG MAP'!$AA$13</c:f>
              <c:strCache>
                <c:ptCount val="1"/>
                <c:pt idx="0">
                  <c:v>3000</c:v>
                </c:pt>
              </c:strCache>
            </c:strRef>
          </c:tx>
          <c:spPr>
            <a:solidFill>
              <a:srgbClr val="CCCCFF"/>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MAP'!$AB$13:$BE$13</c:f>
              <c:numCache>
                <c:formatCode>0</c:formatCode>
                <c:ptCount val="30"/>
                <c:pt idx="0">
                  <c:v>36</c:v>
                </c:pt>
                <c:pt idx="1">
                  <c:v>36</c:v>
                </c:pt>
                <c:pt idx="2">
                  <c:v>36</c:v>
                </c:pt>
                <c:pt idx="3">
                  <c:v>35</c:v>
                </c:pt>
                <c:pt idx="4">
                  <c:v>34</c:v>
                </c:pt>
                <c:pt idx="5">
                  <c:v>33</c:v>
                </c:pt>
                <c:pt idx="6">
                  <c:v>31</c:v>
                </c:pt>
                <c:pt idx="7">
                  <c:v>29</c:v>
                </c:pt>
                <c:pt idx="8">
                  <c:v>26</c:v>
                </c:pt>
                <c:pt idx="9">
                  <c:v>23</c:v>
                </c:pt>
                <c:pt idx="10">
                  <c:v>19</c:v>
                </c:pt>
                <c:pt idx="11">
                  <c:v>15</c:v>
                </c:pt>
                <c:pt idx="12">
                  <c:v>12</c:v>
                </c:pt>
                <c:pt idx="13">
                  <c:v>10</c:v>
                </c:pt>
                <c:pt idx="14">
                  <c:v>8</c:v>
                </c:pt>
                <c:pt idx="15">
                  <c:v>8</c:v>
                </c:pt>
                <c:pt idx="16">
                  <c:v>7</c:v>
                </c:pt>
                <c:pt idx="17">
                  <c:v>6</c:v>
                </c:pt>
                <c:pt idx="18">
                  <c:v>6</c:v>
                </c:pt>
                <c:pt idx="19">
                  <c:v>5</c:v>
                </c:pt>
                <c:pt idx="20">
                  <c:v>4</c:v>
                </c:pt>
                <c:pt idx="21">
                  <c:v>4</c:v>
                </c:pt>
                <c:pt idx="22">
                  <c:v>3</c:v>
                </c:pt>
                <c:pt idx="23">
                  <c:v>2</c:v>
                </c:pt>
                <c:pt idx="24">
                  <c:v>2</c:v>
                </c:pt>
                <c:pt idx="25">
                  <c:v>1</c:v>
                </c:pt>
                <c:pt idx="26">
                  <c:v>1</c:v>
                </c:pt>
                <c:pt idx="27">
                  <c:v>1</c:v>
                </c:pt>
                <c:pt idx="28">
                  <c:v>1</c:v>
                </c:pt>
                <c:pt idx="29">
                  <c:v>1</c:v>
                </c:pt>
              </c:numCache>
            </c:numRef>
          </c:val>
        </c:ser>
        <c:ser>
          <c:idx val="8"/>
          <c:order val="8"/>
          <c:tx>
            <c:strRef>
              <c:f>'Timing - BIG MAP'!$AA$14</c:f>
              <c:strCache>
                <c:ptCount val="1"/>
                <c:pt idx="0">
                  <c:v>3250</c:v>
                </c:pt>
              </c:strCache>
            </c:strRef>
          </c:tx>
          <c:spPr>
            <a:solidFill>
              <a:srgbClr val="000080"/>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MAP'!$AB$14:$BE$14</c:f>
              <c:numCache>
                <c:formatCode>0</c:formatCode>
                <c:ptCount val="30"/>
                <c:pt idx="0">
                  <c:v>37</c:v>
                </c:pt>
                <c:pt idx="1">
                  <c:v>37</c:v>
                </c:pt>
                <c:pt idx="2">
                  <c:v>37</c:v>
                </c:pt>
                <c:pt idx="3">
                  <c:v>36</c:v>
                </c:pt>
                <c:pt idx="4">
                  <c:v>35</c:v>
                </c:pt>
                <c:pt idx="5">
                  <c:v>34</c:v>
                </c:pt>
                <c:pt idx="6">
                  <c:v>32</c:v>
                </c:pt>
                <c:pt idx="7">
                  <c:v>30</c:v>
                </c:pt>
                <c:pt idx="8">
                  <c:v>27</c:v>
                </c:pt>
                <c:pt idx="9">
                  <c:v>24</c:v>
                </c:pt>
                <c:pt idx="10">
                  <c:v>20</c:v>
                </c:pt>
                <c:pt idx="11">
                  <c:v>16</c:v>
                </c:pt>
                <c:pt idx="12">
                  <c:v>13</c:v>
                </c:pt>
                <c:pt idx="13">
                  <c:v>11</c:v>
                </c:pt>
                <c:pt idx="14">
                  <c:v>9</c:v>
                </c:pt>
                <c:pt idx="15">
                  <c:v>8</c:v>
                </c:pt>
                <c:pt idx="16">
                  <c:v>7</c:v>
                </c:pt>
                <c:pt idx="17">
                  <c:v>7</c:v>
                </c:pt>
                <c:pt idx="18">
                  <c:v>6</c:v>
                </c:pt>
                <c:pt idx="19">
                  <c:v>5</c:v>
                </c:pt>
                <c:pt idx="20">
                  <c:v>5</c:v>
                </c:pt>
                <c:pt idx="21">
                  <c:v>4</c:v>
                </c:pt>
                <c:pt idx="22">
                  <c:v>3</c:v>
                </c:pt>
                <c:pt idx="23">
                  <c:v>3</c:v>
                </c:pt>
                <c:pt idx="24">
                  <c:v>2</c:v>
                </c:pt>
                <c:pt idx="25">
                  <c:v>2</c:v>
                </c:pt>
                <c:pt idx="26">
                  <c:v>2</c:v>
                </c:pt>
                <c:pt idx="27">
                  <c:v>2</c:v>
                </c:pt>
                <c:pt idx="28">
                  <c:v>2</c:v>
                </c:pt>
                <c:pt idx="29">
                  <c:v>2</c:v>
                </c:pt>
              </c:numCache>
            </c:numRef>
          </c:val>
        </c:ser>
        <c:ser>
          <c:idx val="9"/>
          <c:order val="9"/>
          <c:tx>
            <c:strRef>
              <c:f>'Timing - BIG MAP'!$AA$15</c:f>
              <c:strCache>
                <c:ptCount val="1"/>
                <c:pt idx="0">
                  <c:v>3500</c:v>
                </c:pt>
              </c:strCache>
            </c:strRef>
          </c:tx>
          <c:spPr>
            <a:solidFill>
              <a:srgbClr val="FF00FF"/>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MAP'!$AB$15:$BE$15</c:f>
              <c:numCache>
                <c:formatCode>0</c:formatCode>
                <c:ptCount val="30"/>
                <c:pt idx="0">
                  <c:v>38</c:v>
                </c:pt>
                <c:pt idx="1">
                  <c:v>38</c:v>
                </c:pt>
                <c:pt idx="2">
                  <c:v>38</c:v>
                </c:pt>
                <c:pt idx="3">
                  <c:v>37</c:v>
                </c:pt>
                <c:pt idx="4">
                  <c:v>36</c:v>
                </c:pt>
                <c:pt idx="5">
                  <c:v>34</c:v>
                </c:pt>
                <c:pt idx="6">
                  <c:v>33</c:v>
                </c:pt>
                <c:pt idx="7">
                  <c:v>31</c:v>
                </c:pt>
                <c:pt idx="8">
                  <c:v>28</c:v>
                </c:pt>
                <c:pt idx="9">
                  <c:v>25</c:v>
                </c:pt>
                <c:pt idx="10">
                  <c:v>21</c:v>
                </c:pt>
                <c:pt idx="11">
                  <c:v>17</c:v>
                </c:pt>
                <c:pt idx="12">
                  <c:v>14</c:v>
                </c:pt>
                <c:pt idx="13">
                  <c:v>12</c:v>
                </c:pt>
                <c:pt idx="14">
                  <c:v>10</c:v>
                </c:pt>
                <c:pt idx="15">
                  <c:v>8</c:v>
                </c:pt>
                <c:pt idx="16">
                  <c:v>8</c:v>
                </c:pt>
                <c:pt idx="17">
                  <c:v>7</c:v>
                </c:pt>
                <c:pt idx="18">
                  <c:v>7</c:v>
                </c:pt>
                <c:pt idx="19">
                  <c:v>6</c:v>
                </c:pt>
                <c:pt idx="20">
                  <c:v>5</c:v>
                </c:pt>
                <c:pt idx="21">
                  <c:v>4</c:v>
                </c:pt>
                <c:pt idx="22">
                  <c:v>4</c:v>
                </c:pt>
                <c:pt idx="23">
                  <c:v>3</c:v>
                </c:pt>
                <c:pt idx="24">
                  <c:v>3</c:v>
                </c:pt>
                <c:pt idx="25">
                  <c:v>3</c:v>
                </c:pt>
                <c:pt idx="26">
                  <c:v>3</c:v>
                </c:pt>
                <c:pt idx="27">
                  <c:v>3</c:v>
                </c:pt>
                <c:pt idx="28">
                  <c:v>3</c:v>
                </c:pt>
                <c:pt idx="29">
                  <c:v>3</c:v>
                </c:pt>
              </c:numCache>
            </c:numRef>
          </c:val>
        </c:ser>
        <c:ser>
          <c:idx val="10"/>
          <c:order val="10"/>
          <c:tx>
            <c:strRef>
              <c:f>'Timing - BIG MAP'!$AA$16</c:f>
              <c:strCache>
                <c:ptCount val="1"/>
                <c:pt idx="0">
                  <c:v>3750</c:v>
                </c:pt>
              </c:strCache>
            </c:strRef>
          </c:tx>
          <c:spPr>
            <a:solidFill>
              <a:srgbClr val="FFFF00"/>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MAP'!$AB$16:$BE$16</c:f>
              <c:numCache>
                <c:formatCode>0</c:formatCode>
                <c:ptCount val="30"/>
                <c:pt idx="0">
                  <c:v>38</c:v>
                </c:pt>
                <c:pt idx="1">
                  <c:v>38</c:v>
                </c:pt>
                <c:pt idx="2">
                  <c:v>38</c:v>
                </c:pt>
                <c:pt idx="3">
                  <c:v>37</c:v>
                </c:pt>
                <c:pt idx="4">
                  <c:v>36</c:v>
                </c:pt>
                <c:pt idx="5">
                  <c:v>34</c:v>
                </c:pt>
                <c:pt idx="6">
                  <c:v>33</c:v>
                </c:pt>
                <c:pt idx="7">
                  <c:v>31</c:v>
                </c:pt>
                <c:pt idx="8">
                  <c:v>29</c:v>
                </c:pt>
                <c:pt idx="9">
                  <c:v>26</c:v>
                </c:pt>
                <c:pt idx="10">
                  <c:v>21</c:v>
                </c:pt>
                <c:pt idx="11">
                  <c:v>17</c:v>
                </c:pt>
                <c:pt idx="12">
                  <c:v>14</c:v>
                </c:pt>
                <c:pt idx="13">
                  <c:v>12</c:v>
                </c:pt>
                <c:pt idx="14">
                  <c:v>10</c:v>
                </c:pt>
                <c:pt idx="15">
                  <c:v>9</c:v>
                </c:pt>
                <c:pt idx="16">
                  <c:v>8</c:v>
                </c:pt>
                <c:pt idx="17">
                  <c:v>8</c:v>
                </c:pt>
                <c:pt idx="18">
                  <c:v>7</c:v>
                </c:pt>
                <c:pt idx="19">
                  <c:v>6</c:v>
                </c:pt>
                <c:pt idx="20">
                  <c:v>5</c:v>
                </c:pt>
                <c:pt idx="21">
                  <c:v>5</c:v>
                </c:pt>
                <c:pt idx="22">
                  <c:v>4</c:v>
                </c:pt>
                <c:pt idx="23">
                  <c:v>4</c:v>
                </c:pt>
                <c:pt idx="24">
                  <c:v>3</c:v>
                </c:pt>
                <c:pt idx="25">
                  <c:v>3</c:v>
                </c:pt>
                <c:pt idx="26">
                  <c:v>3</c:v>
                </c:pt>
                <c:pt idx="27">
                  <c:v>3</c:v>
                </c:pt>
                <c:pt idx="28">
                  <c:v>3</c:v>
                </c:pt>
                <c:pt idx="29">
                  <c:v>3</c:v>
                </c:pt>
              </c:numCache>
            </c:numRef>
          </c:val>
        </c:ser>
        <c:ser>
          <c:idx val="11"/>
          <c:order val="11"/>
          <c:tx>
            <c:strRef>
              <c:f>'Timing - BIG MAP'!$AA$17</c:f>
              <c:strCache>
                <c:ptCount val="1"/>
                <c:pt idx="0">
                  <c:v>4000</c:v>
                </c:pt>
              </c:strCache>
            </c:strRef>
          </c:tx>
          <c:spPr>
            <a:solidFill>
              <a:srgbClr val="00FFFF"/>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MAP'!$AB$17:$BE$17</c:f>
              <c:numCache>
                <c:formatCode>0</c:formatCode>
                <c:ptCount val="30"/>
                <c:pt idx="0">
                  <c:v>38</c:v>
                </c:pt>
                <c:pt idx="1">
                  <c:v>38</c:v>
                </c:pt>
                <c:pt idx="2">
                  <c:v>38</c:v>
                </c:pt>
                <c:pt idx="3">
                  <c:v>38</c:v>
                </c:pt>
                <c:pt idx="4">
                  <c:v>36</c:v>
                </c:pt>
                <c:pt idx="5">
                  <c:v>35</c:v>
                </c:pt>
                <c:pt idx="6">
                  <c:v>33</c:v>
                </c:pt>
                <c:pt idx="7">
                  <c:v>32</c:v>
                </c:pt>
                <c:pt idx="8">
                  <c:v>30</c:v>
                </c:pt>
                <c:pt idx="9">
                  <c:v>27</c:v>
                </c:pt>
                <c:pt idx="10">
                  <c:v>22</c:v>
                </c:pt>
                <c:pt idx="11">
                  <c:v>17</c:v>
                </c:pt>
                <c:pt idx="12">
                  <c:v>15</c:v>
                </c:pt>
                <c:pt idx="13">
                  <c:v>12</c:v>
                </c:pt>
                <c:pt idx="14">
                  <c:v>11</c:v>
                </c:pt>
                <c:pt idx="15">
                  <c:v>10</c:v>
                </c:pt>
                <c:pt idx="16">
                  <c:v>9</c:v>
                </c:pt>
                <c:pt idx="17">
                  <c:v>8</c:v>
                </c:pt>
                <c:pt idx="18">
                  <c:v>8</c:v>
                </c:pt>
                <c:pt idx="19">
                  <c:v>7</c:v>
                </c:pt>
                <c:pt idx="20">
                  <c:v>6</c:v>
                </c:pt>
                <c:pt idx="21">
                  <c:v>5</c:v>
                </c:pt>
                <c:pt idx="22">
                  <c:v>5</c:v>
                </c:pt>
                <c:pt idx="23">
                  <c:v>4</c:v>
                </c:pt>
                <c:pt idx="24">
                  <c:v>4</c:v>
                </c:pt>
                <c:pt idx="25">
                  <c:v>3</c:v>
                </c:pt>
                <c:pt idx="26">
                  <c:v>3</c:v>
                </c:pt>
                <c:pt idx="27">
                  <c:v>3</c:v>
                </c:pt>
                <c:pt idx="28">
                  <c:v>3</c:v>
                </c:pt>
                <c:pt idx="29">
                  <c:v>3</c:v>
                </c:pt>
              </c:numCache>
            </c:numRef>
          </c:val>
        </c:ser>
        <c:ser>
          <c:idx val="12"/>
          <c:order val="12"/>
          <c:tx>
            <c:strRef>
              <c:f>'Timing - BIG MAP'!$AA$18</c:f>
              <c:strCache>
                <c:ptCount val="1"/>
                <c:pt idx="0">
                  <c:v>4250</c:v>
                </c:pt>
              </c:strCache>
            </c:strRef>
          </c:tx>
          <c:spPr>
            <a:solidFill>
              <a:srgbClr val="800080"/>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MAP'!$AB$18:$BE$18</c:f>
              <c:numCache>
                <c:formatCode>0</c:formatCode>
                <c:ptCount val="30"/>
                <c:pt idx="0">
                  <c:v>38</c:v>
                </c:pt>
                <c:pt idx="1">
                  <c:v>38</c:v>
                </c:pt>
                <c:pt idx="2">
                  <c:v>38</c:v>
                </c:pt>
                <c:pt idx="3">
                  <c:v>38</c:v>
                </c:pt>
                <c:pt idx="4">
                  <c:v>37</c:v>
                </c:pt>
                <c:pt idx="5">
                  <c:v>35</c:v>
                </c:pt>
                <c:pt idx="6">
                  <c:v>33</c:v>
                </c:pt>
                <c:pt idx="7">
                  <c:v>32</c:v>
                </c:pt>
                <c:pt idx="8">
                  <c:v>31</c:v>
                </c:pt>
                <c:pt idx="9">
                  <c:v>28</c:v>
                </c:pt>
                <c:pt idx="10">
                  <c:v>23</c:v>
                </c:pt>
                <c:pt idx="11">
                  <c:v>18</c:v>
                </c:pt>
                <c:pt idx="12">
                  <c:v>15</c:v>
                </c:pt>
                <c:pt idx="13">
                  <c:v>13</c:v>
                </c:pt>
                <c:pt idx="14">
                  <c:v>11</c:v>
                </c:pt>
                <c:pt idx="15">
                  <c:v>10</c:v>
                </c:pt>
                <c:pt idx="16">
                  <c:v>9</c:v>
                </c:pt>
                <c:pt idx="17">
                  <c:v>9</c:v>
                </c:pt>
                <c:pt idx="18">
                  <c:v>8</c:v>
                </c:pt>
                <c:pt idx="19">
                  <c:v>7</c:v>
                </c:pt>
                <c:pt idx="20">
                  <c:v>6</c:v>
                </c:pt>
                <c:pt idx="21">
                  <c:v>6</c:v>
                </c:pt>
                <c:pt idx="22">
                  <c:v>5</c:v>
                </c:pt>
                <c:pt idx="23">
                  <c:v>5</c:v>
                </c:pt>
                <c:pt idx="24">
                  <c:v>4</c:v>
                </c:pt>
                <c:pt idx="25">
                  <c:v>4</c:v>
                </c:pt>
                <c:pt idx="26">
                  <c:v>3</c:v>
                </c:pt>
                <c:pt idx="27">
                  <c:v>3</c:v>
                </c:pt>
                <c:pt idx="28">
                  <c:v>3</c:v>
                </c:pt>
                <c:pt idx="29">
                  <c:v>3</c:v>
                </c:pt>
              </c:numCache>
            </c:numRef>
          </c:val>
        </c:ser>
        <c:ser>
          <c:idx val="13"/>
          <c:order val="13"/>
          <c:tx>
            <c:strRef>
              <c:f>'Timing - BIG MAP'!$AA$19</c:f>
              <c:strCache>
                <c:ptCount val="1"/>
                <c:pt idx="0">
                  <c:v>4500</c:v>
                </c:pt>
              </c:strCache>
            </c:strRef>
          </c:tx>
          <c:spPr>
            <a:solidFill>
              <a:srgbClr val="800000"/>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MAP'!$AB$19:$BE$19</c:f>
              <c:numCache>
                <c:formatCode>0</c:formatCode>
                <c:ptCount val="30"/>
                <c:pt idx="0">
                  <c:v>38</c:v>
                </c:pt>
                <c:pt idx="1">
                  <c:v>38</c:v>
                </c:pt>
                <c:pt idx="2">
                  <c:v>38</c:v>
                </c:pt>
                <c:pt idx="3">
                  <c:v>38</c:v>
                </c:pt>
                <c:pt idx="4">
                  <c:v>37</c:v>
                </c:pt>
                <c:pt idx="5">
                  <c:v>35</c:v>
                </c:pt>
                <c:pt idx="6">
                  <c:v>33</c:v>
                </c:pt>
                <c:pt idx="7">
                  <c:v>32</c:v>
                </c:pt>
                <c:pt idx="8">
                  <c:v>31</c:v>
                </c:pt>
                <c:pt idx="9">
                  <c:v>28</c:v>
                </c:pt>
                <c:pt idx="10">
                  <c:v>23</c:v>
                </c:pt>
                <c:pt idx="11">
                  <c:v>19</c:v>
                </c:pt>
                <c:pt idx="12">
                  <c:v>16</c:v>
                </c:pt>
                <c:pt idx="13">
                  <c:v>13</c:v>
                </c:pt>
                <c:pt idx="14">
                  <c:v>11</c:v>
                </c:pt>
                <c:pt idx="15">
                  <c:v>10</c:v>
                </c:pt>
                <c:pt idx="16">
                  <c:v>10</c:v>
                </c:pt>
                <c:pt idx="17">
                  <c:v>10</c:v>
                </c:pt>
                <c:pt idx="18">
                  <c:v>9</c:v>
                </c:pt>
                <c:pt idx="19">
                  <c:v>8</c:v>
                </c:pt>
                <c:pt idx="20">
                  <c:v>7</c:v>
                </c:pt>
                <c:pt idx="21">
                  <c:v>6</c:v>
                </c:pt>
                <c:pt idx="22">
                  <c:v>6</c:v>
                </c:pt>
                <c:pt idx="23">
                  <c:v>5</c:v>
                </c:pt>
                <c:pt idx="24">
                  <c:v>5</c:v>
                </c:pt>
                <c:pt idx="25">
                  <c:v>4</c:v>
                </c:pt>
                <c:pt idx="26">
                  <c:v>4</c:v>
                </c:pt>
                <c:pt idx="27">
                  <c:v>4</c:v>
                </c:pt>
                <c:pt idx="28">
                  <c:v>4</c:v>
                </c:pt>
                <c:pt idx="29">
                  <c:v>4</c:v>
                </c:pt>
              </c:numCache>
            </c:numRef>
          </c:val>
        </c:ser>
        <c:ser>
          <c:idx val="14"/>
          <c:order val="14"/>
          <c:tx>
            <c:strRef>
              <c:f>'Timing - BIG MAP'!$AA$20</c:f>
              <c:strCache>
                <c:ptCount val="1"/>
                <c:pt idx="0">
                  <c:v>4750</c:v>
                </c:pt>
              </c:strCache>
            </c:strRef>
          </c:tx>
          <c:spPr>
            <a:solidFill>
              <a:srgbClr val="008080"/>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MAP'!$AB$20:$BE$20</c:f>
              <c:numCache>
                <c:formatCode>0</c:formatCode>
                <c:ptCount val="30"/>
                <c:pt idx="0">
                  <c:v>38</c:v>
                </c:pt>
                <c:pt idx="1">
                  <c:v>38</c:v>
                </c:pt>
                <c:pt idx="2">
                  <c:v>38</c:v>
                </c:pt>
                <c:pt idx="3">
                  <c:v>38</c:v>
                </c:pt>
                <c:pt idx="4">
                  <c:v>37</c:v>
                </c:pt>
                <c:pt idx="5">
                  <c:v>35</c:v>
                </c:pt>
                <c:pt idx="6">
                  <c:v>33</c:v>
                </c:pt>
                <c:pt idx="7">
                  <c:v>32</c:v>
                </c:pt>
                <c:pt idx="8">
                  <c:v>31</c:v>
                </c:pt>
                <c:pt idx="9">
                  <c:v>29</c:v>
                </c:pt>
                <c:pt idx="10">
                  <c:v>24</c:v>
                </c:pt>
                <c:pt idx="11">
                  <c:v>20</c:v>
                </c:pt>
                <c:pt idx="12">
                  <c:v>17</c:v>
                </c:pt>
                <c:pt idx="13">
                  <c:v>14</c:v>
                </c:pt>
                <c:pt idx="14">
                  <c:v>12</c:v>
                </c:pt>
                <c:pt idx="15">
                  <c:v>11</c:v>
                </c:pt>
                <c:pt idx="16">
                  <c:v>11</c:v>
                </c:pt>
                <c:pt idx="17">
                  <c:v>11</c:v>
                </c:pt>
                <c:pt idx="18">
                  <c:v>10</c:v>
                </c:pt>
                <c:pt idx="19">
                  <c:v>9</c:v>
                </c:pt>
                <c:pt idx="20">
                  <c:v>8</c:v>
                </c:pt>
                <c:pt idx="21">
                  <c:v>7</c:v>
                </c:pt>
                <c:pt idx="22">
                  <c:v>7</c:v>
                </c:pt>
                <c:pt idx="23">
                  <c:v>6</c:v>
                </c:pt>
                <c:pt idx="24">
                  <c:v>6</c:v>
                </c:pt>
                <c:pt idx="25">
                  <c:v>5</c:v>
                </c:pt>
                <c:pt idx="26">
                  <c:v>4</c:v>
                </c:pt>
                <c:pt idx="27">
                  <c:v>4</c:v>
                </c:pt>
                <c:pt idx="28">
                  <c:v>4</c:v>
                </c:pt>
                <c:pt idx="29">
                  <c:v>4</c:v>
                </c:pt>
              </c:numCache>
            </c:numRef>
          </c:val>
        </c:ser>
        <c:ser>
          <c:idx val="15"/>
          <c:order val="15"/>
          <c:tx>
            <c:strRef>
              <c:f>'Timing - BIG MAP'!$AA$21</c:f>
              <c:strCache>
                <c:ptCount val="1"/>
                <c:pt idx="0">
                  <c:v>5000</c:v>
                </c:pt>
              </c:strCache>
            </c:strRef>
          </c:tx>
          <c:spPr>
            <a:solidFill>
              <a:srgbClr val="0000FF"/>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MAP'!$AB$21:$BE$21</c:f>
              <c:numCache>
                <c:formatCode>0</c:formatCode>
                <c:ptCount val="30"/>
                <c:pt idx="0">
                  <c:v>38</c:v>
                </c:pt>
                <c:pt idx="1">
                  <c:v>38</c:v>
                </c:pt>
                <c:pt idx="2">
                  <c:v>38</c:v>
                </c:pt>
                <c:pt idx="3">
                  <c:v>38</c:v>
                </c:pt>
                <c:pt idx="4">
                  <c:v>37</c:v>
                </c:pt>
                <c:pt idx="5">
                  <c:v>35</c:v>
                </c:pt>
                <c:pt idx="6">
                  <c:v>33</c:v>
                </c:pt>
                <c:pt idx="7">
                  <c:v>32</c:v>
                </c:pt>
                <c:pt idx="8">
                  <c:v>31</c:v>
                </c:pt>
                <c:pt idx="9">
                  <c:v>29</c:v>
                </c:pt>
                <c:pt idx="10">
                  <c:v>25</c:v>
                </c:pt>
                <c:pt idx="11">
                  <c:v>20</c:v>
                </c:pt>
                <c:pt idx="12">
                  <c:v>17</c:v>
                </c:pt>
                <c:pt idx="13">
                  <c:v>15</c:v>
                </c:pt>
                <c:pt idx="14">
                  <c:v>13</c:v>
                </c:pt>
                <c:pt idx="15">
                  <c:v>12</c:v>
                </c:pt>
                <c:pt idx="16">
                  <c:v>12</c:v>
                </c:pt>
                <c:pt idx="17">
                  <c:v>11</c:v>
                </c:pt>
                <c:pt idx="18">
                  <c:v>11</c:v>
                </c:pt>
                <c:pt idx="19">
                  <c:v>10</c:v>
                </c:pt>
                <c:pt idx="20">
                  <c:v>9</c:v>
                </c:pt>
                <c:pt idx="21">
                  <c:v>8</c:v>
                </c:pt>
                <c:pt idx="22">
                  <c:v>8</c:v>
                </c:pt>
                <c:pt idx="23">
                  <c:v>7</c:v>
                </c:pt>
                <c:pt idx="24">
                  <c:v>7</c:v>
                </c:pt>
                <c:pt idx="25">
                  <c:v>6</c:v>
                </c:pt>
                <c:pt idx="26">
                  <c:v>5</c:v>
                </c:pt>
                <c:pt idx="27">
                  <c:v>5</c:v>
                </c:pt>
                <c:pt idx="28">
                  <c:v>5</c:v>
                </c:pt>
                <c:pt idx="29">
                  <c:v>5</c:v>
                </c:pt>
              </c:numCache>
            </c:numRef>
          </c:val>
        </c:ser>
        <c:ser>
          <c:idx val="16"/>
          <c:order val="16"/>
          <c:tx>
            <c:strRef>
              <c:f>'Timing - BIG MAP'!$AA$22</c:f>
              <c:strCache>
                <c:ptCount val="1"/>
                <c:pt idx="0">
                  <c:v>5250</c:v>
                </c:pt>
              </c:strCache>
            </c:strRef>
          </c:tx>
          <c:spPr>
            <a:solidFill>
              <a:srgbClr val="00CCFF"/>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MAP'!$AB$22:$BE$22</c:f>
              <c:numCache>
                <c:formatCode>0</c:formatCode>
                <c:ptCount val="30"/>
                <c:pt idx="0">
                  <c:v>38</c:v>
                </c:pt>
                <c:pt idx="1">
                  <c:v>38</c:v>
                </c:pt>
                <c:pt idx="2">
                  <c:v>38</c:v>
                </c:pt>
                <c:pt idx="3">
                  <c:v>38</c:v>
                </c:pt>
                <c:pt idx="4">
                  <c:v>37</c:v>
                </c:pt>
                <c:pt idx="5">
                  <c:v>35</c:v>
                </c:pt>
                <c:pt idx="6">
                  <c:v>33</c:v>
                </c:pt>
                <c:pt idx="7">
                  <c:v>32</c:v>
                </c:pt>
                <c:pt idx="8">
                  <c:v>31</c:v>
                </c:pt>
                <c:pt idx="9">
                  <c:v>29</c:v>
                </c:pt>
                <c:pt idx="10">
                  <c:v>25</c:v>
                </c:pt>
                <c:pt idx="11">
                  <c:v>21</c:v>
                </c:pt>
                <c:pt idx="12">
                  <c:v>18</c:v>
                </c:pt>
                <c:pt idx="13">
                  <c:v>16</c:v>
                </c:pt>
                <c:pt idx="14">
                  <c:v>14</c:v>
                </c:pt>
                <c:pt idx="15">
                  <c:v>13</c:v>
                </c:pt>
                <c:pt idx="16">
                  <c:v>13</c:v>
                </c:pt>
                <c:pt idx="17">
                  <c:v>12</c:v>
                </c:pt>
                <c:pt idx="18">
                  <c:v>12</c:v>
                </c:pt>
                <c:pt idx="19">
                  <c:v>11</c:v>
                </c:pt>
                <c:pt idx="20">
                  <c:v>10</c:v>
                </c:pt>
                <c:pt idx="21">
                  <c:v>9</c:v>
                </c:pt>
                <c:pt idx="22">
                  <c:v>9</c:v>
                </c:pt>
                <c:pt idx="23">
                  <c:v>8</c:v>
                </c:pt>
                <c:pt idx="24">
                  <c:v>8</c:v>
                </c:pt>
                <c:pt idx="25">
                  <c:v>7</c:v>
                </c:pt>
                <c:pt idx="26">
                  <c:v>7</c:v>
                </c:pt>
                <c:pt idx="27">
                  <c:v>7</c:v>
                </c:pt>
                <c:pt idx="28">
                  <c:v>7</c:v>
                </c:pt>
                <c:pt idx="29">
                  <c:v>7</c:v>
                </c:pt>
              </c:numCache>
            </c:numRef>
          </c:val>
        </c:ser>
        <c:ser>
          <c:idx val="17"/>
          <c:order val="17"/>
          <c:tx>
            <c:strRef>
              <c:f>'Timing - BIG MAP'!$AA$23</c:f>
              <c:strCache>
                <c:ptCount val="1"/>
                <c:pt idx="0">
                  <c:v>5500</c:v>
                </c:pt>
              </c:strCache>
            </c:strRef>
          </c:tx>
          <c:spPr>
            <a:solidFill>
              <a:srgbClr val="CCFFFF"/>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MAP'!$AB$23:$BE$23</c:f>
              <c:numCache>
                <c:formatCode>0</c:formatCode>
                <c:ptCount val="30"/>
                <c:pt idx="0">
                  <c:v>38</c:v>
                </c:pt>
                <c:pt idx="1">
                  <c:v>38</c:v>
                </c:pt>
                <c:pt idx="2">
                  <c:v>38</c:v>
                </c:pt>
                <c:pt idx="3">
                  <c:v>38</c:v>
                </c:pt>
                <c:pt idx="4">
                  <c:v>37</c:v>
                </c:pt>
                <c:pt idx="5">
                  <c:v>35</c:v>
                </c:pt>
                <c:pt idx="6">
                  <c:v>34</c:v>
                </c:pt>
                <c:pt idx="7">
                  <c:v>33</c:v>
                </c:pt>
                <c:pt idx="8">
                  <c:v>32</c:v>
                </c:pt>
                <c:pt idx="9">
                  <c:v>30</c:v>
                </c:pt>
                <c:pt idx="10">
                  <c:v>26</c:v>
                </c:pt>
                <c:pt idx="11">
                  <c:v>22</c:v>
                </c:pt>
                <c:pt idx="12">
                  <c:v>19</c:v>
                </c:pt>
                <c:pt idx="13">
                  <c:v>17</c:v>
                </c:pt>
                <c:pt idx="14">
                  <c:v>16</c:v>
                </c:pt>
                <c:pt idx="15">
                  <c:v>15</c:v>
                </c:pt>
                <c:pt idx="16">
                  <c:v>14</c:v>
                </c:pt>
                <c:pt idx="17">
                  <c:v>13</c:v>
                </c:pt>
                <c:pt idx="18">
                  <c:v>13</c:v>
                </c:pt>
                <c:pt idx="19">
                  <c:v>12</c:v>
                </c:pt>
                <c:pt idx="20">
                  <c:v>11</c:v>
                </c:pt>
                <c:pt idx="21">
                  <c:v>10</c:v>
                </c:pt>
                <c:pt idx="22">
                  <c:v>10</c:v>
                </c:pt>
                <c:pt idx="23">
                  <c:v>9</c:v>
                </c:pt>
                <c:pt idx="24">
                  <c:v>9</c:v>
                </c:pt>
                <c:pt idx="25">
                  <c:v>9</c:v>
                </c:pt>
                <c:pt idx="26">
                  <c:v>8</c:v>
                </c:pt>
                <c:pt idx="27">
                  <c:v>8</c:v>
                </c:pt>
                <c:pt idx="28">
                  <c:v>8</c:v>
                </c:pt>
                <c:pt idx="29">
                  <c:v>8</c:v>
                </c:pt>
              </c:numCache>
            </c:numRef>
          </c:val>
        </c:ser>
        <c:ser>
          <c:idx val="18"/>
          <c:order val="18"/>
          <c:tx>
            <c:strRef>
              <c:f>'Timing - BIG MAP'!$AA$24</c:f>
              <c:strCache>
                <c:ptCount val="1"/>
                <c:pt idx="0">
                  <c:v>5750</c:v>
                </c:pt>
              </c:strCache>
            </c:strRef>
          </c:tx>
          <c:spPr>
            <a:solidFill>
              <a:srgbClr val="CCFFCC"/>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MAP'!$AB$24:$BE$24</c:f>
              <c:numCache>
                <c:formatCode>0</c:formatCode>
                <c:ptCount val="30"/>
                <c:pt idx="0">
                  <c:v>38</c:v>
                </c:pt>
                <c:pt idx="1">
                  <c:v>38</c:v>
                </c:pt>
                <c:pt idx="2">
                  <c:v>38</c:v>
                </c:pt>
                <c:pt idx="3">
                  <c:v>38</c:v>
                </c:pt>
                <c:pt idx="4">
                  <c:v>37</c:v>
                </c:pt>
                <c:pt idx="5">
                  <c:v>36</c:v>
                </c:pt>
                <c:pt idx="6">
                  <c:v>34</c:v>
                </c:pt>
                <c:pt idx="7">
                  <c:v>33</c:v>
                </c:pt>
                <c:pt idx="8">
                  <c:v>32</c:v>
                </c:pt>
                <c:pt idx="9">
                  <c:v>30</c:v>
                </c:pt>
                <c:pt idx="10">
                  <c:v>27</c:v>
                </c:pt>
                <c:pt idx="11">
                  <c:v>23</c:v>
                </c:pt>
                <c:pt idx="12">
                  <c:v>20</c:v>
                </c:pt>
                <c:pt idx="13">
                  <c:v>18</c:v>
                </c:pt>
                <c:pt idx="14">
                  <c:v>17</c:v>
                </c:pt>
                <c:pt idx="15">
                  <c:v>16</c:v>
                </c:pt>
                <c:pt idx="16">
                  <c:v>15</c:v>
                </c:pt>
                <c:pt idx="17">
                  <c:v>14</c:v>
                </c:pt>
                <c:pt idx="18">
                  <c:v>14</c:v>
                </c:pt>
                <c:pt idx="19">
                  <c:v>13</c:v>
                </c:pt>
                <c:pt idx="20">
                  <c:v>12</c:v>
                </c:pt>
                <c:pt idx="21">
                  <c:v>12</c:v>
                </c:pt>
                <c:pt idx="22">
                  <c:v>11</c:v>
                </c:pt>
                <c:pt idx="23">
                  <c:v>11</c:v>
                </c:pt>
                <c:pt idx="24">
                  <c:v>10</c:v>
                </c:pt>
                <c:pt idx="25">
                  <c:v>10</c:v>
                </c:pt>
                <c:pt idx="26">
                  <c:v>10</c:v>
                </c:pt>
                <c:pt idx="27">
                  <c:v>9</c:v>
                </c:pt>
                <c:pt idx="28">
                  <c:v>9</c:v>
                </c:pt>
                <c:pt idx="29">
                  <c:v>9</c:v>
                </c:pt>
              </c:numCache>
            </c:numRef>
          </c:val>
        </c:ser>
        <c:ser>
          <c:idx val="19"/>
          <c:order val="19"/>
          <c:tx>
            <c:strRef>
              <c:f>'Timing - BIG MAP'!$AA$25</c:f>
              <c:strCache>
                <c:ptCount val="1"/>
                <c:pt idx="0">
                  <c:v>6000</c:v>
                </c:pt>
              </c:strCache>
            </c:strRef>
          </c:tx>
          <c:spPr>
            <a:solidFill>
              <a:srgbClr val="FFFF99"/>
            </a:solidFill>
            <a:ln w="12700">
              <a:solidFill>
                <a:srgbClr val="000000"/>
              </a:solidFill>
              <a:prstDash val="solid"/>
            </a:ln>
            <a:sp3d prstMaterial="matte"/>
          </c:spPr>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MAP'!$AB$25:$BE$25</c:f>
              <c:numCache>
                <c:formatCode>0</c:formatCode>
                <c:ptCount val="30"/>
                <c:pt idx="0">
                  <c:v>38</c:v>
                </c:pt>
                <c:pt idx="1">
                  <c:v>38</c:v>
                </c:pt>
                <c:pt idx="2">
                  <c:v>38</c:v>
                </c:pt>
                <c:pt idx="3">
                  <c:v>38</c:v>
                </c:pt>
                <c:pt idx="4">
                  <c:v>37</c:v>
                </c:pt>
                <c:pt idx="5">
                  <c:v>36</c:v>
                </c:pt>
                <c:pt idx="6">
                  <c:v>34</c:v>
                </c:pt>
                <c:pt idx="7">
                  <c:v>33</c:v>
                </c:pt>
                <c:pt idx="8">
                  <c:v>32</c:v>
                </c:pt>
                <c:pt idx="9">
                  <c:v>31</c:v>
                </c:pt>
                <c:pt idx="10">
                  <c:v>27</c:v>
                </c:pt>
                <c:pt idx="11">
                  <c:v>24</c:v>
                </c:pt>
                <c:pt idx="12">
                  <c:v>21</c:v>
                </c:pt>
                <c:pt idx="13">
                  <c:v>19</c:v>
                </c:pt>
                <c:pt idx="14">
                  <c:v>17</c:v>
                </c:pt>
                <c:pt idx="15">
                  <c:v>17</c:v>
                </c:pt>
                <c:pt idx="16">
                  <c:v>16</c:v>
                </c:pt>
                <c:pt idx="17">
                  <c:v>15</c:v>
                </c:pt>
                <c:pt idx="18">
                  <c:v>14</c:v>
                </c:pt>
                <c:pt idx="19">
                  <c:v>14</c:v>
                </c:pt>
                <c:pt idx="20">
                  <c:v>13</c:v>
                </c:pt>
                <c:pt idx="21">
                  <c:v>12</c:v>
                </c:pt>
                <c:pt idx="22">
                  <c:v>12</c:v>
                </c:pt>
                <c:pt idx="23">
                  <c:v>12</c:v>
                </c:pt>
                <c:pt idx="24">
                  <c:v>11</c:v>
                </c:pt>
                <c:pt idx="25">
                  <c:v>11</c:v>
                </c:pt>
                <c:pt idx="26">
                  <c:v>10</c:v>
                </c:pt>
                <c:pt idx="27">
                  <c:v>10</c:v>
                </c:pt>
                <c:pt idx="28">
                  <c:v>10</c:v>
                </c:pt>
                <c:pt idx="29">
                  <c:v>10</c:v>
                </c:pt>
              </c:numCache>
            </c:numRef>
          </c:val>
        </c:ser>
        <c:ser>
          <c:idx val="20"/>
          <c:order val="20"/>
          <c:tx>
            <c:strRef>
              <c:f>'Timing - BIG MAP'!$AA$25</c:f>
              <c:strCache>
                <c:ptCount val="1"/>
                <c:pt idx="0">
                  <c:v>6000</c:v>
                </c:pt>
              </c:strCache>
            </c:strRef>
          </c:tx>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MAP'!$AB$25:$BE$25</c:f>
              <c:numCache>
                <c:formatCode>0</c:formatCode>
                <c:ptCount val="30"/>
                <c:pt idx="0">
                  <c:v>38</c:v>
                </c:pt>
                <c:pt idx="1">
                  <c:v>38</c:v>
                </c:pt>
                <c:pt idx="2">
                  <c:v>38</c:v>
                </c:pt>
                <c:pt idx="3">
                  <c:v>38</c:v>
                </c:pt>
                <c:pt idx="4">
                  <c:v>37</c:v>
                </c:pt>
                <c:pt idx="5">
                  <c:v>36</c:v>
                </c:pt>
                <c:pt idx="6">
                  <c:v>34</c:v>
                </c:pt>
                <c:pt idx="7">
                  <c:v>33</c:v>
                </c:pt>
                <c:pt idx="8">
                  <c:v>32</c:v>
                </c:pt>
                <c:pt idx="9">
                  <c:v>31</c:v>
                </c:pt>
                <c:pt idx="10">
                  <c:v>27</c:v>
                </c:pt>
                <c:pt idx="11">
                  <c:v>24</c:v>
                </c:pt>
                <c:pt idx="12">
                  <c:v>21</c:v>
                </c:pt>
                <c:pt idx="13">
                  <c:v>19</c:v>
                </c:pt>
                <c:pt idx="14">
                  <c:v>17</c:v>
                </c:pt>
                <c:pt idx="15">
                  <c:v>17</c:v>
                </c:pt>
                <c:pt idx="16">
                  <c:v>16</c:v>
                </c:pt>
                <c:pt idx="17">
                  <c:v>15</c:v>
                </c:pt>
                <c:pt idx="18">
                  <c:v>14</c:v>
                </c:pt>
                <c:pt idx="19">
                  <c:v>14</c:v>
                </c:pt>
                <c:pt idx="20">
                  <c:v>13</c:v>
                </c:pt>
                <c:pt idx="21">
                  <c:v>12</c:v>
                </c:pt>
                <c:pt idx="22">
                  <c:v>12</c:v>
                </c:pt>
                <c:pt idx="23">
                  <c:v>12</c:v>
                </c:pt>
                <c:pt idx="24">
                  <c:v>11</c:v>
                </c:pt>
                <c:pt idx="25">
                  <c:v>11</c:v>
                </c:pt>
                <c:pt idx="26">
                  <c:v>10</c:v>
                </c:pt>
                <c:pt idx="27">
                  <c:v>10</c:v>
                </c:pt>
                <c:pt idx="28">
                  <c:v>10</c:v>
                </c:pt>
                <c:pt idx="29">
                  <c:v>10</c:v>
                </c:pt>
              </c:numCache>
            </c:numRef>
          </c:val>
        </c:ser>
        <c:ser>
          <c:idx val="21"/>
          <c:order val="21"/>
          <c:tx>
            <c:strRef>
              <c:f>'Timing - BIG MAP'!$AA$26</c:f>
              <c:strCache>
                <c:ptCount val="1"/>
                <c:pt idx="0">
                  <c:v>6250</c:v>
                </c:pt>
              </c:strCache>
            </c:strRef>
          </c:tx>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MAP'!$AB$26:$BE$26</c:f>
              <c:numCache>
                <c:formatCode>0</c:formatCode>
                <c:ptCount val="30"/>
                <c:pt idx="0">
                  <c:v>38</c:v>
                </c:pt>
                <c:pt idx="1">
                  <c:v>38</c:v>
                </c:pt>
                <c:pt idx="2">
                  <c:v>38</c:v>
                </c:pt>
                <c:pt idx="3">
                  <c:v>38</c:v>
                </c:pt>
                <c:pt idx="4">
                  <c:v>37</c:v>
                </c:pt>
                <c:pt idx="5">
                  <c:v>36</c:v>
                </c:pt>
                <c:pt idx="6">
                  <c:v>35</c:v>
                </c:pt>
                <c:pt idx="7">
                  <c:v>34</c:v>
                </c:pt>
                <c:pt idx="8">
                  <c:v>33</c:v>
                </c:pt>
                <c:pt idx="9">
                  <c:v>31</c:v>
                </c:pt>
                <c:pt idx="10">
                  <c:v>28</c:v>
                </c:pt>
                <c:pt idx="11">
                  <c:v>25</c:v>
                </c:pt>
                <c:pt idx="12">
                  <c:v>22</c:v>
                </c:pt>
                <c:pt idx="13">
                  <c:v>20</c:v>
                </c:pt>
                <c:pt idx="14">
                  <c:v>18</c:v>
                </c:pt>
                <c:pt idx="15">
                  <c:v>18</c:v>
                </c:pt>
                <c:pt idx="16">
                  <c:v>17</c:v>
                </c:pt>
                <c:pt idx="17">
                  <c:v>17</c:v>
                </c:pt>
                <c:pt idx="18">
                  <c:v>16</c:v>
                </c:pt>
                <c:pt idx="19">
                  <c:v>15</c:v>
                </c:pt>
                <c:pt idx="20">
                  <c:v>15</c:v>
                </c:pt>
                <c:pt idx="21">
                  <c:v>14</c:v>
                </c:pt>
                <c:pt idx="22">
                  <c:v>14</c:v>
                </c:pt>
                <c:pt idx="23">
                  <c:v>13</c:v>
                </c:pt>
                <c:pt idx="24">
                  <c:v>13</c:v>
                </c:pt>
                <c:pt idx="25">
                  <c:v>12</c:v>
                </c:pt>
                <c:pt idx="26">
                  <c:v>11</c:v>
                </c:pt>
                <c:pt idx="27">
                  <c:v>11</c:v>
                </c:pt>
                <c:pt idx="28">
                  <c:v>11</c:v>
                </c:pt>
                <c:pt idx="29">
                  <c:v>11</c:v>
                </c:pt>
              </c:numCache>
            </c:numRef>
          </c:val>
        </c:ser>
        <c:ser>
          <c:idx val="22"/>
          <c:order val="22"/>
          <c:tx>
            <c:strRef>
              <c:f>'Timing - BIG MAP'!$AA$27</c:f>
              <c:strCache>
                <c:ptCount val="1"/>
                <c:pt idx="0">
                  <c:v>6500</c:v>
                </c:pt>
              </c:strCache>
            </c:strRef>
          </c:tx>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MAP'!$AB$27:$BE$27</c:f>
              <c:numCache>
                <c:formatCode>0</c:formatCode>
                <c:ptCount val="30"/>
                <c:pt idx="0">
                  <c:v>38</c:v>
                </c:pt>
                <c:pt idx="1">
                  <c:v>38</c:v>
                </c:pt>
                <c:pt idx="2">
                  <c:v>38</c:v>
                </c:pt>
                <c:pt idx="3">
                  <c:v>38</c:v>
                </c:pt>
                <c:pt idx="4">
                  <c:v>38</c:v>
                </c:pt>
                <c:pt idx="5">
                  <c:v>36</c:v>
                </c:pt>
                <c:pt idx="6">
                  <c:v>35</c:v>
                </c:pt>
                <c:pt idx="7">
                  <c:v>34</c:v>
                </c:pt>
                <c:pt idx="8">
                  <c:v>33</c:v>
                </c:pt>
                <c:pt idx="9">
                  <c:v>32</c:v>
                </c:pt>
                <c:pt idx="10">
                  <c:v>29</c:v>
                </c:pt>
                <c:pt idx="11">
                  <c:v>26</c:v>
                </c:pt>
                <c:pt idx="12">
                  <c:v>23</c:v>
                </c:pt>
                <c:pt idx="13">
                  <c:v>21</c:v>
                </c:pt>
                <c:pt idx="14">
                  <c:v>19</c:v>
                </c:pt>
                <c:pt idx="15">
                  <c:v>19</c:v>
                </c:pt>
                <c:pt idx="16">
                  <c:v>18</c:v>
                </c:pt>
                <c:pt idx="17">
                  <c:v>18</c:v>
                </c:pt>
                <c:pt idx="18">
                  <c:v>18</c:v>
                </c:pt>
                <c:pt idx="19">
                  <c:v>17</c:v>
                </c:pt>
                <c:pt idx="20">
                  <c:v>17</c:v>
                </c:pt>
                <c:pt idx="21">
                  <c:v>16</c:v>
                </c:pt>
                <c:pt idx="22">
                  <c:v>16</c:v>
                </c:pt>
                <c:pt idx="23">
                  <c:v>15</c:v>
                </c:pt>
                <c:pt idx="24">
                  <c:v>14</c:v>
                </c:pt>
                <c:pt idx="25">
                  <c:v>14</c:v>
                </c:pt>
                <c:pt idx="26">
                  <c:v>13</c:v>
                </c:pt>
                <c:pt idx="27">
                  <c:v>12</c:v>
                </c:pt>
                <c:pt idx="28">
                  <c:v>12</c:v>
                </c:pt>
                <c:pt idx="29">
                  <c:v>11</c:v>
                </c:pt>
              </c:numCache>
            </c:numRef>
          </c:val>
        </c:ser>
        <c:ser>
          <c:idx val="23"/>
          <c:order val="23"/>
          <c:tx>
            <c:strRef>
              <c:f>'Timing - BIG MAP'!$AA$28</c:f>
              <c:strCache>
                <c:ptCount val="1"/>
                <c:pt idx="0">
                  <c:v>6750</c:v>
                </c:pt>
              </c:strCache>
            </c:strRef>
          </c:tx>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MAP'!$AB$28:$BE$28</c:f>
              <c:numCache>
                <c:formatCode>0</c:formatCode>
                <c:ptCount val="30"/>
                <c:pt idx="0">
                  <c:v>38</c:v>
                </c:pt>
                <c:pt idx="1">
                  <c:v>38</c:v>
                </c:pt>
                <c:pt idx="2">
                  <c:v>38</c:v>
                </c:pt>
                <c:pt idx="3">
                  <c:v>38</c:v>
                </c:pt>
                <c:pt idx="4">
                  <c:v>38</c:v>
                </c:pt>
                <c:pt idx="5">
                  <c:v>36</c:v>
                </c:pt>
                <c:pt idx="6">
                  <c:v>35</c:v>
                </c:pt>
                <c:pt idx="7">
                  <c:v>34</c:v>
                </c:pt>
                <c:pt idx="8">
                  <c:v>33</c:v>
                </c:pt>
                <c:pt idx="9">
                  <c:v>32</c:v>
                </c:pt>
                <c:pt idx="10">
                  <c:v>29</c:v>
                </c:pt>
                <c:pt idx="11">
                  <c:v>26</c:v>
                </c:pt>
                <c:pt idx="12">
                  <c:v>24</c:v>
                </c:pt>
                <c:pt idx="13">
                  <c:v>22</c:v>
                </c:pt>
                <c:pt idx="14">
                  <c:v>20</c:v>
                </c:pt>
                <c:pt idx="15">
                  <c:v>19</c:v>
                </c:pt>
                <c:pt idx="16">
                  <c:v>19</c:v>
                </c:pt>
                <c:pt idx="17">
                  <c:v>19</c:v>
                </c:pt>
                <c:pt idx="18">
                  <c:v>19</c:v>
                </c:pt>
                <c:pt idx="19">
                  <c:v>19</c:v>
                </c:pt>
                <c:pt idx="20">
                  <c:v>18</c:v>
                </c:pt>
                <c:pt idx="21">
                  <c:v>17</c:v>
                </c:pt>
                <c:pt idx="22">
                  <c:v>17</c:v>
                </c:pt>
                <c:pt idx="23">
                  <c:v>17</c:v>
                </c:pt>
                <c:pt idx="24">
                  <c:v>16</c:v>
                </c:pt>
                <c:pt idx="25">
                  <c:v>15</c:v>
                </c:pt>
                <c:pt idx="26">
                  <c:v>14</c:v>
                </c:pt>
                <c:pt idx="27">
                  <c:v>13</c:v>
                </c:pt>
                <c:pt idx="28">
                  <c:v>13</c:v>
                </c:pt>
                <c:pt idx="29">
                  <c:v>13</c:v>
                </c:pt>
              </c:numCache>
            </c:numRef>
          </c:val>
        </c:ser>
        <c:ser>
          <c:idx val="24"/>
          <c:order val="24"/>
          <c:tx>
            <c:strRef>
              <c:f>'Timing - BIG MAP'!$AA$29</c:f>
              <c:strCache>
                <c:ptCount val="1"/>
                <c:pt idx="0">
                  <c:v>7000</c:v>
                </c:pt>
              </c:strCache>
            </c:strRef>
          </c:tx>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MAP'!$AB$29:$BE$29</c:f>
              <c:numCache>
                <c:formatCode>0</c:formatCode>
                <c:ptCount val="30"/>
                <c:pt idx="0">
                  <c:v>38</c:v>
                </c:pt>
                <c:pt idx="1">
                  <c:v>38</c:v>
                </c:pt>
                <c:pt idx="2">
                  <c:v>38</c:v>
                </c:pt>
                <c:pt idx="3">
                  <c:v>38</c:v>
                </c:pt>
                <c:pt idx="4">
                  <c:v>38</c:v>
                </c:pt>
                <c:pt idx="5">
                  <c:v>36</c:v>
                </c:pt>
                <c:pt idx="6">
                  <c:v>35</c:v>
                </c:pt>
                <c:pt idx="7">
                  <c:v>34</c:v>
                </c:pt>
                <c:pt idx="8">
                  <c:v>33</c:v>
                </c:pt>
                <c:pt idx="9">
                  <c:v>32</c:v>
                </c:pt>
                <c:pt idx="10">
                  <c:v>30</c:v>
                </c:pt>
                <c:pt idx="11">
                  <c:v>27</c:v>
                </c:pt>
                <c:pt idx="12">
                  <c:v>25</c:v>
                </c:pt>
                <c:pt idx="13">
                  <c:v>23</c:v>
                </c:pt>
                <c:pt idx="14">
                  <c:v>21</c:v>
                </c:pt>
                <c:pt idx="15">
                  <c:v>21</c:v>
                </c:pt>
                <c:pt idx="16">
                  <c:v>20</c:v>
                </c:pt>
                <c:pt idx="17">
                  <c:v>20</c:v>
                </c:pt>
                <c:pt idx="18">
                  <c:v>20</c:v>
                </c:pt>
                <c:pt idx="19">
                  <c:v>20</c:v>
                </c:pt>
                <c:pt idx="20">
                  <c:v>19</c:v>
                </c:pt>
                <c:pt idx="21">
                  <c:v>19</c:v>
                </c:pt>
                <c:pt idx="22">
                  <c:v>18</c:v>
                </c:pt>
                <c:pt idx="23">
                  <c:v>18</c:v>
                </c:pt>
                <c:pt idx="24">
                  <c:v>18</c:v>
                </c:pt>
                <c:pt idx="25">
                  <c:v>17</c:v>
                </c:pt>
                <c:pt idx="26">
                  <c:v>16</c:v>
                </c:pt>
                <c:pt idx="27">
                  <c:v>15</c:v>
                </c:pt>
                <c:pt idx="28">
                  <c:v>14</c:v>
                </c:pt>
                <c:pt idx="29">
                  <c:v>14</c:v>
                </c:pt>
              </c:numCache>
            </c:numRef>
          </c:val>
        </c:ser>
        <c:ser>
          <c:idx val="25"/>
          <c:order val="25"/>
          <c:tx>
            <c:strRef>
              <c:f>'Timing - BIG MAP'!$AA$30</c:f>
              <c:strCache>
                <c:ptCount val="1"/>
                <c:pt idx="0">
                  <c:v>7500</c:v>
                </c:pt>
              </c:strCache>
            </c:strRef>
          </c:tx>
          <c:cat>
            <c:numRef>
              <c:f>'Timing - BIG MAP'!$AB$5:$BE$5</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MAP'!$AB$30:$BE$30</c:f>
              <c:numCache>
                <c:formatCode>0</c:formatCode>
                <c:ptCount val="30"/>
                <c:pt idx="0">
                  <c:v>38</c:v>
                </c:pt>
                <c:pt idx="1">
                  <c:v>38</c:v>
                </c:pt>
                <c:pt idx="2">
                  <c:v>38</c:v>
                </c:pt>
                <c:pt idx="3">
                  <c:v>38</c:v>
                </c:pt>
                <c:pt idx="4">
                  <c:v>38</c:v>
                </c:pt>
                <c:pt idx="5">
                  <c:v>36</c:v>
                </c:pt>
                <c:pt idx="6">
                  <c:v>35</c:v>
                </c:pt>
                <c:pt idx="7">
                  <c:v>34</c:v>
                </c:pt>
                <c:pt idx="8">
                  <c:v>33</c:v>
                </c:pt>
                <c:pt idx="9">
                  <c:v>32</c:v>
                </c:pt>
                <c:pt idx="10">
                  <c:v>30</c:v>
                </c:pt>
                <c:pt idx="11">
                  <c:v>29</c:v>
                </c:pt>
                <c:pt idx="12">
                  <c:v>27</c:v>
                </c:pt>
                <c:pt idx="13">
                  <c:v>25</c:v>
                </c:pt>
                <c:pt idx="14">
                  <c:v>23</c:v>
                </c:pt>
                <c:pt idx="15">
                  <c:v>22</c:v>
                </c:pt>
                <c:pt idx="16">
                  <c:v>22</c:v>
                </c:pt>
                <c:pt idx="17">
                  <c:v>22</c:v>
                </c:pt>
                <c:pt idx="18">
                  <c:v>21</c:v>
                </c:pt>
                <c:pt idx="19">
                  <c:v>21</c:v>
                </c:pt>
                <c:pt idx="20">
                  <c:v>20</c:v>
                </c:pt>
                <c:pt idx="21">
                  <c:v>20</c:v>
                </c:pt>
                <c:pt idx="22">
                  <c:v>20</c:v>
                </c:pt>
                <c:pt idx="23">
                  <c:v>20</c:v>
                </c:pt>
                <c:pt idx="24">
                  <c:v>19</c:v>
                </c:pt>
                <c:pt idx="25">
                  <c:v>19</c:v>
                </c:pt>
                <c:pt idx="26">
                  <c:v>17</c:v>
                </c:pt>
                <c:pt idx="27">
                  <c:v>16</c:v>
                </c:pt>
                <c:pt idx="28">
                  <c:v>15</c:v>
                </c:pt>
                <c:pt idx="29">
                  <c:v>15</c:v>
                </c:pt>
              </c:numCache>
            </c:numRef>
          </c:val>
        </c:ser>
        <c:bandFmts>
          <c:bandFmt>
            <c:idx val="0"/>
            <c:spPr>
              <a:solidFill>
                <a:srgbClr val="9999FF"/>
              </a:solidFill>
              <a:ln w="12700">
                <a:solidFill>
                  <a:srgbClr val="000000"/>
                </a:solidFill>
                <a:prstDash val="solid"/>
              </a:ln>
              <a:sp3d prstMaterial="matte"/>
            </c:spPr>
          </c:bandFmt>
          <c:bandFmt>
            <c:idx val="1"/>
            <c:spPr>
              <a:solidFill>
                <a:srgbClr val="993366"/>
              </a:solidFill>
              <a:ln w="12700">
                <a:solidFill>
                  <a:srgbClr val="000000"/>
                </a:solidFill>
                <a:prstDash val="solid"/>
              </a:ln>
              <a:sp3d prstMaterial="matte"/>
            </c:spPr>
          </c:bandFmt>
          <c:bandFmt>
            <c:idx val="2"/>
            <c:spPr>
              <a:solidFill>
                <a:srgbClr val="FFFFCC"/>
              </a:solidFill>
              <a:ln w="12700">
                <a:solidFill>
                  <a:srgbClr val="000000"/>
                </a:solidFill>
                <a:prstDash val="solid"/>
              </a:ln>
              <a:sp3d prstMaterial="matte"/>
            </c:spPr>
          </c:bandFmt>
          <c:bandFmt>
            <c:idx val="3"/>
            <c:spPr>
              <a:solidFill>
                <a:srgbClr val="CCFFFF"/>
              </a:solidFill>
              <a:ln w="12700">
                <a:solidFill>
                  <a:srgbClr val="000000"/>
                </a:solidFill>
                <a:prstDash val="solid"/>
              </a:ln>
              <a:sp3d prstMaterial="matte"/>
            </c:spPr>
          </c:bandFmt>
          <c:bandFmt>
            <c:idx val="4"/>
            <c:spPr>
              <a:solidFill>
                <a:srgbClr val="660066"/>
              </a:solidFill>
              <a:ln w="12700">
                <a:solidFill>
                  <a:srgbClr val="000000"/>
                </a:solidFill>
                <a:prstDash val="solid"/>
              </a:ln>
              <a:sp3d prstMaterial="matte"/>
            </c:spPr>
          </c:bandFmt>
          <c:bandFmt>
            <c:idx val="5"/>
            <c:spPr>
              <a:solidFill>
                <a:srgbClr val="FF8080"/>
              </a:solidFill>
              <a:ln w="12700">
                <a:solidFill>
                  <a:srgbClr val="000000"/>
                </a:solidFill>
                <a:prstDash val="solid"/>
              </a:ln>
              <a:sp3d prstMaterial="matte"/>
            </c:spPr>
          </c:bandFmt>
          <c:bandFmt>
            <c:idx val="6"/>
            <c:spPr>
              <a:solidFill>
                <a:srgbClr val="0066CC"/>
              </a:solidFill>
              <a:ln w="12700">
                <a:solidFill>
                  <a:srgbClr val="000000"/>
                </a:solidFill>
                <a:prstDash val="solid"/>
              </a:ln>
              <a:sp3d prstMaterial="matte"/>
            </c:spPr>
          </c:bandFmt>
          <c:bandFmt>
            <c:idx val="7"/>
            <c:spPr>
              <a:solidFill>
                <a:srgbClr val="CCCCFF"/>
              </a:solidFill>
              <a:ln w="12700">
                <a:solidFill>
                  <a:srgbClr val="000000"/>
                </a:solidFill>
                <a:prstDash val="solid"/>
              </a:ln>
              <a:sp3d prstMaterial="matte"/>
            </c:spPr>
          </c:bandFmt>
          <c:bandFmt>
            <c:idx val="8"/>
            <c:spPr>
              <a:solidFill>
                <a:srgbClr val="000080"/>
              </a:solidFill>
              <a:ln w="12700">
                <a:solidFill>
                  <a:srgbClr val="000000"/>
                </a:solidFill>
                <a:prstDash val="solid"/>
              </a:ln>
              <a:sp3d prstMaterial="matte"/>
            </c:spPr>
          </c:bandFmt>
          <c:bandFmt>
            <c:idx val="9"/>
            <c:spPr>
              <a:solidFill>
                <a:srgbClr val="FF00FF"/>
              </a:solidFill>
              <a:ln w="12700">
                <a:solidFill>
                  <a:srgbClr val="000000"/>
                </a:solidFill>
                <a:prstDash val="solid"/>
              </a:ln>
              <a:sp3d prstMaterial="matte"/>
            </c:spPr>
          </c:bandFmt>
          <c:bandFmt>
            <c:idx val="10"/>
            <c:spPr>
              <a:solidFill>
                <a:srgbClr val="FFFF00"/>
              </a:solidFill>
              <a:ln w="12700">
                <a:solidFill>
                  <a:srgbClr val="000000"/>
                </a:solidFill>
                <a:prstDash val="solid"/>
              </a:ln>
              <a:sp3d prstMaterial="matte"/>
            </c:spPr>
          </c:bandFmt>
          <c:bandFmt>
            <c:idx val="11"/>
            <c:spPr>
              <a:solidFill>
                <a:srgbClr val="00FFFF"/>
              </a:solidFill>
              <a:ln w="12700">
                <a:solidFill>
                  <a:srgbClr val="000000"/>
                </a:solidFill>
                <a:prstDash val="solid"/>
              </a:ln>
              <a:sp3d prstMaterial="matte"/>
            </c:spPr>
          </c:bandFmt>
          <c:bandFmt>
            <c:idx val="12"/>
            <c:spPr>
              <a:solidFill>
                <a:srgbClr val="800080"/>
              </a:solidFill>
              <a:ln w="12700">
                <a:solidFill>
                  <a:srgbClr val="000000"/>
                </a:solidFill>
                <a:prstDash val="solid"/>
              </a:ln>
              <a:sp3d prstMaterial="matte"/>
            </c:spPr>
          </c:bandFmt>
          <c:bandFmt>
            <c:idx val="13"/>
            <c:spPr>
              <a:solidFill>
                <a:srgbClr val="800000"/>
              </a:solidFill>
              <a:ln w="12700">
                <a:solidFill>
                  <a:srgbClr val="000000"/>
                </a:solidFill>
                <a:prstDash val="solid"/>
              </a:ln>
              <a:sp3d prstMaterial="matte"/>
            </c:spPr>
          </c:bandFmt>
          <c:bandFmt>
            <c:idx val="14"/>
            <c:spPr>
              <a:solidFill>
                <a:srgbClr val="008080"/>
              </a:solidFill>
              <a:ln w="12700">
                <a:solidFill>
                  <a:srgbClr val="000000"/>
                </a:solidFill>
                <a:prstDash val="solid"/>
              </a:ln>
              <a:sp3d prstMaterial="matte"/>
            </c:spPr>
          </c:bandFmt>
          <c:bandFmt>
            <c:idx val="15"/>
            <c:spPr>
              <a:solidFill>
                <a:srgbClr val="0000FF"/>
              </a:solidFill>
              <a:ln w="12700">
                <a:solidFill>
                  <a:srgbClr val="000000"/>
                </a:solidFill>
                <a:prstDash val="solid"/>
              </a:ln>
              <a:sp3d prstMaterial="matte"/>
            </c:spPr>
          </c:bandFmt>
          <c:bandFmt>
            <c:idx val="16"/>
            <c:spPr>
              <a:solidFill>
                <a:srgbClr val="00CCFF"/>
              </a:solidFill>
              <a:ln w="12700">
                <a:solidFill>
                  <a:srgbClr val="000000"/>
                </a:solidFill>
                <a:prstDash val="solid"/>
              </a:ln>
              <a:sp3d prstMaterial="matte"/>
            </c:spPr>
          </c:bandFmt>
          <c:bandFmt>
            <c:idx val="17"/>
            <c:spPr>
              <a:solidFill>
                <a:srgbClr val="CCFFFF"/>
              </a:solidFill>
              <a:ln w="12700">
                <a:solidFill>
                  <a:srgbClr val="000000"/>
                </a:solidFill>
                <a:prstDash val="solid"/>
              </a:ln>
              <a:sp3d prstMaterial="matte"/>
            </c:spPr>
          </c:bandFmt>
          <c:bandFmt>
            <c:idx val="18"/>
            <c:spPr>
              <a:solidFill>
                <a:srgbClr val="CCFFCC"/>
              </a:solidFill>
              <a:ln w="12700">
                <a:solidFill>
                  <a:srgbClr val="000000"/>
                </a:solidFill>
                <a:prstDash val="solid"/>
              </a:ln>
              <a:sp3d prstMaterial="matte"/>
            </c:spPr>
          </c:bandFmt>
          <c:bandFmt>
            <c:idx val="19"/>
            <c:spPr>
              <a:solidFill>
                <a:srgbClr val="FFFF99"/>
              </a:solidFill>
              <a:ln w="12700">
                <a:solidFill>
                  <a:srgbClr val="000000"/>
                </a:solidFill>
                <a:prstDash val="solid"/>
              </a:ln>
              <a:sp3d prstMaterial="matte"/>
            </c:spPr>
          </c:bandFmt>
          <c:bandFmt>
            <c:idx val="20"/>
            <c:spPr>
              <a:solidFill>
                <a:srgbClr val="99CCFF"/>
              </a:solidFill>
              <a:ln w="12700">
                <a:solidFill>
                  <a:srgbClr val="000000"/>
                </a:solidFill>
                <a:prstDash val="solid"/>
              </a:ln>
              <a:sp3d prstMaterial="matte"/>
            </c:spPr>
          </c:bandFmt>
          <c:bandFmt>
            <c:idx val="21"/>
            <c:spPr>
              <a:solidFill>
                <a:srgbClr val="FF99CC"/>
              </a:solidFill>
              <a:ln w="12700">
                <a:solidFill>
                  <a:srgbClr val="000000"/>
                </a:solidFill>
                <a:prstDash val="solid"/>
              </a:ln>
              <a:sp3d prstMaterial="matte"/>
            </c:spPr>
          </c:bandFmt>
          <c:bandFmt>
            <c:idx val="22"/>
            <c:spPr>
              <a:solidFill>
                <a:srgbClr val="CC99FF"/>
              </a:solidFill>
              <a:ln w="12700">
                <a:solidFill>
                  <a:srgbClr val="000000"/>
                </a:solidFill>
                <a:prstDash val="solid"/>
              </a:ln>
              <a:sp3d prstMaterial="matte"/>
            </c:spPr>
          </c:bandFmt>
          <c:bandFmt>
            <c:idx val="23"/>
            <c:spPr>
              <a:solidFill>
                <a:srgbClr val="FFCC99"/>
              </a:solidFill>
              <a:ln w="12700">
                <a:solidFill>
                  <a:srgbClr val="000000"/>
                </a:solidFill>
                <a:prstDash val="solid"/>
              </a:ln>
              <a:sp3d prstMaterial="matte"/>
            </c:spPr>
          </c:bandFmt>
          <c:bandFmt>
            <c:idx val="24"/>
            <c:spPr>
              <a:solidFill>
                <a:srgbClr val="3366FF"/>
              </a:solidFill>
              <a:ln w="12700">
                <a:solidFill>
                  <a:srgbClr val="000000"/>
                </a:solidFill>
                <a:prstDash val="solid"/>
              </a:ln>
              <a:sp3d prstMaterial="matte"/>
            </c:spPr>
          </c:bandFmt>
          <c:bandFmt>
            <c:idx val="25"/>
            <c:spPr>
              <a:solidFill>
                <a:srgbClr val="33CCCC"/>
              </a:solidFill>
              <a:ln w="12700">
                <a:solidFill>
                  <a:srgbClr val="000000"/>
                </a:solidFill>
                <a:prstDash val="solid"/>
              </a:ln>
              <a:sp3d prstMaterial="matte"/>
            </c:spPr>
          </c:bandFmt>
          <c:bandFmt>
            <c:idx val="26"/>
            <c:spPr>
              <a:solidFill>
                <a:srgbClr val="99CC00"/>
              </a:solidFill>
              <a:ln w="12700">
                <a:solidFill>
                  <a:srgbClr val="000000"/>
                </a:solidFill>
                <a:prstDash val="solid"/>
              </a:ln>
              <a:sp3d prstMaterial="matte"/>
            </c:spPr>
          </c:bandFmt>
          <c:bandFmt>
            <c:idx val="27"/>
            <c:spPr>
              <a:solidFill>
                <a:srgbClr val="FFCC00"/>
              </a:solidFill>
              <a:ln w="12700">
                <a:solidFill>
                  <a:srgbClr val="000000"/>
                </a:solidFill>
                <a:prstDash val="solid"/>
              </a:ln>
              <a:sp3d prstMaterial="matte"/>
            </c:spPr>
          </c:bandFmt>
          <c:bandFmt>
            <c:idx val="28"/>
            <c:spPr>
              <a:solidFill>
                <a:srgbClr val="FF9900"/>
              </a:solidFill>
              <a:ln w="12700">
                <a:solidFill>
                  <a:srgbClr val="000000"/>
                </a:solidFill>
                <a:prstDash val="solid"/>
              </a:ln>
              <a:sp3d prstMaterial="matte"/>
            </c:spPr>
          </c:bandFmt>
          <c:bandFmt>
            <c:idx val="29"/>
            <c:spPr>
              <a:solidFill>
                <a:srgbClr val="FF6600"/>
              </a:solidFill>
              <a:ln w="12700">
                <a:solidFill>
                  <a:srgbClr val="000000"/>
                </a:solidFill>
                <a:prstDash val="solid"/>
              </a:ln>
              <a:sp3d prstMaterial="matte"/>
            </c:spPr>
          </c:bandFmt>
          <c:bandFmt>
            <c:idx val="30"/>
            <c:spPr>
              <a:solidFill>
                <a:srgbClr val="666699"/>
              </a:solidFill>
              <a:ln w="12700">
                <a:solidFill>
                  <a:srgbClr val="000000"/>
                </a:solidFill>
                <a:prstDash val="solid"/>
              </a:ln>
              <a:sp3d prstMaterial="matte"/>
            </c:spPr>
          </c:bandFmt>
          <c:bandFmt>
            <c:idx val="31"/>
            <c:spPr>
              <a:solidFill>
                <a:srgbClr val="969696"/>
              </a:solidFill>
              <a:ln w="12700">
                <a:solidFill>
                  <a:srgbClr val="000000"/>
                </a:solidFill>
                <a:prstDash val="solid"/>
              </a:ln>
              <a:sp3d prstMaterial="matte"/>
            </c:spPr>
          </c:bandFmt>
          <c:bandFmt>
            <c:idx val="32"/>
            <c:spPr>
              <a:solidFill>
                <a:srgbClr val="003366"/>
              </a:solidFill>
              <a:ln w="12700">
                <a:solidFill>
                  <a:srgbClr val="000000"/>
                </a:solidFill>
                <a:prstDash val="solid"/>
              </a:ln>
              <a:sp3d prstMaterial="matte"/>
            </c:spPr>
          </c:bandFmt>
          <c:bandFmt>
            <c:idx val="33"/>
            <c:spPr>
              <a:solidFill>
                <a:srgbClr val="339966"/>
              </a:solidFill>
              <a:ln w="12700">
                <a:solidFill>
                  <a:srgbClr val="000000"/>
                </a:solidFill>
                <a:prstDash val="solid"/>
              </a:ln>
              <a:sp3d prstMaterial="matte"/>
            </c:spPr>
          </c:bandFmt>
          <c:bandFmt>
            <c:idx val="34"/>
            <c:spPr>
              <a:solidFill>
                <a:srgbClr val="003300"/>
              </a:solidFill>
              <a:ln w="12700">
                <a:solidFill>
                  <a:srgbClr val="000000"/>
                </a:solidFill>
                <a:prstDash val="solid"/>
              </a:ln>
              <a:sp3d prstMaterial="matte"/>
            </c:spPr>
          </c:bandFmt>
          <c:bandFmt>
            <c:idx val="35"/>
            <c:spPr>
              <a:solidFill>
                <a:srgbClr val="333300"/>
              </a:solidFill>
              <a:ln w="12700">
                <a:solidFill>
                  <a:srgbClr val="000000"/>
                </a:solidFill>
                <a:prstDash val="solid"/>
              </a:ln>
              <a:sp3d prstMaterial="matte"/>
            </c:spPr>
          </c:bandFmt>
          <c:bandFmt>
            <c:idx val="36"/>
            <c:spPr>
              <a:solidFill>
                <a:srgbClr val="993300"/>
              </a:solidFill>
              <a:ln w="12700">
                <a:solidFill>
                  <a:srgbClr val="000000"/>
                </a:solidFill>
                <a:prstDash val="solid"/>
              </a:ln>
              <a:sp3d prstMaterial="matte"/>
            </c:spPr>
          </c:bandFmt>
          <c:bandFmt>
            <c:idx val="37"/>
            <c:spPr>
              <a:solidFill>
                <a:srgbClr val="993366"/>
              </a:solidFill>
              <a:ln w="12700">
                <a:solidFill>
                  <a:srgbClr val="000000"/>
                </a:solidFill>
                <a:prstDash val="solid"/>
              </a:ln>
              <a:sp3d prstMaterial="matte"/>
            </c:spPr>
          </c:bandFmt>
          <c:bandFmt>
            <c:idx val="38"/>
            <c:spPr>
              <a:solidFill>
                <a:srgbClr val="333399"/>
              </a:solidFill>
              <a:ln w="12700">
                <a:solidFill>
                  <a:srgbClr val="000000"/>
                </a:solidFill>
                <a:prstDash val="solid"/>
              </a:ln>
              <a:sp3d prstMaterial="matte"/>
            </c:spPr>
          </c:bandFmt>
          <c:bandFmt>
            <c:idx val="39"/>
            <c:spPr>
              <a:solidFill>
                <a:srgbClr val="333333"/>
              </a:solidFill>
              <a:ln w="12700">
                <a:solidFill>
                  <a:srgbClr val="000000"/>
                </a:solidFill>
                <a:prstDash val="solid"/>
              </a:ln>
              <a:sp3d prstMaterial="matte"/>
            </c:spPr>
          </c:bandFmt>
          <c:bandFmt>
            <c:idx val="40"/>
            <c:spPr>
              <a:solidFill>
                <a:srgbClr val="000000"/>
              </a:solidFill>
              <a:ln w="12700">
                <a:solidFill>
                  <a:srgbClr val="000000"/>
                </a:solidFill>
                <a:prstDash val="solid"/>
              </a:ln>
              <a:sp3d prstMaterial="matte"/>
            </c:spPr>
          </c:bandFmt>
          <c:bandFmt>
            <c:idx val="41"/>
            <c:spPr>
              <a:solidFill>
                <a:srgbClr val="FFFFFF"/>
              </a:solidFill>
              <a:ln w="12700">
                <a:solidFill>
                  <a:srgbClr val="000000"/>
                </a:solidFill>
                <a:prstDash val="solid"/>
              </a:ln>
              <a:sp3d prstMaterial="matte"/>
            </c:spPr>
          </c:bandFmt>
          <c:bandFmt>
            <c:idx val="42"/>
            <c:spPr>
              <a:solidFill>
                <a:srgbClr val="FF0000"/>
              </a:solidFill>
              <a:ln w="12700">
                <a:solidFill>
                  <a:srgbClr val="000000"/>
                </a:solidFill>
                <a:prstDash val="solid"/>
              </a:ln>
              <a:sp3d prstMaterial="matte"/>
            </c:spPr>
          </c:bandFmt>
          <c:bandFmt>
            <c:idx val="43"/>
            <c:spPr>
              <a:solidFill>
                <a:srgbClr val="00FF00"/>
              </a:solidFill>
              <a:ln w="12700">
                <a:solidFill>
                  <a:srgbClr val="000000"/>
                </a:solidFill>
                <a:prstDash val="solid"/>
              </a:ln>
              <a:sp3d prstMaterial="matte"/>
            </c:spPr>
          </c:bandFmt>
          <c:bandFmt>
            <c:idx val="44"/>
            <c:spPr>
              <a:solidFill>
                <a:srgbClr val="0000FF"/>
              </a:solidFill>
              <a:ln w="12700">
                <a:solidFill>
                  <a:srgbClr val="000000"/>
                </a:solidFill>
                <a:prstDash val="solid"/>
              </a:ln>
              <a:sp3d prstMaterial="matte"/>
            </c:spPr>
          </c:bandFmt>
          <c:bandFmt>
            <c:idx val="45"/>
            <c:spPr>
              <a:solidFill>
                <a:srgbClr val="FFFF00"/>
              </a:solidFill>
              <a:ln w="12700">
                <a:solidFill>
                  <a:srgbClr val="000000"/>
                </a:solidFill>
                <a:prstDash val="solid"/>
              </a:ln>
              <a:sp3d prstMaterial="matte"/>
            </c:spPr>
          </c:bandFmt>
          <c:bandFmt>
            <c:idx val="46"/>
            <c:spPr>
              <a:solidFill>
                <a:srgbClr val="FF00FF"/>
              </a:solidFill>
              <a:ln w="12700">
                <a:solidFill>
                  <a:srgbClr val="000000"/>
                </a:solidFill>
                <a:prstDash val="solid"/>
              </a:ln>
              <a:sp3d prstMaterial="matte"/>
            </c:spPr>
          </c:bandFmt>
          <c:bandFmt>
            <c:idx val="47"/>
            <c:spPr>
              <a:solidFill>
                <a:srgbClr val="00FFFF"/>
              </a:solidFill>
              <a:ln w="12700">
                <a:solidFill>
                  <a:srgbClr val="000000"/>
                </a:solidFill>
                <a:prstDash val="solid"/>
              </a:ln>
              <a:sp3d prstMaterial="matte"/>
            </c:spPr>
          </c:bandFmt>
        </c:bandFmts>
        <c:axId val="88197760"/>
        <c:axId val="88199552"/>
        <c:axId val="86893440"/>
      </c:surfaceChart>
      <c:catAx>
        <c:axId val="88197760"/>
        <c:scaling>
          <c:orientation val="minMax"/>
        </c:scaling>
        <c:axPos val="b"/>
        <c:numFmt formatCode="General" sourceLinked="1"/>
        <c:tickLblPos val="low"/>
        <c:spPr>
          <a:ln w="3175">
            <a:solidFill>
              <a:srgbClr val="000000"/>
            </a:solidFill>
            <a:prstDash val="solid"/>
          </a:ln>
        </c:spPr>
        <c:txPr>
          <a:bodyPr rot="-5400000" vert="horz"/>
          <a:lstStyle/>
          <a:p>
            <a:pPr>
              <a:defRPr sz="1150" b="0" i="0" u="none" strike="noStrike" baseline="0">
                <a:solidFill>
                  <a:srgbClr val="000000"/>
                </a:solidFill>
                <a:latin typeface="Arial"/>
                <a:ea typeface="Arial"/>
                <a:cs typeface="Arial"/>
              </a:defRPr>
            </a:pPr>
            <a:endParaRPr lang="en-US"/>
          </a:p>
        </c:txPr>
        <c:crossAx val="88199552"/>
        <c:crosses val="autoZero"/>
        <c:auto val="1"/>
        <c:lblAlgn val="ctr"/>
        <c:lblOffset val="100"/>
        <c:tickLblSkip val="2"/>
        <c:tickMarkSkip val="1"/>
        <c:noMultiLvlLbl val="1"/>
      </c:catAx>
      <c:valAx>
        <c:axId val="88199552"/>
        <c:scaling>
          <c:orientation val="minMax"/>
          <c:max val="38"/>
          <c:min val="-10"/>
        </c:scaling>
        <c:axPos val="l"/>
        <c:majorGridlines>
          <c:spPr>
            <a:ln w="3175">
              <a:solidFill>
                <a:srgbClr val="C0C0C0"/>
              </a:solidFill>
              <a:prstDash val="solid"/>
            </a:ln>
          </c:spPr>
        </c:majorGridlines>
        <c:numFmt formatCode="0" sourceLinked="1"/>
        <c:majorTickMark val="none"/>
        <c:tickLblPos val="none"/>
        <c:spPr>
          <a:ln w="3175">
            <a:solidFill>
              <a:srgbClr val="000000"/>
            </a:solidFill>
            <a:prstDash val="solid"/>
          </a:ln>
        </c:spPr>
        <c:crossAx val="88197760"/>
        <c:crosses val="autoZero"/>
        <c:crossBetween val="midCat"/>
        <c:majorUnit val="1"/>
        <c:minorUnit val="0.5"/>
      </c:valAx>
      <c:serAx>
        <c:axId val="86893440"/>
        <c:scaling>
          <c:orientation val="maxMin"/>
        </c:scaling>
        <c:axPos val="b"/>
        <c:numFmt formatCode="General" sourceLinked="1"/>
        <c:tickLblPos val="low"/>
        <c:spPr>
          <a:ln w="3175">
            <a:solidFill>
              <a:srgbClr val="000000"/>
            </a:solidFill>
            <a:prstDash val="solid"/>
          </a:ln>
        </c:spPr>
        <c:txPr>
          <a:bodyPr rot="0" vert="horz"/>
          <a:lstStyle/>
          <a:p>
            <a:pPr>
              <a:defRPr sz="1350" b="0" i="0" u="none" strike="noStrike" baseline="0">
                <a:solidFill>
                  <a:srgbClr val="000000"/>
                </a:solidFill>
                <a:latin typeface="Arial"/>
                <a:ea typeface="Arial"/>
                <a:cs typeface="Arial"/>
              </a:defRPr>
            </a:pPr>
            <a:endParaRPr lang="en-US"/>
          </a:p>
        </c:txPr>
        <c:crossAx val="88199552"/>
        <c:crosses val="autoZero"/>
        <c:tickLblSkip val="2"/>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orientation="landscape" horizontalDpi="200" verticalDpi="200"/>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0"/>
      <c:depthPercent val="100"/>
      <c:perspective val="0"/>
    </c:view3D>
    <c:floor>
      <c:spPr>
        <a:noFill/>
        <a:ln w="9525">
          <a:noFill/>
        </a:ln>
      </c:spPr>
    </c:floor>
    <c:sideWall>
      <c:spPr>
        <a:noFill/>
        <a:ln w="25400">
          <a:noFill/>
        </a:ln>
      </c:spPr>
    </c:sideWall>
    <c:backWall>
      <c:spPr>
        <a:noFill/>
        <a:ln w="25400">
          <a:noFill/>
        </a:ln>
      </c:spPr>
    </c:backWall>
    <c:plotArea>
      <c:layout>
        <c:manualLayout>
          <c:layoutTarget val="inner"/>
          <c:xMode val="edge"/>
          <c:yMode val="edge"/>
          <c:x val="5.0679851668726801E-2"/>
          <c:y val="2.3769100169779296E-2"/>
          <c:w val="0.84065213395018268"/>
          <c:h val="0.87546598248252672"/>
        </c:manualLayout>
      </c:layout>
      <c:surfaceChart>
        <c:ser>
          <c:idx val="0"/>
          <c:order val="0"/>
          <c:tx>
            <c:strRef>
              <c:f>'Timing - BIG MAP'!$AA$35</c:f>
              <c:strCache>
                <c:ptCount val="1"/>
                <c:pt idx="0">
                  <c:v>500</c:v>
                </c:pt>
              </c:strCache>
            </c:strRef>
          </c:tx>
          <c:spPr>
            <a:solidFill>
              <a:srgbClr val="9999FF"/>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MAP'!$AB$35:$BE$35</c:f>
              <c:numCache>
                <c:formatCode>0</c:formatCode>
                <c:ptCount val="30"/>
                <c:pt idx="0">
                  <c:v>13</c:v>
                </c:pt>
                <c:pt idx="1">
                  <c:v>13</c:v>
                </c:pt>
                <c:pt idx="2">
                  <c:v>13</c:v>
                </c:pt>
                <c:pt idx="3">
                  <c:v>13</c:v>
                </c:pt>
                <c:pt idx="4">
                  <c:v>12</c:v>
                </c:pt>
                <c:pt idx="5">
                  <c:v>12</c:v>
                </c:pt>
                <c:pt idx="6">
                  <c:v>12</c:v>
                </c:pt>
                <c:pt idx="7">
                  <c:v>11</c:v>
                </c:pt>
                <c:pt idx="8">
                  <c:v>10</c:v>
                </c:pt>
                <c:pt idx="9">
                  <c:v>9</c:v>
                </c:pt>
                <c:pt idx="10">
                  <c:v>6</c:v>
                </c:pt>
                <c:pt idx="11">
                  <c:v>4</c:v>
                </c:pt>
                <c:pt idx="12">
                  <c:v>3</c:v>
                </c:pt>
                <c:pt idx="13">
                  <c:v>2</c:v>
                </c:pt>
                <c:pt idx="14">
                  <c:v>2</c:v>
                </c:pt>
                <c:pt idx="15">
                  <c:v>2</c:v>
                </c:pt>
                <c:pt idx="16">
                  <c:v>1</c:v>
                </c:pt>
                <c:pt idx="17">
                  <c:v>0</c:v>
                </c:pt>
                <c:pt idx="18">
                  <c:v>-2</c:v>
                </c:pt>
                <c:pt idx="19">
                  <c:v>-3</c:v>
                </c:pt>
                <c:pt idx="20">
                  <c:v>-5</c:v>
                </c:pt>
                <c:pt idx="21">
                  <c:v>-6</c:v>
                </c:pt>
                <c:pt idx="22">
                  <c:v>-7</c:v>
                </c:pt>
                <c:pt idx="23">
                  <c:v>-7</c:v>
                </c:pt>
                <c:pt idx="24">
                  <c:v>-7</c:v>
                </c:pt>
                <c:pt idx="25">
                  <c:v>-7</c:v>
                </c:pt>
                <c:pt idx="26">
                  <c:v>-7</c:v>
                </c:pt>
                <c:pt idx="27">
                  <c:v>-7</c:v>
                </c:pt>
                <c:pt idx="28">
                  <c:v>-7</c:v>
                </c:pt>
                <c:pt idx="29">
                  <c:v>-7</c:v>
                </c:pt>
              </c:numCache>
            </c:numRef>
          </c:val>
        </c:ser>
        <c:ser>
          <c:idx val="1"/>
          <c:order val="1"/>
          <c:tx>
            <c:strRef>
              <c:f>'Timing - BIG MAP'!$AA$36</c:f>
              <c:strCache>
                <c:ptCount val="1"/>
                <c:pt idx="0">
                  <c:v>1000</c:v>
                </c:pt>
              </c:strCache>
            </c:strRef>
          </c:tx>
          <c:spPr>
            <a:solidFill>
              <a:srgbClr val="993366"/>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MAP'!$AB$36:$BE$36</c:f>
              <c:numCache>
                <c:formatCode>0</c:formatCode>
                <c:ptCount val="30"/>
                <c:pt idx="0">
                  <c:v>13</c:v>
                </c:pt>
                <c:pt idx="1">
                  <c:v>13</c:v>
                </c:pt>
                <c:pt idx="2">
                  <c:v>13</c:v>
                </c:pt>
                <c:pt idx="3">
                  <c:v>13</c:v>
                </c:pt>
                <c:pt idx="4">
                  <c:v>13</c:v>
                </c:pt>
                <c:pt idx="5">
                  <c:v>13</c:v>
                </c:pt>
                <c:pt idx="6">
                  <c:v>13</c:v>
                </c:pt>
                <c:pt idx="7">
                  <c:v>12</c:v>
                </c:pt>
                <c:pt idx="8">
                  <c:v>11</c:v>
                </c:pt>
                <c:pt idx="9">
                  <c:v>10</c:v>
                </c:pt>
                <c:pt idx="10">
                  <c:v>7</c:v>
                </c:pt>
                <c:pt idx="11">
                  <c:v>5</c:v>
                </c:pt>
                <c:pt idx="12">
                  <c:v>4</c:v>
                </c:pt>
                <c:pt idx="13">
                  <c:v>3</c:v>
                </c:pt>
                <c:pt idx="14">
                  <c:v>3</c:v>
                </c:pt>
                <c:pt idx="15">
                  <c:v>3</c:v>
                </c:pt>
                <c:pt idx="16">
                  <c:v>2</c:v>
                </c:pt>
                <c:pt idx="17">
                  <c:v>0</c:v>
                </c:pt>
                <c:pt idx="18">
                  <c:v>-1</c:v>
                </c:pt>
                <c:pt idx="19">
                  <c:v>-2</c:v>
                </c:pt>
                <c:pt idx="20">
                  <c:v>-4</c:v>
                </c:pt>
                <c:pt idx="21">
                  <c:v>-5</c:v>
                </c:pt>
                <c:pt idx="22">
                  <c:v>-6</c:v>
                </c:pt>
                <c:pt idx="23">
                  <c:v>-6</c:v>
                </c:pt>
                <c:pt idx="24">
                  <c:v>-6</c:v>
                </c:pt>
                <c:pt idx="25">
                  <c:v>-6</c:v>
                </c:pt>
                <c:pt idx="26">
                  <c:v>-6</c:v>
                </c:pt>
                <c:pt idx="27">
                  <c:v>-6</c:v>
                </c:pt>
                <c:pt idx="28">
                  <c:v>-6</c:v>
                </c:pt>
                <c:pt idx="29">
                  <c:v>-6</c:v>
                </c:pt>
              </c:numCache>
            </c:numRef>
          </c:val>
        </c:ser>
        <c:ser>
          <c:idx val="2"/>
          <c:order val="2"/>
          <c:tx>
            <c:strRef>
              <c:f>'Timing - BIG MAP'!$AA$37</c:f>
              <c:strCache>
                <c:ptCount val="1"/>
                <c:pt idx="0">
                  <c:v>1250</c:v>
                </c:pt>
              </c:strCache>
            </c:strRef>
          </c:tx>
          <c:spPr>
            <a:solidFill>
              <a:srgbClr val="FFFFCC"/>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MAP'!$AB$37:$BE$37</c:f>
              <c:numCache>
                <c:formatCode>0</c:formatCode>
                <c:ptCount val="30"/>
                <c:pt idx="0">
                  <c:v>15</c:v>
                </c:pt>
                <c:pt idx="1">
                  <c:v>15</c:v>
                </c:pt>
                <c:pt idx="2">
                  <c:v>15</c:v>
                </c:pt>
                <c:pt idx="3">
                  <c:v>15</c:v>
                </c:pt>
                <c:pt idx="4">
                  <c:v>15</c:v>
                </c:pt>
                <c:pt idx="5">
                  <c:v>15</c:v>
                </c:pt>
                <c:pt idx="6">
                  <c:v>14</c:v>
                </c:pt>
                <c:pt idx="7">
                  <c:v>14</c:v>
                </c:pt>
                <c:pt idx="8">
                  <c:v>13</c:v>
                </c:pt>
                <c:pt idx="9">
                  <c:v>11</c:v>
                </c:pt>
                <c:pt idx="10">
                  <c:v>8</c:v>
                </c:pt>
                <c:pt idx="11">
                  <c:v>6</c:v>
                </c:pt>
                <c:pt idx="12">
                  <c:v>5</c:v>
                </c:pt>
                <c:pt idx="13">
                  <c:v>4</c:v>
                </c:pt>
                <c:pt idx="14">
                  <c:v>4</c:v>
                </c:pt>
                <c:pt idx="15">
                  <c:v>4</c:v>
                </c:pt>
                <c:pt idx="16">
                  <c:v>3</c:v>
                </c:pt>
                <c:pt idx="17">
                  <c:v>2</c:v>
                </c:pt>
                <c:pt idx="18">
                  <c:v>1</c:v>
                </c:pt>
                <c:pt idx="19">
                  <c:v>0</c:v>
                </c:pt>
                <c:pt idx="20">
                  <c:v>-1</c:v>
                </c:pt>
                <c:pt idx="21">
                  <c:v>-2</c:v>
                </c:pt>
                <c:pt idx="22">
                  <c:v>-2</c:v>
                </c:pt>
                <c:pt idx="23">
                  <c:v>-2</c:v>
                </c:pt>
                <c:pt idx="24">
                  <c:v>-2</c:v>
                </c:pt>
                <c:pt idx="25">
                  <c:v>-2</c:v>
                </c:pt>
                <c:pt idx="26">
                  <c:v>-2</c:v>
                </c:pt>
                <c:pt idx="27">
                  <c:v>-2</c:v>
                </c:pt>
                <c:pt idx="28">
                  <c:v>-2</c:v>
                </c:pt>
                <c:pt idx="29">
                  <c:v>-2</c:v>
                </c:pt>
              </c:numCache>
            </c:numRef>
          </c:val>
        </c:ser>
        <c:ser>
          <c:idx val="3"/>
          <c:order val="3"/>
          <c:tx>
            <c:strRef>
              <c:f>'Timing - BIG MAP'!$AA$38</c:f>
              <c:strCache>
                <c:ptCount val="1"/>
                <c:pt idx="0">
                  <c:v>1500</c:v>
                </c:pt>
              </c:strCache>
            </c:strRef>
          </c:tx>
          <c:spPr>
            <a:solidFill>
              <a:srgbClr val="CCFFFF"/>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MAP'!$AB$38:$BE$38</c:f>
              <c:numCache>
                <c:formatCode>0</c:formatCode>
                <c:ptCount val="30"/>
                <c:pt idx="0">
                  <c:v>18</c:v>
                </c:pt>
                <c:pt idx="1">
                  <c:v>18</c:v>
                </c:pt>
                <c:pt idx="2">
                  <c:v>18</c:v>
                </c:pt>
                <c:pt idx="3">
                  <c:v>18</c:v>
                </c:pt>
                <c:pt idx="4">
                  <c:v>18</c:v>
                </c:pt>
                <c:pt idx="5">
                  <c:v>18</c:v>
                </c:pt>
                <c:pt idx="6">
                  <c:v>18</c:v>
                </c:pt>
                <c:pt idx="7">
                  <c:v>17</c:v>
                </c:pt>
                <c:pt idx="8">
                  <c:v>15</c:v>
                </c:pt>
                <c:pt idx="9">
                  <c:v>12</c:v>
                </c:pt>
                <c:pt idx="10">
                  <c:v>10</c:v>
                </c:pt>
                <c:pt idx="11">
                  <c:v>7</c:v>
                </c:pt>
                <c:pt idx="12">
                  <c:v>6</c:v>
                </c:pt>
                <c:pt idx="13">
                  <c:v>6</c:v>
                </c:pt>
                <c:pt idx="14">
                  <c:v>5</c:v>
                </c:pt>
                <c:pt idx="15">
                  <c:v>5</c:v>
                </c:pt>
                <c:pt idx="16">
                  <c:v>4</c:v>
                </c:pt>
                <c:pt idx="17">
                  <c:v>3</c:v>
                </c:pt>
                <c:pt idx="18">
                  <c:v>2</c:v>
                </c:pt>
                <c:pt idx="19">
                  <c:v>1</c:v>
                </c:pt>
                <c:pt idx="20">
                  <c:v>0</c:v>
                </c:pt>
                <c:pt idx="21">
                  <c:v>-1</c:v>
                </c:pt>
                <c:pt idx="22">
                  <c:v>-1</c:v>
                </c:pt>
                <c:pt idx="23">
                  <c:v>-1</c:v>
                </c:pt>
                <c:pt idx="24">
                  <c:v>-1</c:v>
                </c:pt>
                <c:pt idx="25">
                  <c:v>-1</c:v>
                </c:pt>
                <c:pt idx="26">
                  <c:v>-1</c:v>
                </c:pt>
                <c:pt idx="27">
                  <c:v>-1</c:v>
                </c:pt>
                <c:pt idx="28">
                  <c:v>-1</c:v>
                </c:pt>
                <c:pt idx="29">
                  <c:v>-1</c:v>
                </c:pt>
              </c:numCache>
            </c:numRef>
          </c:val>
        </c:ser>
        <c:ser>
          <c:idx val="4"/>
          <c:order val="4"/>
          <c:tx>
            <c:strRef>
              <c:f>'Timing - BIG MAP'!$AA$39</c:f>
              <c:strCache>
                <c:ptCount val="1"/>
                <c:pt idx="0">
                  <c:v>2000</c:v>
                </c:pt>
              </c:strCache>
            </c:strRef>
          </c:tx>
          <c:spPr>
            <a:solidFill>
              <a:srgbClr val="660066"/>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MAP'!$AB$39:$BE$39</c:f>
              <c:numCache>
                <c:formatCode>0</c:formatCode>
                <c:ptCount val="30"/>
                <c:pt idx="0">
                  <c:v>29</c:v>
                </c:pt>
                <c:pt idx="1">
                  <c:v>29</c:v>
                </c:pt>
                <c:pt idx="2">
                  <c:v>29</c:v>
                </c:pt>
                <c:pt idx="3">
                  <c:v>28</c:v>
                </c:pt>
                <c:pt idx="4">
                  <c:v>27</c:v>
                </c:pt>
                <c:pt idx="5">
                  <c:v>26</c:v>
                </c:pt>
                <c:pt idx="6">
                  <c:v>25</c:v>
                </c:pt>
                <c:pt idx="7">
                  <c:v>23</c:v>
                </c:pt>
                <c:pt idx="8">
                  <c:v>19</c:v>
                </c:pt>
                <c:pt idx="9">
                  <c:v>16</c:v>
                </c:pt>
                <c:pt idx="10">
                  <c:v>14</c:v>
                </c:pt>
                <c:pt idx="11">
                  <c:v>10</c:v>
                </c:pt>
                <c:pt idx="12">
                  <c:v>8</c:v>
                </c:pt>
                <c:pt idx="13">
                  <c:v>7</c:v>
                </c:pt>
                <c:pt idx="14">
                  <c:v>6</c:v>
                </c:pt>
                <c:pt idx="15">
                  <c:v>5</c:v>
                </c:pt>
                <c:pt idx="16">
                  <c:v>4</c:v>
                </c:pt>
                <c:pt idx="17">
                  <c:v>4</c:v>
                </c:pt>
                <c:pt idx="18">
                  <c:v>3</c:v>
                </c:pt>
                <c:pt idx="19">
                  <c:v>3</c:v>
                </c:pt>
                <c:pt idx="20">
                  <c:v>2</c:v>
                </c:pt>
                <c:pt idx="21">
                  <c:v>0</c:v>
                </c:pt>
                <c:pt idx="22">
                  <c:v>0</c:v>
                </c:pt>
                <c:pt idx="23">
                  <c:v>0</c:v>
                </c:pt>
                <c:pt idx="24">
                  <c:v>-1</c:v>
                </c:pt>
                <c:pt idx="25">
                  <c:v>-1</c:v>
                </c:pt>
                <c:pt idx="26">
                  <c:v>-1</c:v>
                </c:pt>
                <c:pt idx="27">
                  <c:v>-1</c:v>
                </c:pt>
                <c:pt idx="28">
                  <c:v>-1</c:v>
                </c:pt>
                <c:pt idx="29">
                  <c:v>-1</c:v>
                </c:pt>
              </c:numCache>
            </c:numRef>
          </c:val>
        </c:ser>
        <c:ser>
          <c:idx val="5"/>
          <c:order val="5"/>
          <c:tx>
            <c:strRef>
              <c:f>'Timing - BIG MAP'!$AA$40</c:f>
              <c:strCache>
                <c:ptCount val="1"/>
                <c:pt idx="0">
                  <c:v>2500</c:v>
                </c:pt>
              </c:strCache>
            </c:strRef>
          </c:tx>
          <c:spPr>
            <a:solidFill>
              <a:srgbClr val="FF8080"/>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MAP'!$AB$40:$BE$40</c:f>
              <c:numCache>
                <c:formatCode>0</c:formatCode>
                <c:ptCount val="30"/>
                <c:pt idx="0">
                  <c:v>33</c:v>
                </c:pt>
                <c:pt idx="1">
                  <c:v>33</c:v>
                </c:pt>
                <c:pt idx="2">
                  <c:v>33</c:v>
                </c:pt>
                <c:pt idx="3">
                  <c:v>31</c:v>
                </c:pt>
                <c:pt idx="4">
                  <c:v>30</c:v>
                </c:pt>
                <c:pt idx="5">
                  <c:v>29</c:v>
                </c:pt>
                <c:pt idx="6">
                  <c:v>27</c:v>
                </c:pt>
                <c:pt idx="7">
                  <c:v>25</c:v>
                </c:pt>
                <c:pt idx="8">
                  <c:v>21</c:v>
                </c:pt>
                <c:pt idx="9">
                  <c:v>18</c:v>
                </c:pt>
                <c:pt idx="10">
                  <c:v>15</c:v>
                </c:pt>
                <c:pt idx="11">
                  <c:v>11</c:v>
                </c:pt>
                <c:pt idx="12">
                  <c:v>9</c:v>
                </c:pt>
                <c:pt idx="13">
                  <c:v>7</c:v>
                </c:pt>
                <c:pt idx="14">
                  <c:v>6</c:v>
                </c:pt>
                <c:pt idx="15">
                  <c:v>6</c:v>
                </c:pt>
                <c:pt idx="16">
                  <c:v>5</c:v>
                </c:pt>
                <c:pt idx="17">
                  <c:v>5</c:v>
                </c:pt>
                <c:pt idx="18">
                  <c:v>4</c:v>
                </c:pt>
                <c:pt idx="19">
                  <c:v>3</c:v>
                </c:pt>
                <c:pt idx="20">
                  <c:v>2</c:v>
                </c:pt>
                <c:pt idx="21">
                  <c:v>1</c:v>
                </c:pt>
                <c:pt idx="22">
                  <c:v>0</c:v>
                </c:pt>
                <c:pt idx="23">
                  <c:v>0</c:v>
                </c:pt>
                <c:pt idx="24">
                  <c:v>-1</c:v>
                </c:pt>
                <c:pt idx="25">
                  <c:v>-1</c:v>
                </c:pt>
                <c:pt idx="26">
                  <c:v>-1</c:v>
                </c:pt>
                <c:pt idx="27">
                  <c:v>-1</c:v>
                </c:pt>
                <c:pt idx="28">
                  <c:v>-1</c:v>
                </c:pt>
                <c:pt idx="29">
                  <c:v>-1</c:v>
                </c:pt>
              </c:numCache>
            </c:numRef>
          </c:val>
        </c:ser>
        <c:ser>
          <c:idx val="6"/>
          <c:order val="6"/>
          <c:tx>
            <c:strRef>
              <c:f>'Timing - BIG MAP'!$AA$41</c:f>
              <c:strCache>
                <c:ptCount val="1"/>
                <c:pt idx="0">
                  <c:v>2750</c:v>
                </c:pt>
              </c:strCache>
            </c:strRef>
          </c:tx>
          <c:spPr>
            <a:solidFill>
              <a:srgbClr val="0066CC"/>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MAP'!$AB$41:$BE$41</c:f>
              <c:numCache>
                <c:formatCode>0</c:formatCode>
                <c:ptCount val="30"/>
                <c:pt idx="0">
                  <c:v>35</c:v>
                </c:pt>
                <c:pt idx="1">
                  <c:v>35</c:v>
                </c:pt>
                <c:pt idx="2">
                  <c:v>35</c:v>
                </c:pt>
                <c:pt idx="3">
                  <c:v>33</c:v>
                </c:pt>
                <c:pt idx="4">
                  <c:v>32</c:v>
                </c:pt>
                <c:pt idx="5">
                  <c:v>31</c:v>
                </c:pt>
                <c:pt idx="6">
                  <c:v>29</c:v>
                </c:pt>
                <c:pt idx="7">
                  <c:v>28</c:v>
                </c:pt>
                <c:pt idx="8">
                  <c:v>23</c:v>
                </c:pt>
                <c:pt idx="9">
                  <c:v>22</c:v>
                </c:pt>
                <c:pt idx="10">
                  <c:v>18</c:v>
                </c:pt>
                <c:pt idx="11">
                  <c:v>13</c:v>
                </c:pt>
                <c:pt idx="12">
                  <c:v>11</c:v>
                </c:pt>
                <c:pt idx="13">
                  <c:v>8</c:v>
                </c:pt>
                <c:pt idx="14">
                  <c:v>7</c:v>
                </c:pt>
                <c:pt idx="15">
                  <c:v>7</c:v>
                </c:pt>
                <c:pt idx="16">
                  <c:v>6</c:v>
                </c:pt>
                <c:pt idx="17">
                  <c:v>6</c:v>
                </c:pt>
                <c:pt idx="18">
                  <c:v>5</c:v>
                </c:pt>
                <c:pt idx="19">
                  <c:v>4</c:v>
                </c:pt>
                <c:pt idx="20">
                  <c:v>3</c:v>
                </c:pt>
                <c:pt idx="21">
                  <c:v>3</c:v>
                </c:pt>
                <c:pt idx="22">
                  <c:v>2</c:v>
                </c:pt>
                <c:pt idx="23">
                  <c:v>1</c:v>
                </c:pt>
                <c:pt idx="24">
                  <c:v>1</c:v>
                </c:pt>
                <c:pt idx="25">
                  <c:v>1</c:v>
                </c:pt>
                <c:pt idx="26">
                  <c:v>1</c:v>
                </c:pt>
                <c:pt idx="27">
                  <c:v>0</c:v>
                </c:pt>
                <c:pt idx="28">
                  <c:v>0</c:v>
                </c:pt>
                <c:pt idx="29">
                  <c:v>0</c:v>
                </c:pt>
              </c:numCache>
            </c:numRef>
          </c:val>
        </c:ser>
        <c:ser>
          <c:idx val="7"/>
          <c:order val="7"/>
          <c:tx>
            <c:strRef>
              <c:f>'Timing - BIG MAP'!$AA$42</c:f>
              <c:strCache>
                <c:ptCount val="1"/>
                <c:pt idx="0">
                  <c:v>3000</c:v>
                </c:pt>
              </c:strCache>
            </c:strRef>
          </c:tx>
          <c:spPr>
            <a:solidFill>
              <a:srgbClr val="CCCCFF"/>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MAP'!$AB$42:$BE$42</c:f>
              <c:numCache>
                <c:formatCode>0</c:formatCode>
                <c:ptCount val="30"/>
                <c:pt idx="0">
                  <c:v>36</c:v>
                </c:pt>
                <c:pt idx="1">
                  <c:v>36</c:v>
                </c:pt>
                <c:pt idx="2">
                  <c:v>36</c:v>
                </c:pt>
                <c:pt idx="3">
                  <c:v>35</c:v>
                </c:pt>
                <c:pt idx="4">
                  <c:v>34</c:v>
                </c:pt>
                <c:pt idx="5">
                  <c:v>33</c:v>
                </c:pt>
                <c:pt idx="6">
                  <c:v>31</c:v>
                </c:pt>
                <c:pt idx="7">
                  <c:v>30</c:v>
                </c:pt>
                <c:pt idx="8">
                  <c:v>26</c:v>
                </c:pt>
                <c:pt idx="9">
                  <c:v>23</c:v>
                </c:pt>
                <c:pt idx="10">
                  <c:v>20</c:v>
                </c:pt>
                <c:pt idx="11">
                  <c:v>15</c:v>
                </c:pt>
                <c:pt idx="12">
                  <c:v>12</c:v>
                </c:pt>
                <c:pt idx="13">
                  <c:v>10</c:v>
                </c:pt>
                <c:pt idx="14">
                  <c:v>8</c:v>
                </c:pt>
                <c:pt idx="15">
                  <c:v>8</c:v>
                </c:pt>
                <c:pt idx="16">
                  <c:v>7</c:v>
                </c:pt>
                <c:pt idx="17">
                  <c:v>7</c:v>
                </c:pt>
                <c:pt idx="18">
                  <c:v>6</c:v>
                </c:pt>
                <c:pt idx="19">
                  <c:v>5</c:v>
                </c:pt>
                <c:pt idx="20">
                  <c:v>5</c:v>
                </c:pt>
                <c:pt idx="21">
                  <c:v>4</c:v>
                </c:pt>
                <c:pt idx="22">
                  <c:v>3</c:v>
                </c:pt>
                <c:pt idx="23">
                  <c:v>2</c:v>
                </c:pt>
                <c:pt idx="24">
                  <c:v>2</c:v>
                </c:pt>
                <c:pt idx="25">
                  <c:v>1</c:v>
                </c:pt>
                <c:pt idx="26">
                  <c:v>1</c:v>
                </c:pt>
                <c:pt idx="27">
                  <c:v>1</c:v>
                </c:pt>
                <c:pt idx="28">
                  <c:v>1</c:v>
                </c:pt>
                <c:pt idx="29">
                  <c:v>1</c:v>
                </c:pt>
              </c:numCache>
            </c:numRef>
          </c:val>
        </c:ser>
        <c:ser>
          <c:idx val="8"/>
          <c:order val="8"/>
          <c:tx>
            <c:strRef>
              <c:f>'Timing - BIG MAP'!$AA$43</c:f>
              <c:strCache>
                <c:ptCount val="1"/>
                <c:pt idx="0">
                  <c:v>3250</c:v>
                </c:pt>
              </c:strCache>
            </c:strRef>
          </c:tx>
          <c:spPr>
            <a:solidFill>
              <a:srgbClr val="000080"/>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MAP'!$AB$43:$BE$43</c:f>
              <c:numCache>
                <c:formatCode>0</c:formatCode>
                <c:ptCount val="30"/>
                <c:pt idx="0">
                  <c:v>37</c:v>
                </c:pt>
                <c:pt idx="1">
                  <c:v>37</c:v>
                </c:pt>
                <c:pt idx="2">
                  <c:v>37</c:v>
                </c:pt>
                <c:pt idx="3">
                  <c:v>37</c:v>
                </c:pt>
                <c:pt idx="4">
                  <c:v>36</c:v>
                </c:pt>
                <c:pt idx="5">
                  <c:v>34</c:v>
                </c:pt>
                <c:pt idx="6">
                  <c:v>33</c:v>
                </c:pt>
                <c:pt idx="7">
                  <c:v>31</c:v>
                </c:pt>
                <c:pt idx="8">
                  <c:v>27</c:v>
                </c:pt>
                <c:pt idx="9">
                  <c:v>25</c:v>
                </c:pt>
                <c:pt idx="10">
                  <c:v>20</c:v>
                </c:pt>
                <c:pt idx="11">
                  <c:v>16</c:v>
                </c:pt>
                <c:pt idx="12">
                  <c:v>14</c:v>
                </c:pt>
                <c:pt idx="13">
                  <c:v>11</c:v>
                </c:pt>
                <c:pt idx="14">
                  <c:v>9</c:v>
                </c:pt>
                <c:pt idx="15">
                  <c:v>8</c:v>
                </c:pt>
                <c:pt idx="16">
                  <c:v>7</c:v>
                </c:pt>
                <c:pt idx="17">
                  <c:v>7</c:v>
                </c:pt>
                <c:pt idx="18">
                  <c:v>6</c:v>
                </c:pt>
                <c:pt idx="19">
                  <c:v>5</c:v>
                </c:pt>
                <c:pt idx="20">
                  <c:v>5</c:v>
                </c:pt>
                <c:pt idx="21">
                  <c:v>4</c:v>
                </c:pt>
                <c:pt idx="22">
                  <c:v>3</c:v>
                </c:pt>
                <c:pt idx="23">
                  <c:v>3</c:v>
                </c:pt>
                <c:pt idx="24">
                  <c:v>2</c:v>
                </c:pt>
                <c:pt idx="25">
                  <c:v>2</c:v>
                </c:pt>
                <c:pt idx="26">
                  <c:v>2</c:v>
                </c:pt>
                <c:pt idx="27">
                  <c:v>2</c:v>
                </c:pt>
                <c:pt idx="28">
                  <c:v>2</c:v>
                </c:pt>
                <c:pt idx="29">
                  <c:v>2</c:v>
                </c:pt>
              </c:numCache>
            </c:numRef>
          </c:val>
        </c:ser>
        <c:ser>
          <c:idx val="9"/>
          <c:order val="9"/>
          <c:tx>
            <c:strRef>
              <c:f>'Timing - BIG MAP'!$AA$44</c:f>
              <c:strCache>
                <c:ptCount val="1"/>
                <c:pt idx="0">
                  <c:v>3500</c:v>
                </c:pt>
              </c:strCache>
            </c:strRef>
          </c:tx>
          <c:spPr>
            <a:solidFill>
              <a:srgbClr val="FF00FF"/>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MAP'!$AB$44:$BE$44</c:f>
              <c:numCache>
                <c:formatCode>0</c:formatCode>
                <c:ptCount val="30"/>
                <c:pt idx="0">
                  <c:v>38</c:v>
                </c:pt>
                <c:pt idx="1">
                  <c:v>38</c:v>
                </c:pt>
                <c:pt idx="2">
                  <c:v>38</c:v>
                </c:pt>
                <c:pt idx="3">
                  <c:v>37</c:v>
                </c:pt>
                <c:pt idx="4">
                  <c:v>36</c:v>
                </c:pt>
                <c:pt idx="5">
                  <c:v>34</c:v>
                </c:pt>
                <c:pt idx="6">
                  <c:v>33</c:v>
                </c:pt>
                <c:pt idx="7">
                  <c:v>32</c:v>
                </c:pt>
                <c:pt idx="8">
                  <c:v>28</c:v>
                </c:pt>
                <c:pt idx="9">
                  <c:v>26</c:v>
                </c:pt>
                <c:pt idx="10">
                  <c:v>20</c:v>
                </c:pt>
                <c:pt idx="11">
                  <c:v>16</c:v>
                </c:pt>
                <c:pt idx="12">
                  <c:v>15</c:v>
                </c:pt>
                <c:pt idx="13">
                  <c:v>11</c:v>
                </c:pt>
                <c:pt idx="14">
                  <c:v>10</c:v>
                </c:pt>
                <c:pt idx="15">
                  <c:v>8</c:v>
                </c:pt>
                <c:pt idx="16">
                  <c:v>8</c:v>
                </c:pt>
                <c:pt idx="17">
                  <c:v>7</c:v>
                </c:pt>
                <c:pt idx="18">
                  <c:v>7</c:v>
                </c:pt>
                <c:pt idx="19">
                  <c:v>6</c:v>
                </c:pt>
                <c:pt idx="20">
                  <c:v>5</c:v>
                </c:pt>
                <c:pt idx="21">
                  <c:v>4</c:v>
                </c:pt>
                <c:pt idx="22">
                  <c:v>4</c:v>
                </c:pt>
                <c:pt idx="23">
                  <c:v>3</c:v>
                </c:pt>
                <c:pt idx="24">
                  <c:v>3</c:v>
                </c:pt>
                <c:pt idx="25">
                  <c:v>3</c:v>
                </c:pt>
                <c:pt idx="26">
                  <c:v>3</c:v>
                </c:pt>
                <c:pt idx="27">
                  <c:v>3</c:v>
                </c:pt>
                <c:pt idx="28">
                  <c:v>3</c:v>
                </c:pt>
                <c:pt idx="29">
                  <c:v>3</c:v>
                </c:pt>
              </c:numCache>
            </c:numRef>
          </c:val>
        </c:ser>
        <c:ser>
          <c:idx val="10"/>
          <c:order val="10"/>
          <c:tx>
            <c:strRef>
              <c:f>'Timing - BIG MAP'!$AA$45</c:f>
              <c:strCache>
                <c:ptCount val="1"/>
                <c:pt idx="0">
                  <c:v>3750</c:v>
                </c:pt>
              </c:strCache>
            </c:strRef>
          </c:tx>
          <c:spPr>
            <a:solidFill>
              <a:srgbClr val="FFFF00"/>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MAP'!$AB$45:$BE$45</c:f>
              <c:numCache>
                <c:formatCode>0</c:formatCode>
                <c:ptCount val="30"/>
                <c:pt idx="0">
                  <c:v>38</c:v>
                </c:pt>
                <c:pt idx="1">
                  <c:v>38</c:v>
                </c:pt>
                <c:pt idx="2">
                  <c:v>38</c:v>
                </c:pt>
                <c:pt idx="3">
                  <c:v>38</c:v>
                </c:pt>
                <c:pt idx="4">
                  <c:v>36</c:v>
                </c:pt>
                <c:pt idx="5">
                  <c:v>34</c:v>
                </c:pt>
                <c:pt idx="6">
                  <c:v>33</c:v>
                </c:pt>
                <c:pt idx="7">
                  <c:v>32</c:v>
                </c:pt>
                <c:pt idx="8">
                  <c:v>28</c:v>
                </c:pt>
                <c:pt idx="9">
                  <c:v>27</c:v>
                </c:pt>
                <c:pt idx="10">
                  <c:v>21</c:v>
                </c:pt>
                <c:pt idx="11">
                  <c:v>16</c:v>
                </c:pt>
                <c:pt idx="12">
                  <c:v>15</c:v>
                </c:pt>
                <c:pt idx="13">
                  <c:v>12</c:v>
                </c:pt>
                <c:pt idx="14">
                  <c:v>10</c:v>
                </c:pt>
                <c:pt idx="15">
                  <c:v>9</c:v>
                </c:pt>
                <c:pt idx="16">
                  <c:v>8</c:v>
                </c:pt>
                <c:pt idx="17">
                  <c:v>7</c:v>
                </c:pt>
                <c:pt idx="18">
                  <c:v>7</c:v>
                </c:pt>
                <c:pt idx="19">
                  <c:v>6</c:v>
                </c:pt>
                <c:pt idx="20">
                  <c:v>5</c:v>
                </c:pt>
                <c:pt idx="21">
                  <c:v>5</c:v>
                </c:pt>
                <c:pt idx="22">
                  <c:v>4</c:v>
                </c:pt>
                <c:pt idx="23">
                  <c:v>4</c:v>
                </c:pt>
                <c:pt idx="24">
                  <c:v>3</c:v>
                </c:pt>
                <c:pt idx="25">
                  <c:v>3</c:v>
                </c:pt>
                <c:pt idx="26">
                  <c:v>3</c:v>
                </c:pt>
                <c:pt idx="27">
                  <c:v>3</c:v>
                </c:pt>
                <c:pt idx="28">
                  <c:v>3</c:v>
                </c:pt>
                <c:pt idx="29">
                  <c:v>3</c:v>
                </c:pt>
              </c:numCache>
            </c:numRef>
          </c:val>
        </c:ser>
        <c:ser>
          <c:idx val="11"/>
          <c:order val="11"/>
          <c:tx>
            <c:strRef>
              <c:f>'Timing - BIG MAP'!$AA$46</c:f>
              <c:strCache>
                <c:ptCount val="1"/>
                <c:pt idx="0">
                  <c:v>4000</c:v>
                </c:pt>
              </c:strCache>
            </c:strRef>
          </c:tx>
          <c:spPr>
            <a:solidFill>
              <a:srgbClr val="00FFFF"/>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MAP'!$AB$46:$BE$46</c:f>
              <c:numCache>
                <c:formatCode>0</c:formatCode>
                <c:ptCount val="30"/>
                <c:pt idx="0">
                  <c:v>38</c:v>
                </c:pt>
                <c:pt idx="1">
                  <c:v>38</c:v>
                </c:pt>
                <c:pt idx="2">
                  <c:v>38</c:v>
                </c:pt>
                <c:pt idx="3">
                  <c:v>38</c:v>
                </c:pt>
                <c:pt idx="4">
                  <c:v>37</c:v>
                </c:pt>
                <c:pt idx="5">
                  <c:v>34</c:v>
                </c:pt>
                <c:pt idx="6">
                  <c:v>33</c:v>
                </c:pt>
                <c:pt idx="7">
                  <c:v>32</c:v>
                </c:pt>
                <c:pt idx="8">
                  <c:v>30</c:v>
                </c:pt>
                <c:pt idx="9">
                  <c:v>28</c:v>
                </c:pt>
                <c:pt idx="10">
                  <c:v>21</c:v>
                </c:pt>
                <c:pt idx="11">
                  <c:v>16</c:v>
                </c:pt>
                <c:pt idx="12">
                  <c:v>15</c:v>
                </c:pt>
                <c:pt idx="13">
                  <c:v>12</c:v>
                </c:pt>
                <c:pt idx="14">
                  <c:v>11</c:v>
                </c:pt>
                <c:pt idx="15">
                  <c:v>10</c:v>
                </c:pt>
                <c:pt idx="16">
                  <c:v>9</c:v>
                </c:pt>
                <c:pt idx="17">
                  <c:v>9</c:v>
                </c:pt>
                <c:pt idx="18">
                  <c:v>8</c:v>
                </c:pt>
                <c:pt idx="19">
                  <c:v>7</c:v>
                </c:pt>
                <c:pt idx="20">
                  <c:v>6</c:v>
                </c:pt>
                <c:pt idx="21">
                  <c:v>5</c:v>
                </c:pt>
                <c:pt idx="22">
                  <c:v>5</c:v>
                </c:pt>
                <c:pt idx="23">
                  <c:v>4</c:v>
                </c:pt>
                <c:pt idx="24">
                  <c:v>4</c:v>
                </c:pt>
                <c:pt idx="25">
                  <c:v>3</c:v>
                </c:pt>
                <c:pt idx="26">
                  <c:v>3</c:v>
                </c:pt>
                <c:pt idx="27">
                  <c:v>3</c:v>
                </c:pt>
                <c:pt idx="28">
                  <c:v>3</c:v>
                </c:pt>
                <c:pt idx="29">
                  <c:v>3</c:v>
                </c:pt>
              </c:numCache>
            </c:numRef>
          </c:val>
        </c:ser>
        <c:ser>
          <c:idx val="12"/>
          <c:order val="12"/>
          <c:tx>
            <c:strRef>
              <c:f>'Timing - BIG MAP'!$AA$47</c:f>
              <c:strCache>
                <c:ptCount val="1"/>
                <c:pt idx="0">
                  <c:v>4250</c:v>
                </c:pt>
              </c:strCache>
            </c:strRef>
          </c:tx>
          <c:spPr>
            <a:solidFill>
              <a:srgbClr val="800080"/>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MAP'!$AB$47:$BE$47</c:f>
              <c:numCache>
                <c:formatCode>0</c:formatCode>
                <c:ptCount val="30"/>
                <c:pt idx="0">
                  <c:v>38</c:v>
                </c:pt>
                <c:pt idx="1">
                  <c:v>38</c:v>
                </c:pt>
                <c:pt idx="2">
                  <c:v>38</c:v>
                </c:pt>
                <c:pt idx="3">
                  <c:v>38</c:v>
                </c:pt>
                <c:pt idx="4">
                  <c:v>38</c:v>
                </c:pt>
                <c:pt idx="5">
                  <c:v>34</c:v>
                </c:pt>
                <c:pt idx="6">
                  <c:v>33</c:v>
                </c:pt>
                <c:pt idx="7">
                  <c:v>32</c:v>
                </c:pt>
                <c:pt idx="8">
                  <c:v>31</c:v>
                </c:pt>
                <c:pt idx="9">
                  <c:v>29</c:v>
                </c:pt>
                <c:pt idx="10">
                  <c:v>22</c:v>
                </c:pt>
                <c:pt idx="11">
                  <c:v>17</c:v>
                </c:pt>
                <c:pt idx="12">
                  <c:v>15</c:v>
                </c:pt>
                <c:pt idx="13">
                  <c:v>12</c:v>
                </c:pt>
                <c:pt idx="14">
                  <c:v>11</c:v>
                </c:pt>
                <c:pt idx="15">
                  <c:v>10</c:v>
                </c:pt>
                <c:pt idx="16">
                  <c:v>9</c:v>
                </c:pt>
                <c:pt idx="17">
                  <c:v>9</c:v>
                </c:pt>
                <c:pt idx="18">
                  <c:v>8</c:v>
                </c:pt>
                <c:pt idx="19">
                  <c:v>7</c:v>
                </c:pt>
                <c:pt idx="20">
                  <c:v>6</c:v>
                </c:pt>
                <c:pt idx="21">
                  <c:v>6</c:v>
                </c:pt>
                <c:pt idx="22">
                  <c:v>5</c:v>
                </c:pt>
                <c:pt idx="23">
                  <c:v>5</c:v>
                </c:pt>
                <c:pt idx="24">
                  <c:v>4</c:v>
                </c:pt>
                <c:pt idx="25">
                  <c:v>4</c:v>
                </c:pt>
                <c:pt idx="26">
                  <c:v>3</c:v>
                </c:pt>
                <c:pt idx="27">
                  <c:v>3</c:v>
                </c:pt>
                <c:pt idx="28">
                  <c:v>3</c:v>
                </c:pt>
                <c:pt idx="29">
                  <c:v>3</c:v>
                </c:pt>
              </c:numCache>
            </c:numRef>
          </c:val>
        </c:ser>
        <c:ser>
          <c:idx val="13"/>
          <c:order val="13"/>
          <c:tx>
            <c:strRef>
              <c:f>'Timing - BIG MAP'!$AA$48</c:f>
              <c:strCache>
                <c:ptCount val="1"/>
                <c:pt idx="0">
                  <c:v>4500</c:v>
                </c:pt>
              </c:strCache>
            </c:strRef>
          </c:tx>
          <c:spPr>
            <a:solidFill>
              <a:srgbClr val="800000"/>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MAP'!$AB$48:$BE$48</c:f>
              <c:numCache>
                <c:formatCode>0</c:formatCode>
                <c:ptCount val="30"/>
                <c:pt idx="0">
                  <c:v>38</c:v>
                </c:pt>
                <c:pt idx="1">
                  <c:v>38</c:v>
                </c:pt>
                <c:pt idx="2">
                  <c:v>38</c:v>
                </c:pt>
                <c:pt idx="3">
                  <c:v>38</c:v>
                </c:pt>
                <c:pt idx="4">
                  <c:v>38</c:v>
                </c:pt>
                <c:pt idx="5">
                  <c:v>34</c:v>
                </c:pt>
                <c:pt idx="6">
                  <c:v>33</c:v>
                </c:pt>
                <c:pt idx="7">
                  <c:v>32</c:v>
                </c:pt>
                <c:pt idx="8">
                  <c:v>31</c:v>
                </c:pt>
                <c:pt idx="9">
                  <c:v>30</c:v>
                </c:pt>
                <c:pt idx="10">
                  <c:v>23</c:v>
                </c:pt>
                <c:pt idx="11">
                  <c:v>18</c:v>
                </c:pt>
                <c:pt idx="12">
                  <c:v>16</c:v>
                </c:pt>
                <c:pt idx="13">
                  <c:v>13</c:v>
                </c:pt>
                <c:pt idx="14">
                  <c:v>11</c:v>
                </c:pt>
                <c:pt idx="15">
                  <c:v>10</c:v>
                </c:pt>
                <c:pt idx="16">
                  <c:v>10</c:v>
                </c:pt>
                <c:pt idx="17">
                  <c:v>10</c:v>
                </c:pt>
                <c:pt idx="18">
                  <c:v>9</c:v>
                </c:pt>
                <c:pt idx="19">
                  <c:v>8</c:v>
                </c:pt>
                <c:pt idx="20">
                  <c:v>7</c:v>
                </c:pt>
                <c:pt idx="21">
                  <c:v>6</c:v>
                </c:pt>
                <c:pt idx="22">
                  <c:v>6</c:v>
                </c:pt>
                <c:pt idx="23">
                  <c:v>5</c:v>
                </c:pt>
                <c:pt idx="24">
                  <c:v>5</c:v>
                </c:pt>
                <c:pt idx="25">
                  <c:v>4</c:v>
                </c:pt>
                <c:pt idx="26">
                  <c:v>4</c:v>
                </c:pt>
                <c:pt idx="27">
                  <c:v>4</c:v>
                </c:pt>
                <c:pt idx="28">
                  <c:v>4</c:v>
                </c:pt>
                <c:pt idx="29">
                  <c:v>4</c:v>
                </c:pt>
              </c:numCache>
            </c:numRef>
          </c:val>
        </c:ser>
        <c:ser>
          <c:idx val="14"/>
          <c:order val="14"/>
          <c:tx>
            <c:strRef>
              <c:f>'Timing - BIG MAP'!$AA$49</c:f>
              <c:strCache>
                <c:ptCount val="1"/>
                <c:pt idx="0">
                  <c:v>4750</c:v>
                </c:pt>
              </c:strCache>
            </c:strRef>
          </c:tx>
          <c:spPr>
            <a:solidFill>
              <a:srgbClr val="008080"/>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MAP'!$AB$49:$BE$49</c:f>
              <c:numCache>
                <c:formatCode>0</c:formatCode>
                <c:ptCount val="30"/>
                <c:pt idx="0">
                  <c:v>38</c:v>
                </c:pt>
                <c:pt idx="1">
                  <c:v>38</c:v>
                </c:pt>
                <c:pt idx="2">
                  <c:v>38</c:v>
                </c:pt>
                <c:pt idx="3">
                  <c:v>38</c:v>
                </c:pt>
                <c:pt idx="4">
                  <c:v>38</c:v>
                </c:pt>
                <c:pt idx="5">
                  <c:v>34</c:v>
                </c:pt>
                <c:pt idx="6">
                  <c:v>33</c:v>
                </c:pt>
                <c:pt idx="7">
                  <c:v>32</c:v>
                </c:pt>
                <c:pt idx="8">
                  <c:v>31</c:v>
                </c:pt>
                <c:pt idx="9">
                  <c:v>30</c:v>
                </c:pt>
                <c:pt idx="10">
                  <c:v>24</c:v>
                </c:pt>
                <c:pt idx="11">
                  <c:v>19</c:v>
                </c:pt>
                <c:pt idx="12">
                  <c:v>17</c:v>
                </c:pt>
                <c:pt idx="13">
                  <c:v>14</c:v>
                </c:pt>
                <c:pt idx="14">
                  <c:v>12</c:v>
                </c:pt>
                <c:pt idx="15">
                  <c:v>11</c:v>
                </c:pt>
                <c:pt idx="16">
                  <c:v>11</c:v>
                </c:pt>
                <c:pt idx="17">
                  <c:v>11</c:v>
                </c:pt>
                <c:pt idx="18">
                  <c:v>10</c:v>
                </c:pt>
                <c:pt idx="19">
                  <c:v>9</c:v>
                </c:pt>
                <c:pt idx="20">
                  <c:v>8</c:v>
                </c:pt>
                <c:pt idx="21">
                  <c:v>7</c:v>
                </c:pt>
                <c:pt idx="22">
                  <c:v>7</c:v>
                </c:pt>
                <c:pt idx="23">
                  <c:v>6</c:v>
                </c:pt>
                <c:pt idx="24">
                  <c:v>6</c:v>
                </c:pt>
                <c:pt idx="25">
                  <c:v>5</c:v>
                </c:pt>
                <c:pt idx="26">
                  <c:v>4</c:v>
                </c:pt>
                <c:pt idx="27">
                  <c:v>4</c:v>
                </c:pt>
                <c:pt idx="28">
                  <c:v>4</c:v>
                </c:pt>
                <c:pt idx="29">
                  <c:v>4</c:v>
                </c:pt>
              </c:numCache>
            </c:numRef>
          </c:val>
        </c:ser>
        <c:ser>
          <c:idx val="15"/>
          <c:order val="15"/>
          <c:tx>
            <c:strRef>
              <c:f>'Timing - BIG MAP'!$AA$50</c:f>
              <c:strCache>
                <c:ptCount val="1"/>
                <c:pt idx="0">
                  <c:v>5000</c:v>
                </c:pt>
              </c:strCache>
            </c:strRef>
          </c:tx>
          <c:spPr>
            <a:solidFill>
              <a:srgbClr val="0000FF"/>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MAP'!$AB$50:$BE$50</c:f>
              <c:numCache>
                <c:formatCode>0</c:formatCode>
                <c:ptCount val="30"/>
                <c:pt idx="0">
                  <c:v>38</c:v>
                </c:pt>
                <c:pt idx="1">
                  <c:v>38</c:v>
                </c:pt>
                <c:pt idx="2">
                  <c:v>38</c:v>
                </c:pt>
                <c:pt idx="3">
                  <c:v>38</c:v>
                </c:pt>
                <c:pt idx="4">
                  <c:v>38</c:v>
                </c:pt>
                <c:pt idx="5">
                  <c:v>34</c:v>
                </c:pt>
                <c:pt idx="6">
                  <c:v>33</c:v>
                </c:pt>
                <c:pt idx="7">
                  <c:v>32</c:v>
                </c:pt>
                <c:pt idx="8">
                  <c:v>31</c:v>
                </c:pt>
                <c:pt idx="9">
                  <c:v>30</c:v>
                </c:pt>
                <c:pt idx="10">
                  <c:v>24</c:v>
                </c:pt>
                <c:pt idx="11">
                  <c:v>19</c:v>
                </c:pt>
                <c:pt idx="12">
                  <c:v>18</c:v>
                </c:pt>
                <c:pt idx="13">
                  <c:v>14</c:v>
                </c:pt>
                <c:pt idx="14">
                  <c:v>13</c:v>
                </c:pt>
                <c:pt idx="15">
                  <c:v>12</c:v>
                </c:pt>
                <c:pt idx="16">
                  <c:v>11</c:v>
                </c:pt>
                <c:pt idx="17">
                  <c:v>11</c:v>
                </c:pt>
                <c:pt idx="18">
                  <c:v>11</c:v>
                </c:pt>
                <c:pt idx="19">
                  <c:v>10</c:v>
                </c:pt>
                <c:pt idx="20">
                  <c:v>9</c:v>
                </c:pt>
                <c:pt idx="21">
                  <c:v>8</c:v>
                </c:pt>
                <c:pt idx="22">
                  <c:v>8</c:v>
                </c:pt>
                <c:pt idx="23">
                  <c:v>7</c:v>
                </c:pt>
                <c:pt idx="24">
                  <c:v>7</c:v>
                </c:pt>
                <c:pt idx="25">
                  <c:v>6</c:v>
                </c:pt>
                <c:pt idx="26">
                  <c:v>5</c:v>
                </c:pt>
                <c:pt idx="27">
                  <c:v>5</c:v>
                </c:pt>
                <c:pt idx="28">
                  <c:v>5</c:v>
                </c:pt>
                <c:pt idx="29">
                  <c:v>5</c:v>
                </c:pt>
              </c:numCache>
            </c:numRef>
          </c:val>
        </c:ser>
        <c:ser>
          <c:idx val="16"/>
          <c:order val="16"/>
          <c:tx>
            <c:strRef>
              <c:f>'Timing - BIG MAP'!$AA$51</c:f>
              <c:strCache>
                <c:ptCount val="1"/>
                <c:pt idx="0">
                  <c:v>5250</c:v>
                </c:pt>
              </c:strCache>
            </c:strRef>
          </c:tx>
          <c:spPr>
            <a:solidFill>
              <a:srgbClr val="00CCFF"/>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MAP'!$AB$51:$BE$51</c:f>
              <c:numCache>
                <c:formatCode>0</c:formatCode>
                <c:ptCount val="30"/>
                <c:pt idx="0">
                  <c:v>38</c:v>
                </c:pt>
                <c:pt idx="1">
                  <c:v>38</c:v>
                </c:pt>
                <c:pt idx="2">
                  <c:v>38</c:v>
                </c:pt>
                <c:pt idx="3">
                  <c:v>38</c:v>
                </c:pt>
                <c:pt idx="4">
                  <c:v>38</c:v>
                </c:pt>
                <c:pt idx="5">
                  <c:v>34</c:v>
                </c:pt>
                <c:pt idx="6">
                  <c:v>33</c:v>
                </c:pt>
                <c:pt idx="7">
                  <c:v>32</c:v>
                </c:pt>
                <c:pt idx="8">
                  <c:v>31</c:v>
                </c:pt>
                <c:pt idx="9">
                  <c:v>30</c:v>
                </c:pt>
                <c:pt idx="10">
                  <c:v>26</c:v>
                </c:pt>
                <c:pt idx="11">
                  <c:v>20</c:v>
                </c:pt>
                <c:pt idx="12">
                  <c:v>19</c:v>
                </c:pt>
                <c:pt idx="13">
                  <c:v>16</c:v>
                </c:pt>
                <c:pt idx="14">
                  <c:v>14</c:v>
                </c:pt>
                <c:pt idx="15">
                  <c:v>14</c:v>
                </c:pt>
                <c:pt idx="16">
                  <c:v>12</c:v>
                </c:pt>
                <c:pt idx="17">
                  <c:v>12</c:v>
                </c:pt>
                <c:pt idx="18">
                  <c:v>12</c:v>
                </c:pt>
                <c:pt idx="19">
                  <c:v>11</c:v>
                </c:pt>
                <c:pt idx="20">
                  <c:v>10</c:v>
                </c:pt>
                <c:pt idx="21">
                  <c:v>9</c:v>
                </c:pt>
                <c:pt idx="22">
                  <c:v>9</c:v>
                </c:pt>
                <c:pt idx="23">
                  <c:v>8</c:v>
                </c:pt>
                <c:pt idx="24">
                  <c:v>8</c:v>
                </c:pt>
                <c:pt idx="25">
                  <c:v>7</c:v>
                </c:pt>
                <c:pt idx="26">
                  <c:v>7</c:v>
                </c:pt>
                <c:pt idx="27">
                  <c:v>7</c:v>
                </c:pt>
                <c:pt idx="28">
                  <c:v>7</c:v>
                </c:pt>
                <c:pt idx="29">
                  <c:v>7</c:v>
                </c:pt>
              </c:numCache>
            </c:numRef>
          </c:val>
        </c:ser>
        <c:ser>
          <c:idx val="17"/>
          <c:order val="17"/>
          <c:tx>
            <c:strRef>
              <c:f>'Timing - BIG MAP'!$AA$52</c:f>
              <c:strCache>
                <c:ptCount val="1"/>
                <c:pt idx="0">
                  <c:v>5500</c:v>
                </c:pt>
              </c:strCache>
            </c:strRef>
          </c:tx>
          <c:spPr>
            <a:solidFill>
              <a:srgbClr val="CCFFFF"/>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MAP'!$AB$52:$BE$52</c:f>
              <c:numCache>
                <c:formatCode>0</c:formatCode>
                <c:ptCount val="30"/>
                <c:pt idx="0">
                  <c:v>38</c:v>
                </c:pt>
                <c:pt idx="1">
                  <c:v>38</c:v>
                </c:pt>
                <c:pt idx="2">
                  <c:v>38</c:v>
                </c:pt>
                <c:pt idx="3">
                  <c:v>38</c:v>
                </c:pt>
                <c:pt idx="4">
                  <c:v>38</c:v>
                </c:pt>
                <c:pt idx="5">
                  <c:v>35</c:v>
                </c:pt>
                <c:pt idx="6">
                  <c:v>34</c:v>
                </c:pt>
                <c:pt idx="7">
                  <c:v>33</c:v>
                </c:pt>
                <c:pt idx="8">
                  <c:v>32</c:v>
                </c:pt>
                <c:pt idx="9">
                  <c:v>31</c:v>
                </c:pt>
                <c:pt idx="10">
                  <c:v>27</c:v>
                </c:pt>
                <c:pt idx="11">
                  <c:v>21</c:v>
                </c:pt>
                <c:pt idx="12">
                  <c:v>20</c:v>
                </c:pt>
                <c:pt idx="13">
                  <c:v>17</c:v>
                </c:pt>
                <c:pt idx="14">
                  <c:v>15</c:v>
                </c:pt>
                <c:pt idx="15">
                  <c:v>15</c:v>
                </c:pt>
                <c:pt idx="16">
                  <c:v>14</c:v>
                </c:pt>
                <c:pt idx="17">
                  <c:v>13</c:v>
                </c:pt>
                <c:pt idx="18">
                  <c:v>13</c:v>
                </c:pt>
                <c:pt idx="19">
                  <c:v>12</c:v>
                </c:pt>
                <c:pt idx="20">
                  <c:v>11</c:v>
                </c:pt>
                <c:pt idx="21">
                  <c:v>10</c:v>
                </c:pt>
                <c:pt idx="22">
                  <c:v>10</c:v>
                </c:pt>
                <c:pt idx="23">
                  <c:v>9</c:v>
                </c:pt>
                <c:pt idx="24">
                  <c:v>9</c:v>
                </c:pt>
                <c:pt idx="25">
                  <c:v>8</c:v>
                </c:pt>
                <c:pt idx="26">
                  <c:v>8</c:v>
                </c:pt>
                <c:pt idx="27">
                  <c:v>8</c:v>
                </c:pt>
                <c:pt idx="28">
                  <c:v>8</c:v>
                </c:pt>
                <c:pt idx="29">
                  <c:v>8</c:v>
                </c:pt>
              </c:numCache>
            </c:numRef>
          </c:val>
        </c:ser>
        <c:ser>
          <c:idx val="18"/>
          <c:order val="18"/>
          <c:tx>
            <c:strRef>
              <c:f>'Timing - BIG MAP'!$AA$53</c:f>
              <c:strCache>
                <c:ptCount val="1"/>
                <c:pt idx="0">
                  <c:v>5750</c:v>
                </c:pt>
              </c:strCache>
            </c:strRef>
          </c:tx>
          <c:spPr>
            <a:solidFill>
              <a:srgbClr val="CCFFCC"/>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MAP'!$AB$53:$BE$53</c:f>
              <c:numCache>
                <c:formatCode>0</c:formatCode>
                <c:ptCount val="30"/>
                <c:pt idx="0">
                  <c:v>38</c:v>
                </c:pt>
                <c:pt idx="1">
                  <c:v>38</c:v>
                </c:pt>
                <c:pt idx="2">
                  <c:v>38</c:v>
                </c:pt>
                <c:pt idx="3">
                  <c:v>38</c:v>
                </c:pt>
                <c:pt idx="4">
                  <c:v>38</c:v>
                </c:pt>
                <c:pt idx="5">
                  <c:v>35</c:v>
                </c:pt>
                <c:pt idx="6">
                  <c:v>34</c:v>
                </c:pt>
                <c:pt idx="7">
                  <c:v>33</c:v>
                </c:pt>
                <c:pt idx="8">
                  <c:v>32</c:v>
                </c:pt>
                <c:pt idx="9">
                  <c:v>31</c:v>
                </c:pt>
                <c:pt idx="10">
                  <c:v>28</c:v>
                </c:pt>
                <c:pt idx="11">
                  <c:v>22</c:v>
                </c:pt>
                <c:pt idx="12">
                  <c:v>21</c:v>
                </c:pt>
                <c:pt idx="13">
                  <c:v>18</c:v>
                </c:pt>
                <c:pt idx="14">
                  <c:v>16</c:v>
                </c:pt>
                <c:pt idx="15">
                  <c:v>16</c:v>
                </c:pt>
                <c:pt idx="16">
                  <c:v>16</c:v>
                </c:pt>
                <c:pt idx="17">
                  <c:v>14</c:v>
                </c:pt>
                <c:pt idx="18">
                  <c:v>14</c:v>
                </c:pt>
                <c:pt idx="19">
                  <c:v>13</c:v>
                </c:pt>
                <c:pt idx="20">
                  <c:v>12</c:v>
                </c:pt>
                <c:pt idx="21">
                  <c:v>12</c:v>
                </c:pt>
                <c:pt idx="22">
                  <c:v>11</c:v>
                </c:pt>
                <c:pt idx="23">
                  <c:v>11</c:v>
                </c:pt>
                <c:pt idx="24">
                  <c:v>11</c:v>
                </c:pt>
                <c:pt idx="25">
                  <c:v>10</c:v>
                </c:pt>
                <c:pt idx="26">
                  <c:v>10</c:v>
                </c:pt>
                <c:pt idx="27">
                  <c:v>9</c:v>
                </c:pt>
                <c:pt idx="28">
                  <c:v>9</c:v>
                </c:pt>
                <c:pt idx="29">
                  <c:v>9</c:v>
                </c:pt>
              </c:numCache>
            </c:numRef>
          </c:val>
        </c:ser>
        <c:ser>
          <c:idx val="19"/>
          <c:order val="19"/>
          <c:tx>
            <c:strRef>
              <c:f>'Timing - BIG MAP'!$AA$54</c:f>
              <c:strCache>
                <c:ptCount val="1"/>
                <c:pt idx="0">
                  <c:v>6000</c:v>
                </c:pt>
              </c:strCache>
            </c:strRef>
          </c:tx>
          <c:spPr>
            <a:solidFill>
              <a:srgbClr val="FFFF99"/>
            </a:solidFill>
            <a:ln w="12700">
              <a:solidFill>
                <a:srgbClr val="000000"/>
              </a:solidFill>
              <a:prstDash val="solid"/>
            </a:ln>
            <a:sp3d prstMaterial="flat"/>
          </c:spPr>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MAP'!$AB$54:$BE$54</c:f>
              <c:numCache>
                <c:formatCode>0</c:formatCode>
                <c:ptCount val="30"/>
                <c:pt idx="0">
                  <c:v>38</c:v>
                </c:pt>
                <c:pt idx="1">
                  <c:v>38</c:v>
                </c:pt>
                <c:pt idx="2">
                  <c:v>38</c:v>
                </c:pt>
                <c:pt idx="3">
                  <c:v>38</c:v>
                </c:pt>
                <c:pt idx="4">
                  <c:v>38</c:v>
                </c:pt>
                <c:pt idx="5">
                  <c:v>35</c:v>
                </c:pt>
                <c:pt idx="6">
                  <c:v>34</c:v>
                </c:pt>
                <c:pt idx="7">
                  <c:v>33</c:v>
                </c:pt>
                <c:pt idx="8">
                  <c:v>32</c:v>
                </c:pt>
                <c:pt idx="9">
                  <c:v>31</c:v>
                </c:pt>
                <c:pt idx="10">
                  <c:v>28</c:v>
                </c:pt>
                <c:pt idx="11">
                  <c:v>23</c:v>
                </c:pt>
                <c:pt idx="12">
                  <c:v>22</c:v>
                </c:pt>
                <c:pt idx="13">
                  <c:v>19</c:v>
                </c:pt>
                <c:pt idx="14">
                  <c:v>17</c:v>
                </c:pt>
                <c:pt idx="15">
                  <c:v>17</c:v>
                </c:pt>
                <c:pt idx="16">
                  <c:v>17</c:v>
                </c:pt>
                <c:pt idx="17">
                  <c:v>15</c:v>
                </c:pt>
                <c:pt idx="18">
                  <c:v>15</c:v>
                </c:pt>
                <c:pt idx="19">
                  <c:v>14</c:v>
                </c:pt>
                <c:pt idx="20">
                  <c:v>13</c:v>
                </c:pt>
                <c:pt idx="21">
                  <c:v>13</c:v>
                </c:pt>
                <c:pt idx="22">
                  <c:v>12</c:v>
                </c:pt>
                <c:pt idx="23">
                  <c:v>12</c:v>
                </c:pt>
                <c:pt idx="24">
                  <c:v>12</c:v>
                </c:pt>
                <c:pt idx="25">
                  <c:v>11</c:v>
                </c:pt>
                <c:pt idx="26">
                  <c:v>11</c:v>
                </c:pt>
                <c:pt idx="27">
                  <c:v>10</c:v>
                </c:pt>
                <c:pt idx="28">
                  <c:v>10</c:v>
                </c:pt>
                <c:pt idx="29">
                  <c:v>10</c:v>
                </c:pt>
              </c:numCache>
            </c:numRef>
          </c:val>
        </c:ser>
        <c:ser>
          <c:idx val="20"/>
          <c:order val="20"/>
          <c:tx>
            <c:strRef>
              <c:f>'Timing - BIG MAP'!$AA$55</c:f>
              <c:strCache>
                <c:ptCount val="1"/>
                <c:pt idx="0">
                  <c:v>6250</c:v>
                </c:pt>
              </c:strCache>
            </c:strRef>
          </c:tx>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MAP'!$AB$55:$BE$55</c:f>
              <c:numCache>
                <c:formatCode>0</c:formatCode>
                <c:ptCount val="30"/>
                <c:pt idx="0">
                  <c:v>38</c:v>
                </c:pt>
                <c:pt idx="1">
                  <c:v>38</c:v>
                </c:pt>
                <c:pt idx="2">
                  <c:v>38</c:v>
                </c:pt>
                <c:pt idx="3">
                  <c:v>38</c:v>
                </c:pt>
                <c:pt idx="4">
                  <c:v>38</c:v>
                </c:pt>
                <c:pt idx="5">
                  <c:v>36</c:v>
                </c:pt>
                <c:pt idx="6">
                  <c:v>35</c:v>
                </c:pt>
                <c:pt idx="7">
                  <c:v>34</c:v>
                </c:pt>
                <c:pt idx="8">
                  <c:v>33</c:v>
                </c:pt>
                <c:pt idx="9">
                  <c:v>32</c:v>
                </c:pt>
                <c:pt idx="10">
                  <c:v>29</c:v>
                </c:pt>
                <c:pt idx="11">
                  <c:v>24</c:v>
                </c:pt>
                <c:pt idx="12">
                  <c:v>23</c:v>
                </c:pt>
                <c:pt idx="13">
                  <c:v>20</c:v>
                </c:pt>
                <c:pt idx="14">
                  <c:v>18</c:v>
                </c:pt>
                <c:pt idx="15">
                  <c:v>18</c:v>
                </c:pt>
                <c:pt idx="16">
                  <c:v>18</c:v>
                </c:pt>
                <c:pt idx="17">
                  <c:v>17</c:v>
                </c:pt>
                <c:pt idx="18">
                  <c:v>17</c:v>
                </c:pt>
                <c:pt idx="19">
                  <c:v>16</c:v>
                </c:pt>
                <c:pt idx="20">
                  <c:v>15</c:v>
                </c:pt>
                <c:pt idx="21">
                  <c:v>15</c:v>
                </c:pt>
                <c:pt idx="22">
                  <c:v>14</c:v>
                </c:pt>
                <c:pt idx="23">
                  <c:v>14</c:v>
                </c:pt>
                <c:pt idx="24">
                  <c:v>13</c:v>
                </c:pt>
                <c:pt idx="25">
                  <c:v>12</c:v>
                </c:pt>
                <c:pt idx="26">
                  <c:v>12</c:v>
                </c:pt>
                <c:pt idx="27">
                  <c:v>11</c:v>
                </c:pt>
                <c:pt idx="28">
                  <c:v>11</c:v>
                </c:pt>
                <c:pt idx="29">
                  <c:v>11</c:v>
                </c:pt>
              </c:numCache>
            </c:numRef>
          </c:val>
        </c:ser>
        <c:ser>
          <c:idx val="21"/>
          <c:order val="21"/>
          <c:tx>
            <c:strRef>
              <c:f>'Timing - BIG MAP'!$AA$56</c:f>
              <c:strCache>
                <c:ptCount val="1"/>
                <c:pt idx="0">
                  <c:v>6500</c:v>
                </c:pt>
              </c:strCache>
            </c:strRef>
          </c:tx>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MAP'!$AB$56:$BE$56</c:f>
              <c:numCache>
                <c:formatCode>0</c:formatCode>
                <c:ptCount val="30"/>
                <c:pt idx="0">
                  <c:v>38</c:v>
                </c:pt>
                <c:pt idx="1">
                  <c:v>38</c:v>
                </c:pt>
                <c:pt idx="2">
                  <c:v>38</c:v>
                </c:pt>
                <c:pt idx="3">
                  <c:v>38</c:v>
                </c:pt>
                <c:pt idx="4">
                  <c:v>38</c:v>
                </c:pt>
                <c:pt idx="5">
                  <c:v>36</c:v>
                </c:pt>
                <c:pt idx="6">
                  <c:v>35</c:v>
                </c:pt>
                <c:pt idx="7">
                  <c:v>34</c:v>
                </c:pt>
                <c:pt idx="8">
                  <c:v>33</c:v>
                </c:pt>
                <c:pt idx="9">
                  <c:v>32</c:v>
                </c:pt>
                <c:pt idx="10">
                  <c:v>29</c:v>
                </c:pt>
                <c:pt idx="11">
                  <c:v>25</c:v>
                </c:pt>
                <c:pt idx="12">
                  <c:v>24</c:v>
                </c:pt>
                <c:pt idx="13">
                  <c:v>21</c:v>
                </c:pt>
                <c:pt idx="14">
                  <c:v>19</c:v>
                </c:pt>
                <c:pt idx="15">
                  <c:v>19</c:v>
                </c:pt>
                <c:pt idx="16">
                  <c:v>18</c:v>
                </c:pt>
                <c:pt idx="17">
                  <c:v>18</c:v>
                </c:pt>
                <c:pt idx="18">
                  <c:v>18</c:v>
                </c:pt>
                <c:pt idx="19">
                  <c:v>18</c:v>
                </c:pt>
                <c:pt idx="20">
                  <c:v>17</c:v>
                </c:pt>
                <c:pt idx="21">
                  <c:v>17</c:v>
                </c:pt>
                <c:pt idx="22">
                  <c:v>16</c:v>
                </c:pt>
                <c:pt idx="23">
                  <c:v>16</c:v>
                </c:pt>
                <c:pt idx="24">
                  <c:v>15</c:v>
                </c:pt>
                <c:pt idx="25">
                  <c:v>14</c:v>
                </c:pt>
                <c:pt idx="26">
                  <c:v>14</c:v>
                </c:pt>
                <c:pt idx="27">
                  <c:v>12</c:v>
                </c:pt>
                <c:pt idx="28">
                  <c:v>12</c:v>
                </c:pt>
                <c:pt idx="29">
                  <c:v>11</c:v>
                </c:pt>
              </c:numCache>
            </c:numRef>
          </c:val>
        </c:ser>
        <c:ser>
          <c:idx val="22"/>
          <c:order val="22"/>
          <c:tx>
            <c:strRef>
              <c:f>'Timing - BIG MAP'!$AA$57</c:f>
              <c:strCache>
                <c:ptCount val="1"/>
                <c:pt idx="0">
                  <c:v>6750</c:v>
                </c:pt>
              </c:strCache>
            </c:strRef>
          </c:tx>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MAP'!$AB$57:$BE$57</c:f>
              <c:numCache>
                <c:formatCode>0</c:formatCode>
                <c:ptCount val="30"/>
                <c:pt idx="0">
                  <c:v>38</c:v>
                </c:pt>
                <c:pt idx="1">
                  <c:v>38</c:v>
                </c:pt>
                <c:pt idx="2">
                  <c:v>38</c:v>
                </c:pt>
                <c:pt idx="3">
                  <c:v>38</c:v>
                </c:pt>
                <c:pt idx="4">
                  <c:v>38</c:v>
                </c:pt>
                <c:pt idx="5">
                  <c:v>36</c:v>
                </c:pt>
                <c:pt idx="6">
                  <c:v>35</c:v>
                </c:pt>
                <c:pt idx="7">
                  <c:v>34</c:v>
                </c:pt>
                <c:pt idx="8">
                  <c:v>33</c:v>
                </c:pt>
                <c:pt idx="9">
                  <c:v>32</c:v>
                </c:pt>
                <c:pt idx="10">
                  <c:v>30</c:v>
                </c:pt>
                <c:pt idx="11">
                  <c:v>26</c:v>
                </c:pt>
                <c:pt idx="12">
                  <c:v>25</c:v>
                </c:pt>
                <c:pt idx="13">
                  <c:v>22</c:v>
                </c:pt>
                <c:pt idx="14">
                  <c:v>20</c:v>
                </c:pt>
                <c:pt idx="15">
                  <c:v>20</c:v>
                </c:pt>
                <c:pt idx="16">
                  <c:v>19</c:v>
                </c:pt>
                <c:pt idx="17">
                  <c:v>19</c:v>
                </c:pt>
                <c:pt idx="18">
                  <c:v>20</c:v>
                </c:pt>
                <c:pt idx="19">
                  <c:v>19</c:v>
                </c:pt>
                <c:pt idx="20">
                  <c:v>18</c:v>
                </c:pt>
                <c:pt idx="21">
                  <c:v>18</c:v>
                </c:pt>
                <c:pt idx="22">
                  <c:v>17</c:v>
                </c:pt>
                <c:pt idx="23">
                  <c:v>17</c:v>
                </c:pt>
                <c:pt idx="24">
                  <c:v>17</c:v>
                </c:pt>
                <c:pt idx="25">
                  <c:v>16</c:v>
                </c:pt>
                <c:pt idx="26">
                  <c:v>15</c:v>
                </c:pt>
                <c:pt idx="27">
                  <c:v>13</c:v>
                </c:pt>
                <c:pt idx="28">
                  <c:v>13</c:v>
                </c:pt>
                <c:pt idx="29">
                  <c:v>13</c:v>
                </c:pt>
              </c:numCache>
            </c:numRef>
          </c:val>
        </c:ser>
        <c:ser>
          <c:idx val="23"/>
          <c:order val="23"/>
          <c:tx>
            <c:strRef>
              <c:f>'Timing - BIG MAP'!$AA$58</c:f>
              <c:strCache>
                <c:ptCount val="1"/>
                <c:pt idx="0">
                  <c:v>7000</c:v>
                </c:pt>
              </c:strCache>
            </c:strRef>
          </c:tx>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MAP'!$AB$58:$BE$58</c:f>
              <c:numCache>
                <c:formatCode>0</c:formatCode>
                <c:ptCount val="30"/>
                <c:pt idx="0">
                  <c:v>38</c:v>
                </c:pt>
                <c:pt idx="1">
                  <c:v>38</c:v>
                </c:pt>
                <c:pt idx="2">
                  <c:v>38</c:v>
                </c:pt>
                <c:pt idx="3">
                  <c:v>38</c:v>
                </c:pt>
                <c:pt idx="4">
                  <c:v>38</c:v>
                </c:pt>
                <c:pt idx="5">
                  <c:v>36</c:v>
                </c:pt>
                <c:pt idx="6">
                  <c:v>35</c:v>
                </c:pt>
                <c:pt idx="7">
                  <c:v>34</c:v>
                </c:pt>
                <c:pt idx="8">
                  <c:v>33</c:v>
                </c:pt>
                <c:pt idx="9">
                  <c:v>32</c:v>
                </c:pt>
                <c:pt idx="10">
                  <c:v>30</c:v>
                </c:pt>
                <c:pt idx="11">
                  <c:v>27</c:v>
                </c:pt>
                <c:pt idx="12">
                  <c:v>26</c:v>
                </c:pt>
                <c:pt idx="13">
                  <c:v>23</c:v>
                </c:pt>
                <c:pt idx="14">
                  <c:v>21</c:v>
                </c:pt>
                <c:pt idx="15">
                  <c:v>21</c:v>
                </c:pt>
                <c:pt idx="16">
                  <c:v>21</c:v>
                </c:pt>
                <c:pt idx="17">
                  <c:v>21</c:v>
                </c:pt>
                <c:pt idx="18">
                  <c:v>21</c:v>
                </c:pt>
                <c:pt idx="19">
                  <c:v>20</c:v>
                </c:pt>
                <c:pt idx="20">
                  <c:v>19</c:v>
                </c:pt>
                <c:pt idx="21">
                  <c:v>19</c:v>
                </c:pt>
                <c:pt idx="22">
                  <c:v>19</c:v>
                </c:pt>
                <c:pt idx="23">
                  <c:v>19</c:v>
                </c:pt>
                <c:pt idx="24">
                  <c:v>19</c:v>
                </c:pt>
                <c:pt idx="25">
                  <c:v>18</c:v>
                </c:pt>
                <c:pt idx="26">
                  <c:v>17</c:v>
                </c:pt>
                <c:pt idx="27">
                  <c:v>15</c:v>
                </c:pt>
                <c:pt idx="28">
                  <c:v>14</c:v>
                </c:pt>
                <c:pt idx="29">
                  <c:v>14</c:v>
                </c:pt>
              </c:numCache>
            </c:numRef>
          </c:val>
        </c:ser>
        <c:ser>
          <c:idx val="24"/>
          <c:order val="24"/>
          <c:tx>
            <c:strRef>
              <c:f>'Timing - BIG MAP'!$AA$59</c:f>
              <c:strCache>
                <c:ptCount val="1"/>
                <c:pt idx="0">
                  <c:v>7500</c:v>
                </c:pt>
              </c:strCache>
            </c:strRef>
          </c:tx>
          <c:cat>
            <c:numRef>
              <c:f>'Timing - BIG MAP'!$AB$34:$BE$34</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MAP'!$AB$59:$BE$59</c:f>
              <c:numCache>
                <c:formatCode>0</c:formatCode>
                <c:ptCount val="30"/>
                <c:pt idx="0">
                  <c:v>38</c:v>
                </c:pt>
                <c:pt idx="1">
                  <c:v>38</c:v>
                </c:pt>
                <c:pt idx="2">
                  <c:v>38</c:v>
                </c:pt>
                <c:pt idx="3">
                  <c:v>38</c:v>
                </c:pt>
                <c:pt idx="4">
                  <c:v>38</c:v>
                </c:pt>
                <c:pt idx="5">
                  <c:v>36</c:v>
                </c:pt>
                <c:pt idx="6">
                  <c:v>35</c:v>
                </c:pt>
                <c:pt idx="7">
                  <c:v>34</c:v>
                </c:pt>
                <c:pt idx="8">
                  <c:v>33</c:v>
                </c:pt>
                <c:pt idx="9">
                  <c:v>32</c:v>
                </c:pt>
                <c:pt idx="10">
                  <c:v>31</c:v>
                </c:pt>
                <c:pt idx="11">
                  <c:v>29</c:v>
                </c:pt>
                <c:pt idx="12">
                  <c:v>28</c:v>
                </c:pt>
                <c:pt idx="13">
                  <c:v>25</c:v>
                </c:pt>
                <c:pt idx="14">
                  <c:v>24</c:v>
                </c:pt>
                <c:pt idx="15">
                  <c:v>23</c:v>
                </c:pt>
                <c:pt idx="16">
                  <c:v>22</c:v>
                </c:pt>
                <c:pt idx="17">
                  <c:v>22</c:v>
                </c:pt>
                <c:pt idx="18">
                  <c:v>22</c:v>
                </c:pt>
                <c:pt idx="19">
                  <c:v>21</c:v>
                </c:pt>
                <c:pt idx="20">
                  <c:v>20</c:v>
                </c:pt>
                <c:pt idx="21">
                  <c:v>20</c:v>
                </c:pt>
                <c:pt idx="22">
                  <c:v>20</c:v>
                </c:pt>
                <c:pt idx="23">
                  <c:v>20</c:v>
                </c:pt>
                <c:pt idx="24">
                  <c:v>20</c:v>
                </c:pt>
                <c:pt idx="25">
                  <c:v>19</c:v>
                </c:pt>
                <c:pt idx="26">
                  <c:v>18</c:v>
                </c:pt>
                <c:pt idx="27">
                  <c:v>16</c:v>
                </c:pt>
                <c:pt idx="28">
                  <c:v>15</c:v>
                </c:pt>
                <c:pt idx="29">
                  <c:v>15</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
            <c:idx val="40"/>
            <c:spPr>
              <a:solidFill>
                <a:srgbClr val="000000"/>
              </a:solidFill>
              <a:ln w="12700">
                <a:solidFill>
                  <a:srgbClr val="000000"/>
                </a:solidFill>
                <a:prstDash val="solid"/>
              </a:ln>
              <a:sp3d prstMaterial="flat"/>
            </c:spPr>
          </c:bandFmt>
          <c:bandFmt>
            <c:idx val="41"/>
            <c:spPr>
              <a:solidFill>
                <a:srgbClr val="FFFFFF"/>
              </a:solidFill>
              <a:ln w="12700">
                <a:solidFill>
                  <a:srgbClr val="000000"/>
                </a:solidFill>
                <a:prstDash val="solid"/>
              </a:ln>
              <a:sp3d prstMaterial="flat"/>
            </c:spPr>
          </c:bandFmt>
          <c:bandFmt>
            <c:idx val="42"/>
            <c:spPr>
              <a:solidFill>
                <a:srgbClr val="FF0000"/>
              </a:solidFill>
              <a:ln w="12700">
                <a:solidFill>
                  <a:srgbClr val="000000"/>
                </a:solidFill>
                <a:prstDash val="solid"/>
              </a:ln>
              <a:sp3d prstMaterial="flat"/>
            </c:spPr>
          </c:bandFmt>
          <c:bandFmt>
            <c:idx val="43"/>
            <c:spPr>
              <a:solidFill>
                <a:srgbClr val="00FF00"/>
              </a:solidFill>
              <a:ln w="12700">
                <a:solidFill>
                  <a:srgbClr val="000000"/>
                </a:solidFill>
                <a:prstDash val="solid"/>
              </a:ln>
              <a:sp3d prstMaterial="flat"/>
            </c:spPr>
          </c:bandFmt>
          <c:bandFmt>
            <c:idx val="44"/>
            <c:spPr>
              <a:solidFill>
                <a:srgbClr val="0000FF"/>
              </a:solidFill>
              <a:ln w="12700">
                <a:solidFill>
                  <a:srgbClr val="000000"/>
                </a:solidFill>
                <a:prstDash val="solid"/>
              </a:ln>
              <a:sp3d prstMaterial="flat"/>
            </c:spPr>
          </c:bandFmt>
          <c:bandFmt>
            <c:idx val="45"/>
            <c:spPr>
              <a:solidFill>
                <a:srgbClr val="FFFF00"/>
              </a:solidFill>
              <a:ln w="12700">
                <a:solidFill>
                  <a:srgbClr val="000000"/>
                </a:solidFill>
                <a:prstDash val="solid"/>
              </a:ln>
              <a:sp3d prstMaterial="flat"/>
            </c:spPr>
          </c:bandFmt>
          <c:bandFmt>
            <c:idx val="46"/>
            <c:spPr>
              <a:solidFill>
                <a:srgbClr val="FF00FF"/>
              </a:solidFill>
              <a:ln w="12700">
                <a:solidFill>
                  <a:srgbClr val="000000"/>
                </a:solidFill>
                <a:prstDash val="solid"/>
              </a:ln>
              <a:sp3d prstMaterial="flat"/>
            </c:spPr>
          </c:bandFmt>
          <c:bandFmt>
            <c:idx val="47"/>
            <c:spPr>
              <a:solidFill>
                <a:srgbClr val="00FFFF"/>
              </a:solidFill>
              <a:ln w="12700">
                <a:solidFill>
                  <a:srgbClr val="000000"/>
                </a:solidFill>
                <a:prstDash val="solid"/>
              </a:ln>
              <a:sp3d prstMaterial="flat"/>
            </c:spPr>
          </c:bandFmt>
        </c:bandFmts>
        <c:axId val="88403328"/>
        <c:axId val="88409216"/>
        <c:axId val="88339328"/>
      </c:surfaceChart>
      <c:catAx>
        <c:axId val="88403328"/>
        <c:scaling>
          <c:orientation val="minMax"/>
        </c:scaling>
        <c:axPos val="b"/>
        <c:numFmt formatCode="General" sourceLinked="1"/>
        <c:tickLblPos val="low"/>
        <c:spPr>
          <a:ln w="3175">
            <a:solidFill>
              <a:srgbClr val="000000"/>
            </a:solidFill>
            <a:prstDash val="solid"/>
          </a:ln>
        </c:spPr>
        <c:txPr>
          <a:bodyPr rot="-5400000" vert="horz"/>
          <a:lstStyle/>
          <a:p>
            <a:pPr>
              <a:defRPr sz="1175" b="0" i="0" u="none" strike="noStrike" baseline="0">
                <a:solidFill>
                  <a:srgbClr val="000000"/>
                </a:solidFill>
                <a:latin typeface="Arial"/>
                <a:ea typeface="Arial"/>
                <a:cs typeface="Arial"/>
              </a:defRPr>
            </a:pPr>
            <a:endParaRPr lang="en-US"/>
          </a:p>
        </c:txPr>
        <c:crossAx val="88409216"/>
        <c:crosses val="autoZero"/>
        <c:auto val="1"/>
        <c:lblAlgn val="ctr"/>
        <c:lblOffset val="100"/>
        <c:tickLblSkip val="2"/>
        <c:tickMarkSkip val="1"/>
        <c:noMultiLvlLbl val="1"/>
      </c:catAx>
      <c:valAx>
        <c:axId val="88409216"/>
        <c:scaling>
          <c:orientation val="minMax"/>
          <c:min val="-10"/>
        </c:scaling>
        <c:axPos val="l"/>
        <c:majorGridlines>
          <c:spPr>
            <a:ln w="3175">
              <a:solidFill>
                <a:srgbClr val="C0C0C0"/>
              </a:solidFill>
              <a:prstDash val="solid"/>
            </a:ln>
          </c:spPr>
        </c:majorGridlines>
        <c:numFmt formatCode="0" sourceLinked="1"/>
        <c:majorTickMark val="none"/>
        <c:tickLblPos val="none"/>
        <c:spPr>
          <a:ln w="3175">
            <a:solidFill>
              <a:srgbClr val="000000"/>
            </a:solidFill>
            <a:prstDash val="solid"/>
          </a:ln>
        </c:spPr>
        <c:crossAx val="88403328"/>
        <c:crosses val="autoZero"/>
        <c:crossBetween val="midCat"/>
        <c:majorUnit val="1"/>
        <c:minorUnit val="0.5"/>
      </c:valAx>
      <c:serAx>
        <c:axId val="88339328"/>
        <c:scaling>
          <c:orientation val="maxMin"/>
        </c:scaling>
        <c:axPos val="b"/>
        <c:numFmt formatCode="General" sourceLinked="1"/>
        <c:tickLblPos val="low"/>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88409216"/>
        <c:crosses val="autoZero"/>
        <c:tickLblSkip val="2"/>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0"/>
      <c:depthPercent val="100"/>
      <c:perspective val="0"/>
    </c:view3D>
    <c:floor>
      <c:spPr>
        <a:noFill/>
        <a:ln w="9525">
          <a:noFill/>
        </a:ln>
      </c:spPr>
    </c:floor>
    <c:sideWall>
      <c:spPr>
        <a:noFill/>
        <a:ln w="25400">
          <a:noFill/>
        </a:ln>
      </c:spPr>
    </c:sideWall>
    <c:backWall>
      <c:spPr>
        <a:noFill/>
        <a:ln w="25400">
          <a:noFill/>
        </a:ln>
      </c:spPr>
    </c:backWall>
    <c:plotArea>
      <c:layout>
        <c:manualLayout>
          <c:layoutTarget val="inner"/>
          <c:xMode val="edge"/>
          <c:yMode val="edge"/>
          <c:x val="4.5243708033428337E-2"/>
          <c:y val="6.8272931751064674E-3"/>
          <c:w val="0.86049644972155326"/>
          <c:h val="0.89161911475760258"/>
        </c:manualLayout>
      </c:layout>
      <c:surfaceChart>
        <c:ser>
          <c:idx val="0"/>
          <c:order val="0"/>
          <c:tx>
            <c:strRef>
              <c:f>'Timing - BIG MAP'!$AA$64</c:f>
              <c:strCache>
                <c:ptCount val="1"/>
                <c:pt idx="0">
                  <c:v>500</c:v>
                </c:pt>
              </c:strCache>
            </c:strRef>
          </c:tx>
          <c:spPr>
            <a:solidFill>
              <a:srgbClr val="9999FF"/>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MAP'!$AB$64:$BE$64</c:f>
              <c:numCache>
                <c:formatCode>0</c:formatCode>
                <c:ptCount val="30"/>
                <c:pt idx="0">
                  <c:v>5</c:v>
                </c:pt>
                <c:pt idx="1">
                  <c:v>5</c:v>
                </c:pt>
                <c:pt idx="2">
                  <c:v>5</c:v>
                </c:pt>
                <c:pt idx="3">
                  <c:v>5</c:v>
                </c:pt>
                <c:pt idx="4">
                  <c:v>10</c:v>
                </c:pt>
                <c:pt idx="5">
                  <c:v>15</c:v>
                </c:pt>
                <c:pt idx="6">
                  <c:v>15</c:v>
                </c:pt>
                <c:pt idx="7">
                  <c:v>12</c:v>
                </c:pt>
                <c:pt idx="8">
                  <c:v>7</c:v>
                </c:pt>
                <c:pt idx="9">
                  <c:v>5</c:v>
                </c:pt>
                <c:pt idx="10">
                  <c:v>2</c:v>
                </c:pt>
                <c:pt idx="11">
                  <c:v>-1</c:v>
                </c:pt>
                <c:pt idx="12">
                  <c:v>-4</c:v>
                </c:pt>
                <c:pt idx="13">
                  <c:v>-7</c:v>
                </c:pt>
                <c:pt idx="14">
                  <c:v>-10</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numCache>
            </c:numRef>
          </c:val>
        </c:ser>
        <c:ser>
          <c:idx val="1"/>
          <c:order val="1"/>
          <c:tx>
            <c:strRef>
              <c:f>'Timing - BIG MAP'!$AA$65</c:f>
              <c:strCache>
                <c:ptCount val="1"/>
                <c:pt idx="0">
                  <c:v>1000</c:v>
                </c:pt>
              </c:strCache>
            </c:strRef>
          </c:tx>
          <c:spPr>
            <a:solidFill>
              <a:srgbClr val="993366"/>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MAP'!$AB$65:$BE$65</c:f>
              <c:numCache>
                <c:formatCode>0</c:formatCode>
                <c:ptCount val="30"/>
                <c:pt idx="0">
                  <c:v>5</c:v>
                </c:pt>
                <c:pt idx="1">
                  <c:v>5</c:v>
                </c:pt>
                <c:pt idx="2">
                  <c:v>5</c:v>
                </c:pt>
                <c:pt idx="3">
                  <c:v>5</c:v>
                </c:pt>
                <c:pt idx="4">
                  <c:v>10</c:v>
                </c:pt>
                <c:pt idx="5">
                  <c:v>15</c:v>
                </c:pt>
                <c:pt idx="6">
                  <c:v>15</c:v>
                </c:pt>
                <c:pt idx="7">
                  <c:v>10</c:v>
                </c:pt>
                <c:pt idx="8">
                  <c:v>8</c:v>
                </c:pt>
                <c:pt idx="9">
                  <c:v>6</c:v>
                </c:pt>
                <c:pt idx="10">
                  <c:v>3</c:v>
                </c:pt>
                <c:pt idx="11">
                  <c:v>0</c:v>
                </c:pt>
                <c:pt idx="12">
                  <c:v>-3</c:v>
                </c:pt>
                <c:pt idx="13">
                  <c:v>-6</c:v>
                </c:pt>
                <c:pt idx="14">
                  <c:v>-9</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numCache>
            </c:numRef>
          </c:val>
        </c:ser>
        <c:ser>
          <c:idx val="2"/>
          <c:order val="2"/>
          <c:tx>
            <c:strRef>
              <c:f>'Timing - BIG MAP'!$AA$66</c:f>
              <c:strCache>
                <c:ptCount val="1"/>
                <c:pt idx="0">
                  <c:v>1250</c:v>
                </c:pt>
              </c:strCache>
            </c:strRef>
          </c:tx>
          <c:spPr>
            <a:solidFill>
              <a:srgbClr val="FFFFCC"/>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MAP'!$AB$66:$BE$66</c:f>
              <c:numCache>
                <c:formatCode>0</c:formatCode>
                <c:ptCount val="30"/>
                <c:pt idx="0">
                  <c:v>15</c:v>
                </c:pt>
                <c:pt idx="1">
                  <c:v>15</c:v>
                </c:pt>
                <c:pt idx="2">
                  <c:v>15</c:v>
                </c:pt>
                <c:pt idx="3">
                  <c:v>15</c:v>
                </c:pt>
                <c:pt idx="4">
                  <c:v>17</c:v>
                </c:pt>
                <c:pt idx="5">
                  <c:v>21</c:v>
                </c:pt>
                <c:pt idx="6">
                  <c:v>21</c:v>
                </c:pt>
                <c:pt idx="7">
                  <c:v>19</c:v>
                </c:pt>
                <c:pt idx="8">
                  <c:v>14</c:v>
                </c:pt>
                <c:pt idx="9">
                  <c:v>12</c:v>
                </c:pt>
                <c:pt idx="10">
                  <c:v>8</c:v>
                </c:pt>
                <c:pt idx="11">
                  <c:v>5</c:v>
                </c:pt>
                <c:pt idx="12">
                  <c:v>2</c:v>
                </c:pt>
                <c:pt idx="13">
                  <c:v>-1</c:v>
                </c:pt>
                <c:pt idx="14">
                  <c:v>-4</c:v>
                </c:pt>
                <c:pt idx="15">
                  <c:v>-6</c:v>
                </c:pt>
                <c:pt idx="16">
                  <c:v>-7</c:v>
                </c:pt>
                <c:pt idx="17">
                  <c:v>-9</c:v>
                </c:pt>
                <c:pt idx="18">
                  <c:v>-10</c:v>
                </c:pt>
                <c:pt idx="19">
                  <c:v>-11</c:v>
                </c:pt>
                <c:pt idx="20">
                  <c:v>-10</c:v>
                </c:pt>
                <c:pt idx="21">
                  <c:v>-10</c:v>
                </c:pt>
                <c:pt idx="22">
                  <c:v>-10</c:v>
                </c:pt>
                <c:pt idx="23">
                  <c:v>-10</c:v>
                </c:pt>
                <c:pt idx="24">
                  <c:v>-10</c:v>
                </c:pt>
                <c:pt idx="25">
                  <c:v>-10</c:v>
                </c:pt>
                <c:pt idx="26">
                  <c:v>-10</c:v>
                </c:pt>
                <c:pt idx="27">
                  <c:v>-10</c:v>
                </c:pt>
                <c:pt idx="28">
                  <c:v>-10</c:v>
                </c:pt>
                <c:pt idx="29">
                  <c:v>-10</c:v>
                </c:pt>
              </c:numCache>
            </c:numRef>
          </c:val>
        </c:ser>
        <c:ser>
          <c:idx val="3"/>
          <c:order val="3"/>
          <c:tx>
            <c:strRef>
              <c:f>'Timing - BIG MAP'!$AA$67</c:f>
              <c:strCache>
                <c:ptCount val="1"/>
                <c:pt idx="0">
                  <c:v>1500</c:v>
                </c:pt>
              </c:strCache>
            </c:strRef>
          </c:tx>
          <c:spPr>
            <a:solidFill>
              <a:srgbClr val="CCFFFF"/>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MAP'!$AB$67:$BE$67</c:f>
              <c:numCache>
                <c:formatCode>0</c:formatCode>
                <c:ptCount val="30"/>
                <c:pt idx="0">
                  <c:v>30</c:v>
                </c:pt>
                <c:pt idx="1">
                  <c:v>30</c:v>
                </c:pt>
                <c:pt idx="2">
                  <c:v>30</c:v>
                </c:pt>
                <c:pt idx="3">
                  <c:v>30</c:v>
                </c:pt>
                <c:pt idx="4">
                  <c:v>30</c:v>
                </c:pt>
                <c:pt idx="5">
                  <c:v>30</c:v>
                </c:pt>
                <c:pt idx="6">
                  <c:v>28</c:v>
                </c:pt>
                <c:pt idx="7">
                  <c:v>24</c:v>
                </c:pt>
                <c:pt idx="8">
                  <c:v>20</c:v>
                </c:pt>
                <c:pt idx="9">
                  <c:v>16</c:v>
                </c:pt>
                <c:pt idx="10">
                  <c:v>11</c:v>
                </c:pt>
                <c:pt idx="11">
                  <c:v>9</c:v>
                </c:pt>
                <c:pt idx="12">
                  <c:v>6</c:v>
                </c:pt>
                <c:pt idx="13">
                  <c:v>3</c:v>
                </c:pt>
                <c:pt idx="14">
                  <c:v>0</c:v>
                </c:pt>
                <c:pt idx="15">
                  <c:v>-2</c:v>
                </c:pt>
                <c:pt idx="16">
                  <c:v>-3</c:v>
                </c:pt>
                <c:pt idx="17">
                  <c:v>-5</c:v>
                </c:pt>
                <c:pt idx="18">
                  <c:v>-6</c:v>
                </c:pt>
                <c:pt idx="19">
                  <c:v>-8</c:v>
                </c:pt>
                <c:pt idx="20">
                  <c:v>-9</c:v>
                </c:pt>
                <c:pt idx="21">
                  <c:v>-10</c:v>
                </c:pt>
                <c:pt idx="22">
                  <c:v>-10</c:v>
                </c:pt>
                <c:pt idx="23">
                  <c:v>-10</c:v>
                </c:pt>
                <c:pt idx="24">
                  <c:v>-10</c:v>
                </c:pt>
                <c:pt idx="25">
                  <c:v>-10</c:v>
                </c:pt>
                <c:pt idx="26">
                  <c:v>-10</c:v>
                </c:pt>
                <c:pt idx="27">
                  <c:v>-10</c:v>
                </c:pt>
                <c:pt idx="28">
                  <c:v>-10</c:v>
                </c:pt>
                <c:pt idx="29">
                  <c:v>-10</c:v>
                </c:pt>
              </c:numCache>
            </c:numRef>
          </c:val>
        </c:ser>
        <c:ser>
          <c:idx val="4"/>
          <c:order val="4"/>
          <c:tx>
            <c:strRef>
              <c:f>'Timing - BIG MAP'!$AA$68</c:f>
              <c:strCache>
                <c:ptCount val="1"/>
                <c:pt idx="0">
                  <c:v>2000</c:v>
                </c:pt>
              </c:strCache>
            </c:strRef>
          </c:tx>
          <c:spPr>
            <a:solidFill>
              <a:srgbClr val="660066"/>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MAP'!$AB$68:$BE$68</c:f>
              <c:numCache>
                <c:formatCode>0</c:formatCode>
                <c:ptCount val="30"/>
                <c:pt idx="0">
                  <c:v>33</c:v>
                </c:pt>
                <c:pt idx="1">
                  <c:v>33</c:v>
                </c:pt>
                <c:pt idx="2">
                  <c:v>33</c:v>
                </c:pt>
                <c:pt idx="3">
                  <c:v>33</c:v>
                </c:pt>
                <c:pt idx="4">
                  <c:v>32</c:v>
                </c:pt>
                <c:pt idx="5">
                  <c:v>30</c:v>
                </c:pt>
                <c:pt idx="6">
                  <c:v>29</c:v>
                </c:pt>
                <c:pt idx="7">
                  <c:v>24</c:v>
                </c:pt>
                <c:pt idx="8">
                  <c:v>22</c:v>
                </c:pt>
                <c:pt idx="9">
                  <c:v>19</c:v>
                </c:pt>
                <c:pt idx="10">
                  <c:v>14</c:v>
                </c:pt>
                <c:pt idx="11">
                  <c:v>10</c:v>
                </c:pt>
                <c:pt idx="12">
                  <c:v>7</c:v>
                </c:pt>
                <c:pt idx="13">
                  <c:v>4</c:v>
                </c:pt>
                <c:pt idx="14">
                  <c:v>1</c:v>
                </c:pt>
                <c:pt idx="15">
                  <c:v>-1</c:v>
                </c:pt>
                <c:pt idx="16">
                  <c:v>-3</c:v>
                </c:pt>
                <c:pt idx="17">
                  <c:v>-4</c:v>
                </c:pt>
                <c:pt idx="18">
                  <c:v>-6</c:v>
                </c:pt>
                <c:pt idx="19">
                  <c:v>-7</c:v>
                </c:pt>
                <c:pt idx="20">
                  <c:v>-9</c:v>
                </c:pt>
                <c:pt idx="21">
                  <c:v>-9</c:v>
                </c:pt>
                <c:pt idx="22">
                  <c:v>-10</c:v>
                </c:pt>
                <c:pt idx="23">
                  <c:v>-10</c:v>
                </c:pt>
                <c:pt idx="24">
                  <c:v>-10</c:v>
                </c:pt>
                <c:pt idx="25">
                  <c:v>-10</c:v>
                </c:pt>
                <c:pt idx="26">
                  <c:v>-10</c:v>
                </c:pt>
                <c:pt idx="27">
                  <c:v>-10</c:v>
                </c:pt>
                <c:pt idx="28">
                  <c:v>-10</c:v>
                </c:pt>
                <c:pt idx="29">
                  <c:v>-10</c:v>
                </c:pt>
              </c:numCache>
            </c:numRef>
          </c:val>
        </c:ser>
        <c:ser>
          <c:idx val="5"/>
          <c:order val="5"/>
          <c:tx>
            <c:strRef>
              <c:f>'Timing - BIG MAP'!$AA$69</c:f>
              <c:strCache>
                <c:ptCount val="1"/>
                <c:pt idx="0">
                  <c:v>2500</c:v>
                </c:pt>
              </c:strCache>
            </c:strRef>
          </c:tx>
          <c:spPr>
            <a:solidFill>
              <a:srgbClr val="FF8080"/>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MAP'!$AB$69:$BE$69</c:f>
              <c:numCache>
                <c:formatCode>0</c:formatCode>
                <c:ptCount val="30"/>
                <c:pt idx="0">
                  <c:v>35</c:v>
                </c:pt>
                <c:pt idx="1">
                  <c:v>35</c:v>
                </c:pt>
                <c:pt idx="2">
                  <c:v>35</c:v>
                </c:pt>
                <c:pt idx="3">
                  <c:v>35</c:v>
                </c:pt>
                <c:pt idx="4">
                  <c:v>33</c:v>
                </c:pt>
                <c:pt idx="5">
                  <c:v>30</c:v>
                </c:pt>
                <c:pt idx="6">
                  <c:v>29</c:v>
                </c:pt>
                <c:pt idx="7">
                  <c:v>24</c:v>
                </c:pt>
                <c:pt idx="8">
                  <c:v>24</c:v>
                </c:pt>
                <c:pt idx="9">
                  <c:v>22</c:v>
                </c:pt>
                <c:pt idx="10">
                  <c:v>17</c:v>
                </c:pt>
                <c:pt idx="11">
                  <c:v>10</c:v>
                </c:pt>
                <c:pt idx="12">
                  <c:v>7</c:v>
                </c:pt>
                <c:pt idx="13">
                  <c:v>4</c:v>
                </c:pt>
                <c:pt idx="14">
                  <c:v>1</c:v>
                </c:pt>
                <c:pt idx="15">
                  <c:v>0</c:v>
                </c:pt>
                <c:pt idx="16">
                  <c:v>-2</c:v>
                </c:pt>
                <c:pt idx="17">
                  <c:v>-4</c:v>
                </c:pt>
                <c:pt idx="18">
                  <c:v>-5</c:v>
                </c:pt>
                <c:pt idx="19">
                  <c:v>-7</c:v>
                </c:pt>
                <c:pt idx="20">
                  <c:v>-8</c:v>
                </c:pt>
                <c:pt idx="21">
                  <c:v>-9</c:v>
                </c:pt>
                <c:pt idx="22">
                  <c:v>-10</c:v>
                </c:pt>
                <c:pt idx="23">
                  <c:v>-11</c:v>
                </c:pt>
                <c:pt idx="24">
                  <c:v>-10</c:v>
                </c:pt>
                <c:pt idx="25">
                  <c:v>-10</c:v>
                </c:pt>
                <c:pt idx="26">
                  <c:v>-10</c:v>
                </c:pt>
                <c:pt idx="27">
                  <c:v>-10</c:v>
                </c:pt>
                <c:pt idx="28">
                  <c:v>-10</c:v>
                </c:pt>
                <c:pt idx="29">
                  <c:v>-10</c:v>
                </c:pt>
              </c:numCache>
            </c:numRef>
          </c:val>
        </c:ser>
        <c:ser>
          <c:idx val="6"/>
          <c:order val="6"/>
          <c:tx>
            <c:strRef>
              <c:f>'Timing - BIG MAP'!$AA$70</c:f>
              <c:strCache>
                <c:ptCount val="1"/>
                <c:pt idx="0">
                  <c:v>2750</c:v>
                </c:pt>
              </c:strCache>
            </c:strRef>
          </c:tx>
          <c:spPr>
            <a:solidFill>
              <a:srgbClr val="0066CC"/>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MAP'!$AB$70:$BE$70</c:f>
              <c:numCache>
                <c:formatCode>0</c:formatCode>
                <c:ptCount val="30"/>
                <c:pt idx="0">
                  <c:v>35</c:v>
                </c:pt>
                <c:pt idx="1">
                  <c:v>35</c:v>
                </c:pt>
                <c:pt idx="2">
                  <c:v>35</c:v>
                </c:pt>
                <c:pt idx="3">
                  <c:v>35</c:v>
                </c:pt>
                <c:pt idx="4">
                  <c:v>33</c:v>
                </c:pt>
                <c:pt idx="5">
                  <c:v>30</c:v>
                </c:pt>
                <c:pt idx="6">
                  <c:v>30</c:v>
                </c:pt>
                <c:pt idx="7">
                  <c:v>26</c:v>
                </c:pt>
                <c:pt idx="8">
                  <c:v>26</c:v>
                </c:pt>
                <c:pt idx="9">
                  <c:v>23</c:v>
                </c:pt>
                <c:pt idx="10">
                  <c:v>19</c:v>
                </c:pt>
                <c:pt idx="11">
                  <c:v>12</c:v>
                </c:pt>
                <c:pt idx="12">
                  <c:v>8</c:v>
                </c:pt>
                <c:pt idx="13">
                  <c:v>5</c:v>
                </c:pt>
                <c:pt idx="14">
                  <c:v>2</c:v>
                </c:pt>
                <c:pt idx="15">
                  <c:v>1</c:v>
                </c:pt>
                <c:pt idx="16">
                  <c:v>-1</c:v>
                </c:pt>
                <c:pt idx="17">
                  <c:v>-2</c:v>
                </c:pt>
                <c:pt idx="18">
                  <c:v>-4</c:v>
                </c:pt>
                <c:pt idx="19">
                  <c:v>-5</c:v>
                </c:pt>
                <c:pt idx="20">
                  <c:v>-7</c:v>
                </c:pt>
                <c:pt idx="21">
                  <c:v>-8</c:v>
                </c:pt>
                <c:pt idx="22">
                  <c:v>-9</c:v>
                </c:pt>
                <c:pt idx="23">
                  <c:v>-10</c:v>
                </c:pt>
                <c:pt idx="24">
                  <c:v>-10</c:v>
                </c:pt>
                <c:pt idx="25">
                  <c:v>-10</c:v>
                </c:pt>
                <c:pt idx="26">
                  <c:v>-10</c:v>
                </c:pt>
                <c:pt idx="27">
                  <c:v>-10</c:v>
                </c:pt>
                <c:pt idx="28">
                  <c:v>-10</c:v>
                </c:pt>
                <c:pt idx="29">
                  <c:v>-10</c:v>
                </c:pt>
              </c:numCache>
            </c:numRef>
          </c:val>
        </c:ser>
        <c:ser>
          <c:idx val="7"/>
          <c:order val="7"/>
          <c:tx>
            <c:strRef>
              <c:f>'Timing - BIG MAP'!$AA$71</c:f>
              <c:strCache>
                <c:ptCount val="1"/>
                <c:pt idx="0">
                  <c:v>3000</c:v>
                </c:pt>
              </c:strCache>
            </c:strRef>
          </c:tx>
          <c:spPr>
            <a:solidFill>
              <a:srgbClr val="CCCCFF"/>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MAP'!$AB$71:$BE$71</c:f>
              <c:numCache>
                <c:formatCode>0</c:formatCode>
                <c:ptCount val="30"/>
                <c:pt idx="0">
                  <c:v>35</c:v>
                </c:pt>
                <c:pt idx="1">
                  <c:v>35</c:v>
                </c:pt>
                <c:pt idx="2">
                  <c:v>35</c:v>
                </c:pt>
                <c:pt idx="3">
                  <c:v>35</c:v>
                </c:pt>
                <c:pt idx="4">
                  <c:v>33</c:v>
                </c:pt>
                <c:pt idx="5">
                  <c:v>30</c:v>
                </c:pt>
                <c:pt idx="6">
                  <c:v>30</c:v>
                </c:pt>
                <c:pt idx="7">
                  <c:v>28</c:v>
                </c:pt>
                <c:pt idx="8">
                  <c:v>27</c:v>
                </c:pt>
                <c:pt idx="9">
                  <c:v>23</c:v>
                </c:pt>
                <c:pt idx="10">
                  <c:v>20</c:v>
                </c:pt>
                <c:pt idx="11">
                  <c:v>13</c:v>
                </c:pt>
                <c:pt idx="12">
                  <c:v>9</c:v>
                </c:pt>
                <c:pt idx="13">
                  <c:v>5</c:v>
                </c:pt>
                <c:pt idx="14">
                  <c:v>3</c:v>
                </c:pt>
                <c:pt idx="15">
                  <c:v>2</c:v>
                </c:pt>
                <c:pt idx="16">
                  <c:v>1</c:v>
                </c:pt>
                <c:pt idx="17">
                  <c:v>-1</c:v>
                </c:pt>
                <c:pt idx="18">
                  <c:v>-2</c:v>
                </c:pt>
                <c:pt idx="19">
                  <c:v>-4</c:v>
                </c:pt>
                <c:pt idx="20">
                  <c:v>-5</c:v>
                </c:pt>
                <c:pt idx="21">
                  <c:v>-7</c:v>
                </c:pt>
                <c:pt idx="22">
                  <c:v>-8</c:v>
                </c:pt>
                <c:pt idx="23">
                  <c:v>-9</c:v>
                </c:pt>
                <c:pt idx="24">
                  <c:v>-10</c:v>
                </c:pt>
                <c:pt idx="25">
                  <c:v>-10</c:v>
                </c:pt>
                <c:pt idx="26">
                  <c:v>-10</c:v>
                </c:pt>
                <c:pt idx="27">
                  <c:v>-10</c:v>
                </c:pt>
                <c:pt idx="28">
                  <c:v>-10</c:v>
                </c:pt>
                <c:pt idx="29">
                  <c:v>-10</c:v>
                </c:pt>
              </c:numCache>
            </c:numRef>
          </c:val>
        </c:ser>
        <c:ser>
          <c:idx val="8"/>
          <c:order val="8"/>
          <c:tx>
            <c:strRef>
              <c:f>'Timing - BIG MAP'!$AA$72</c:f>
              <c:strCache>
                <c:ptCount val="1"/>
                <c:pt idx="0">
                  <c:v>3250</c:v>
                </c:pt>
              </c:strCache>
            </c:strRef>
          </c:tx>
          <c:spPr>
            <a:solidFill>
              <a:srgbClr val="000080"/>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MAP'!$AB$72:$BE$72</c:f>
              <c:numCache>
                <c:formatCode>0</c:formatCode>
                <c:ptCount val="30"/>
                <c:pt idx="0">
                  <c:v>35</c:v>
                </c:pt>
                <c:pt idx="1">
                  <c:v>35</c:v>
                </c:pt>
                <c:pt idx="2">
                  <c:v>35</c:v>
                </c:pt>
                <c:pt idx="3">
                  <c:v>35</c:v>
                </c:pt>
                <c:pt idx="4">
                  <c:v>33</c:v>
                </c:pt>
                <c:pt idx="5">
                  <c:v>30</c:v>
                </c:pt>
                <c:pt idx="6">
                  <c:v>29</c:v>
                </c:pt>
                <c:pt idx="7">
                  <c:v>27</c:v>
                </c:pt>
                <c:pt idx="8">
                  <c:v>26</c:v>
                </c:pt>
                <c:pt idx="9">
                  <c:v>24</c:v>
                </c:pt>
                <c:pt idx="10">
                  <c:v>21</c:v>
                </c:pt>
                <c:pt idx="11">
                  <c:v>14</c:v>
                </c:pt>
                <c:pt idx="12">
                  <c:v>10</c:v>
                </c:pt>
                <c:pt idx="13">
                  <c:v>6</c:v>
                </c:pt>
                <c:pt idx="14">
                  <c:v>4</c:v>
                </c:pt>
                <c:pt idx="15">
                  <c:v>3</c:v>
                </c:pt>
                <c:pt idx="16">
                  <c:v>2</c:v>
                </c:pt>
                <c:pt idx="17">
                  <c:v>1</c:v>
                </c:pt>
                <c:pt idx="18">
                  <c:v>-1</c:v>
                </c:pt>
                <c:pt idx="19">
                  <c:v>-3</c:v>
                </c:pt>
                <c:pt idx="20">
                  <c:v>-4</c:v>
                </c:pt>
                <c:pt idx="21">
                  <c:v>-6</c:v>
                </c:pt>
                <c:pt idx="22">
                  <c:v>-7</c:v>
                </c:pt>
                <c:pt idx="23">
                  <c:v>-8</c:v>
                </c:pt>
                <c:pt idx="24">
                  <c:v>-10</c:v>
                </c:pt>
                <c:pt idx="25">
                  <c:v>-10</c:v>
                </c:pt>
                <c:pt idx="26">
                  <c:v>-10</c:v>
                </c:pt>
                <c:pt idx="27">
                  <c:v>-10</c:v>
                </c:pt>
                <c:pt idx="28">
                  <c:v>-10</c:v>
                </c:pt>
                <c:pt idx="29">
                  <c:v>-10</c:v>
                </c:pt>
              </c:numCache>
            </c:numRef>
          </c:val>
        </c:ser>
        <c:ser>
          <c:idx val="9"/>
          <c:order val="9"/>
          <c:tx>
            <c:strRef>
              <c:f>'Timing - BIG MAP'!$AA$73</c:f>
              <c:strCache>
                <c:ptCount val="1"/>
                <c:pt idx="0">
                  <c:v>3500</c:v>
                </c:pt>
              </c:strCache>
            </c:strRef>
          </c:tx>
          <c:spPr>
            <a:solidFill>
              <a:srgbClr val="FF00FF"/>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MAP'!$AB$73:$BE$73</c:f>
              <c:numCache>
                <c:formatCode>0</c:formatCode>
                <c:ptCount val="30"/>
                <c:pt idx="0">
                  <c:v>35</c:v>
                </c:pt>
                <c:pt idx="1">
                  <c:v>35</c:v>
                </c:pt>
                <c:pt idx="2">
                  <c:v>35</c:v>
                </c:pt>
                <c:pt idx="3">
                  <c:v>35</c:v>
                </c:pt>
                <c:pt idx="4">
                  <c:v>33</c:v>
                </c:pt>
                <c:pt idx="5">
                  <c:v>30</c:v>
                </c:pt>
                <c:pt idx="6">
                  <c:v>27</c:v>
                </c:pt>
                <c:pt idx="7">
                  <c:v>26</c:v>
                </c:pt>
                <c:pt idx="8">
                  <c:v>25</c:v>
                </c:pt>
                <c:pt idx="9">
                  <c:v>25</c:v>
                </c:pt>
                <c:pt idx="10">
                  <c:v>22</c:v>
                </c:pt>
                <c:pt idx="11">
                  <c:v>14</c:v>
                </c:pt>
                <c:pt idx="12">
                  <c:v>10</c:v>
                </c:pt>
                <c:pt idx="13">
                  <c:v>7</c:v>
                </c:pt>
                <c:pt idx="14">
                  <c:v>5</c:v>
                </c:pt>
                <c:pt idx="15">
                  <c:v>4</c:v>
                </c:pt>
                <c:pt idx="16">
                  <c:v>3</c:v>
                </c:pt>
                <c:pt idx="17">
                  <c:v>2</c:v>
                </c:pt>
                <c:pt idx="18">
                  <c:v>0</c:v>
                </c:pt>
                <c:pt idx="19">
                  <c:v>-2</c:v>
                </c:pt>
                <c:pt idx="20">
                  <c:v>-3</c:v>
                </c:pt>
                <c:pt idx="21">
                  <c:v>-5</c:v>
                </c:pt>
                <c:pt idx="22">
                  <c:v>-6</c:v>
                </c:pt>
                <c:pt idx="23">
                  <c:v>-8</c:v>
                </c:pt>
                <c:pt idx="24">
                  <c:v>-9</c:v>
                </c:pt>
                <c:pt idx="25">
                  <c:v>-9</c:v>
                </c:pt>
                <c:pt idx="26">
                  <c:v>-9</c:v>
                </c:pt>
                <c:pt idx="27">
                  <c:v>-9</c:v>
                </c:pt>
                <c:pt idx="28">
                  <c:v>-9</c:v>
                </c:pt>
                <c:pt idx="29">
                  <c:v>-9</c:v>
                </c:pt>
              </c:numCache>
            </c:numRef>
          </c:val>
        </c:ser>
        <c:ser>
          <c:idx val="10"/>
          <c:order val="10"/>
          <c:tx>
            <c:strRef>
              <c:f>'Timing - BIG MAP'!$AA$74</c:f>
              <c:strCache>
                <c:ptCount val="1"/>
                <c:pt idx="0">
                  <c:v>3750</c:v>
                </c:pt>
              </c:strCache>
            </c:strRef>
          </c:tx>
          <c:spPr>
            <a:solidFill>
              <a:srgbClr val="FFFF00"/>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MAP'!$AB$74:$BE$74</c:f>
              <c:numCache>
                <c:formatCode>0</c:formatCode>
                <c:ptCount val="30"/>
                <c:pt idx="0">
                  <c:v>35</c:v>
                </c:pt>
                <c:pt idx="1">
                  <c:v>35</c:v>
                </c:pt>
                <c:pt idx="2">
                  <c:v>35</c:v>
                </c:pt>
                <c:pt idx="3">
                  <c:v>35</c:v>
                </c:pt>
                <c:pt idx="4">
                  <c:v>33</c:v>
                </c:pt>
                <c:pt idx="5">
                  <c:v>30</c:v>
                </c:pt>
                <c:pt idx="6">
                  <c:v>27</c:v>
                </c:pt>
                <c:pt idx="7">
                  <c:v>26</c:v>
                </c:pt>
                <c:pt idx="8">
                  <c:v>25</c:v>
                </c:pt>
                <c:pt idx="9">
                  <c:v>25</c:v>
                </c:pt>
                <c:pt idx="10">
                  <c:v>22</c:v>
                </c:pt>
                <c:pt idx="11">
                  <c:v>15</c:v>
                </c:pt>
                <c:pt idx="12">
                  <c:v>11</c:v>
                </c:pt>
                <c:pt idx="13">
                  <c:v>8</c:v>
                </c:pt>
                <c:pt idx="14">
                  <c:v>6</c:v>
                </c:pt>
                <c:pt idx="15">
                  <c:v>4</c:v>
                </c:pt>
                <c:pt idx="16">
                  <c:v>3</c:v>
                </c:pt>
                <c:pt idx="17">
                  <c:v>1</c:v>
                </c:pt>
                <c:pt idx="18">
                  <c:v>0</c:v>
                </c:pt>
                <c:pt idx="19">
                  <c:v>-2</c:v>
                </c:pt>
                <c:pt idx="20">
                  <c:v>-3</c:v>
                </c:pt>
                <c:pt idx="21">
                  <c:v>-5</c:v>
                </c:pt>
                <c:pt idx="22">
                  <c:v>-6</c:v>
                </c:pt>
                <c:pt idx="23">
                  <c:v>-8</c:v>
                </c:pt>
                <c:pt idx="24">
                  <c:v>-9</c:v>
                </c:pt>
                <c:pt idx="25">
                  <c:v>-9</c:v>
                </c:pt>
                <c:pt idx="26">
                  <c:v>-9</c:v>
                </c:pt>
                <c:pt idx="27">
                  <c:v>-9</c:v>
                </c:pt>
                <c:pt idx="28">
                  <c:v>-9</c:v>
                </c:pt>
                <c:pt idx="29">
                  <c:v>-9</c:v>
                </c:pt>
              </c:numCache>
            </c:numRef>
          </c:val>
        </c:ser>
        <c:ser>
          <c:idx val="11"/>
          <c:order val="11"/>
          <c:tx>
            <c:strRef>
              <c:f>'Timing - BIG MAP'!$AA$75</c:f>
              <c:strCache>
                <c:ptCount val="1"/>
                <c:pt idx="0">
                  <c:v>4000</c:v>
                </c:pt>
              </c:strCache>
            </c:strRef>
          </c:tx>
          <c:spPr>
            <a:solidFill>
              <a:srgbClr val="00FFFF"/>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MAP'!$AB$75:$BE$75</c:f>
              <c:numCache>
                <c:formatCode>0</c:formatCode>
                <c:ptCount val="30"/>
                <c:pt idx="0">
                  <c:v>35</c:v>
                </c:pt>
                <c:pt idx="1">
                  <c:v>35</c:v>
                </c:pt>
                <c:pt idx="2">
                  <c:v>35</c:v>
                </c:pt>
                <c:pt idx="3">
                  <c:v>35</c:v>
                </c:pt>
                <c:pt idx="4">
                  <c:v>33</c:v>
                </c:pt>
                <c:pt idx="5">
                  <c:v>30</c:v>
                </c:pt>
                <c:pt idx="6">
                  <c:v>27</c:v>
                </c:pt>
                <c:pt idx="7">
                  <c:v>26</c:v>
                </c:pt>
                <c:pt idx="8">
                  <c:v>25</c:v>
                </c:pt>
                <c:pt idx="9">
                  <c:v>25</c:v>
                </c:pt>
                <c:pt idx="10">
                  <c:v>22</c:v>
                </c:pt>
                <c:pt idx="11">
                  <c:v>16</c:v>
                </c:pt>
                <c:pt idx="12">
                  <c:v>12</c:v>
                </c:pt>
                <c:pt idx="13">
                  <c:v>9</c:v>
                </c:pt>
                <c:pt idx="14">
                  <c:v>6</c:v>
                </c:pt>
                <c:pt idx="15">
                  <c:v>5</c:v>
                </c:pt>
                <c:pt idx="16">
                  <c:v>2</c:v>
                </c:pt>
                <c:pt idx="17">
                  <c:v>1</c:v>
                </c:pt>
                <c:pt idx="18">
                  <c:v>0</c:v>
                </c:pt>
                <c:pt idx="19">
                  <c:v>-2</c:v>
                </c:pt>
                <c:pt idx="20">
                  <c:v>-3</c:v>
                </c:pt>
                <c:pt idx="21">
                  <c:v>-5</c:v>
                </c:pt>
                <c:pt idx="22">
                  <c:v>-6</c:v>
                </c:pt>
                <c:pt idx="23">
                  <c:v>-8</c:v>
                </c:pt>
                <c:pt idx="24">
                  <c:v>-9</c:v>
                </c:pt>
                <c:pt idx="25">
                  <c:v>-9</c:v>
                </c:pt>
                <c:pt idx="26">
                  <c:v>-9</c:v>
                </c:pt>
                <c:pt idx="27">
                  <c:v>-9</c:v>
                </c:pt>
                <c:pt idx="28">
                  <c:v>-9</c:v>
                </c:pt>
                <c:pt idx="29">
                  <c:v>-9</c:v>
                </c:pt>
              </c:numCache>
            </c:numRef>
          </c:val>
        </c:ser>
        <c:ser>
          <c:idx val="12"/>
          <c:order val="12"/>
          <c:tx>
            <c:strRef>
              <c:f>'Timing - BIG MAP'!$AA$76</c:f>
              <c:strCache>
                <c:ptCount val="1"/>
                <c:pt idx="0">
                  <c:v>4250</c:v>
                </c:pt>
              </c:strCache>
            </c:strRef>
          </c:tx>
          <c:spPr>
            <a:solidFill>
              <a:srgbClr val="800080"/>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MAP'!$AB$76:$BE$76</c:f>
              <c:numCache>
                <c:formatCode>0</c:formatCode>
                <c:ptCount val="30"/>
                <c:pt idx="0">
                  <c:v>35</c:v>
                </c:pt>
                <c:pt idx="1">
                  <c:v>35</c:v>
                </c:pt>
                <c:pt idx="2">
                  <c:v>35</c:v>
                </c:pt>
                <c:pt idx="3">
                  <c:v>35</c:v>
                </c:pt>
                <c:pt idx="4">
                  <c:v>33</c:v>
                </c:pt>
                <c:pt idx="5">
                  <c:v>30</c:v>
                </c:pt>
                <c:pt idx="6">
                  <c:v>27</c:v>
                </c:pt>
                <c:pt idx="7">
                  <c:v>26</c:v>
                </c:pt>
                <c:pt idx="8">
                  <c:v>25</c:v>
                </c:pt>
                <c:pt idx="9">
                  <c:v>25</c:v>
                </c:pt>
                <c:pt idx="10">
                  <c:v>23</c:v>
                </c:pt>
                <c:pt idx="11">
                  <c:v>16</c:v>
                </c:pt>
                <c:pt idx="12">
                  <c:v>12</c:v>
                </c:pt>
                <c:pt idx="13">
                  <c:v>9</c:v>
                </c:pt>
                <c:pt idx="14">
                  <c:v>6</c:v>
                </c:pt>
                <c:pt idx="15">
                  <c:v>5</c:v>
                </c:pt>
                <c:pt idx="16">
                  <c:v>3</c:v>
                </c:pt>
                <c:pt idx="17">
                  <c:v>2</c:v>
                </c:pt>
                <c:pt idx="18">
                  <c:v>1</c:v>
                </c:pt>
                <c:pt idx="19">
                  <c:v>-1</c:v>
                </c:pt>
                <c:pt idx="20">
                  <c:v>-3</c:v>
                </c:pt>
                <c:pt idx="21">
                  <c:v>-4</c:v>
                </c:pt>
                <c:pt idx="22">
                  <c:v>-6</c:v>
                </c:pt>
                <c:pt idx="23">
                  <c:v>-7</c:v>
                </c:pt>
                <c:pt idx="24">
                  <c:v>-9</c:v>
                </c:pt>
                <c:pt idx="25">
                  <c:v>-9</c:v>
                </c:pt>
                <c:pt idx="26">
                  <c:v>-9</c:v>
                </c:pt>
                <c:pt idx="27">
                  <c:v>-9</c:v>
                </c:pt>
                <c:pt idx="28">
                  <c:v>-9</c:v>
                </c:pt>
                <c:pt idx="29">
                  <c:v>-9</c:v>
                </c:pt>
              </c:numCache>
            </c:numRef>
          </c:val>
        </c:ser>
        <c:ser>
          <c:idx val="13"/>
          <c:order val="13"/>
          <c:tx>
            <c:strRef>
              <c:f>'Timing - BIG MAP'!$AA$77</c:f>
              <c:strCache>
                <c:ptCount val="1"/>
                <c:pt idx="0">
                  <c:v>4500</c:v>
                </c:pt>
              </c:strCache>
            </c:strRef>
          </c:tx>
          <c:spPr>
            <a:solidFill>
              <a:srgbClr val="800000"/>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MAP'!$AB$77:$BE$77</c:f>
              <c:numCache>
                <c:formatCode>0</c:formatCode>
                <c:ptCount val="30"/>
                <c:pt idx="0">
                  <c:v>35</c:v>
                </c:pt>
                <c:pt idx="1">
                  <c:v>35</c:v>
                </c:pt>
                <c:pt idx="2">
                  <c:v>35</c:v>
                </c:pt>
                <c:pt idx="3">
                  <c:v>35</c:v>
                </c:pt>
                <c:pt idx="4">
                  <c:v>33</c:v>
                </c:pt>
                <c:pt idx="5">
                  <c:v>30</c:v>
                </c:pt>
                <c:pt idx="6">
                  <c:v>27</c:v>
                </c:pt>
                <c:pt idx="7">
                  <c:v>26</c:v>
                </c:pt>
                <c:pt idx="8">
                  <c:v>25</c:v>
                </c:pt>
                <c:pt idx="9">
                  <c:v>25</c:v>
                </c:pt>
                <c:pt idx="10">
                  <c:v>23</c:v>
                </c:pt>
                <c:pt idx="11">
                  <c:v>16</c:v>
                </c:pt>
                <c:pt idx="12">
                  <c:v>12</c:v>
                </c:pt>
                <c:pt idx="13">
                  <c:v>9</c:v>
                </c:pt>
                <c:pt idx="14">
                  <c:v>6</c:v>
                </c:pt>
                <c:pt idx="15">
                  <c:v>5</c:v>
                </c:pt>
                <c:pt idx="16">
                  <c:v>4</c:v>
                </c:pt>
                <c:pt idx="17">
                  <c:v>3</c:v>
                </c:pt>
                <c:pt idx="18">
                  <c:v>1</c:v>
                </c:pt>
                <c:pt idx="19">
                  <c:v>-1</c:v>
                </c:pt>
                <c:pt idx="20">
                  <c:v>-2</c:v>
                </c:pt>
                <c:pt idx="21">
                  <c:v>-4</c:v>
                </c:pt>
                <c:pt idx="22">
                  <c:v>-5</c:v>
                </c:pt>
                <c:pt idx="23">
                  <c:v>-7</c:v>
                </c:pt>
                <c:pt idx="24">
                  <c:v>-8</c:v>
                </c:pt>
                <c:pt idx="25">
                  <c:v>-8</c:v>
                </c:pt>
                <c:pt idx="26">
                  <c:v>-8</c:v>
                </c:pt>
                <c:pt idx="27">
                  <c:v>-8</c:v>
                </c:pt>
                <c:pt idx="28">
                  <c:v>-8</c:v>
                </c:pt>
                <c:pt idx="29">
                  <c:v>-8</c:v>
                </c:pt>
              </c:numCache>
            </c:numRef>
          </c:val>
        </c:ser>
        <c:ser>
          <c:idx val="14"/>
          <c:order val="14"/>
          <c:tx>
            <c:strRef>
              <c:f>'Timing - BIG MAP'!$AA$78</c:f>
              <c:strCache>
                <c:ptCount val="1"/>
                <c:pt idx="0">
                  <c:v>4750</c:v>
                </c:pt>
              </c:strCache>
            </c:strRef>
          </c:tx>
          <c:spPr>
            <a:solidFill>
              <a:srgbClr val="008080"/>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MAP'!$AB$78:$BE$78</c:f>
              <c:numCache>
                <c:formatCode>0</c:formatCode>
                <c:ptCount val="30"/>
                <c:pt idx="0">
                  <c:v>35</c:v>
                </c:pt>
                <c:pt idx="1">
                  <c:v>35</c:v>
                </c:pt>
                <c:pt idx="2">
                  <c:v>35</c:v>
                </c:pt>
                <c:pt idx="3">
                  <c:v>35</c:v>
                </c:pt>
                <c:pt idx="4">
                  <c:v>33</c:v>
                </c:pt>
                <c:pt idx="5">
                  <c:v>30</c:v>
                </c:pt>
                <c:pt idx="6">
                  <c:v>27</c:v>
                </c:pt>
                <c:pt idx="7">
                  <c:v>26</c:v>
                </c:pt>
                <c:pt idx="8">
                  <c:v>25</c:v>
                </c:pt>
                <c:pt idx="9">
                  <c:v>25</c:v>
                </c:pt>
                <c:pt idx="10">
                  <c:v>24</c:v>
                </c:pt>
                <c:pt idx="11">
                  <c:v>17</c:v>
                </c:pt>
                <c:pt idx="12">
                  <c:v>12</c:v>
                </c:pt>
                <c:pt idx="13">
                  <c:v>10</c:v>
                </c:pt>
                <c:pt idx="14">
                  <c:v>7</c:v>
                </c:pt>
                <c:pt idx="15">
                  <c:v>6</c:v>
                </c:pt>
                <c:pt idx="16">
                  <c:v>5</c:v>
                </c:pt>
                <c:pt idx="17">
                  <c:v>3</c:v>
                </c:pt>
                <c:pt idx="18">
                  <c:v>2</c:v>
                </c:pt>
                <c:pt idx="19">
                  <c:v>0</c:v>
                </c:pt>
                <c:pt idx="20">
                  <c:v>-2</c:v>
                </c:pt>
                <c:pt idx="21">
                  <c:v>-3</c:v>
                </c:pt>
                <c:pt idx="22">
                  <c:v>-5</c:v>
                </c:pt>
                <c:pt idx="23">
                  <c:v>-6</c:v>
                </c:pt>
                <c:pt idx="24">
                  <c:v>-8</c:v>
                </c:pt>
                <c:pt idx="25">
                  <c:v>-8</c:v>
                </c:pt>
                <c:pt idx="26">
                  <c:v>-8</c:v>
                </c:pt>
                <c:pt idx="27">
                  <c:v>-8</c:v>
                </c:pt>
                <c:pt idx="28">
                  <c:v>-8</c:v>
                </c:pt>
                <c:pt idx="29">
                  <c:v>-8</c:v>
                </c:pt>
              </c:numCache>
            </c:numRef>
          </c:val>
        </c:ser>
        <c:ser>
          <c:idx val="15"/>
          <c:order val="15"/>
          <c:tx>
            <c:strRef>
              <c:f>'Timing - BIG MAP'!$AA$79</c:f>
              <c:strCache>
                <c:ptCount val="1"/>
                <c:pt idx="0">
                  <c:v>5000</c:v>
                </c:pt>
              </c:strCache>
            </c:strRef>
          </c:tx>
          <c:spPr>
            <a:solidFill>
              <a:srgbClr val="0000FF"/>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MAP'!$AB$79:$BE$79</c:f>
              <c:numCache>
                <c:formatCode>0</c:formatCode>
                <c:ptCount val="30"/>
                <c:pt idx="0">
                  <c:v>35</c:v>
                </c:pt>
                <c:pt idx="1">
                  <c:v>35</c:v>
                </c:pt>
                <c:pt idx="2">
                  <c:v>35</c:v>
                </c:pt>
                <c:pt idx="3">
                  <c:v>35</c:v>
                </c:pt>
                <c:pt idx="4">
                  <c:v>33</c:v>
                </c:pt>
                <c:pt idx="5">
                  <c:v>30</c:v>
                </c:pt>
                <c:pt idx="6">
                  <c:v>27</c:v>
                </c:pt>
                <c:pt idx="7">
                  <c:v>26</c:v>
                </c:pt>
                <c:pt idx="8">
                  <c:v>25</c:v>
                </c:pt>
                <c:pt idx="9">
                  <c:v>25</c:v>
                </c:pt>
                <c:pt idx="10">
                  <c:v>24</c:v>
                </c:pt>
                <c:pt idx="11">
                  <c:v>17</c:v>
                </c:pt>
                <c:pt idx="12">
                  <c:v>12</c:v>
                </c:pt>
                <c:pt idx="13">
                  <c:v>10</c:v>
                </c:pt>
                <c:pt idx="14">
                  <c:v>7</c:v>
                </c:pt>
                <c:pt idx="15">
                  <c:v>6</c:v>
                </c:pt>
                <c:pt idx="16">
                  <c:v>5</c:v>
                </c:pt>
                <c:pt idx="17">
                  <c:v>4</c:v>
                </c:pt>
                <c:pt idx="18">
                  <c:v>2</c:v>
                </c:pt>
                <c:pt idx="19">
                  <c:v>1</c:v>
                </c:pt>
                <c:pt idx="20">
                  <c:v>-1</c:v>
                </c:pt>
                <c:pt idx="21">
                  <c:v>-3</c:v>
                </c:pt>
                <c:pt idx="22">
                  <c:v>-4</c:v>
                </c:pt>
                <c:pt idx="23">
                  <c:v>-6</c:v>
                </c:pt>
                <c:pt idx="24">
                  <c:v>-7</c:v>
                </c:pt>
                <c:pt idx="25">
                  <c:v>-7</c:v>
                </c:pt>
                <c:pt idx="26">
                  <c:v>-7</c:v>
                </c:pt>
                <c:pt idx="27">
                  <c:v>-7</c:v>
                </c:pt>
                <c:pt idx="28">
                  <c:v>-7</c:v>
                </c:pt>
                <c:pt idx="29">
                  <c:v>-7</c:v>
                </c:pt>
              </c:numCache>
            </c:numRef>
          </c:val>
        </c:ser>
        <c:ser>
          <c:idx val="16"/>
          <c:order val="16"/>
          <c:tx>
            <c:strRef>
              <c:f>'Timing - BIG MAP'!$AA$80</c:f>
              <c:strCache>
                <c:ptCount val="1"/>
                <c:pt idx="0">
                  <c:v>5250</c:v>
                </c:pt>
              </c:strCache>
            </c:strRef>
          </c:tx>
          <c:spPr>
            <a:solidFill>
              <a:srgbClr val="00CCFF"/>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MAP'!$AB$80:$BE$80</c:f>
              <c:numCache>
                <c:formatCode>0</c:formatCode>
                <c:ptCount val="30"/>
                <c:pt idx="0">
                  <c:v>35</c:v>
                </c:pt>
                <c:pt idx="1">
                  <c:v>35</c:v>
                </c:pt>
                <c:pt idx="2">
                  <c:v>35</c:v>
                </c:pt>
                <c:pt idx="3">
                  <c:v>35</c:v>
                </c:pt>
                <c:pt idx="4">
                  <c:v>33</c:v>
                </c:pt>
                <c:pt idx="5">
                  <c:v>31</c:v>
                </c:pt>
                <c:pt idx="6">
                  <c:v>29</c:v>
                </c:pt>
                <c:pt idx="7">
                  <c:v>28</c:v>
                </c:pt>
                <c:pt idx="8">
                  <c:v>27</c:v>
                </c:pt>
                <c:pt idx="9">
                  <c:v>26</c:v>
                </c:pt>
                <c:pt idx="10">
                  <c:v>24</c:v>
                </c:pt>
                <c:pt idx="11">
                  <c:v>18</c:v>
                </c:pt>
                <c:pt idx="12">
                  <c:v>13</c:v>
                </c:pt>
                <c:pt idx="13">
                  <c:v>11</c:v>
                </c:pt>
                <c:pt idx="14">
                  <c:v>9</c:v>
                </c:pt>
                <c:pt idx="15">
                  <c:v>7</c:v>
                </c:pt>
                <c:pt idx="16">
                  <c:v>6</c:v>
                </c:pt>
                <c:pt idx="17">
                  <c:v>5</c:v>
                </c:pt>
                <c:pt idx="18">
                  <c:v>3</c:v>
                </c:pt>
                <c:pt idx="19">
                  <c:v>2</c:v>
                </c:pt>
                <c:pt idx="20">
                  <c:v>0</c:v>
                </c:pt>
                <c:pt idx="21">
                  <c:v>-2</c:v>
                </c:pt>
                <c:pt idx="22">
                  <c:v>-4</c:v>
                </c:pt>
                <c:pt idx="23">
                  <c:v>-5</c:v>
                </c:pt>
                <c:pt idx="24">
                  <c:v>-7</c:v>
                </c:pt>
                <c:pt idx="25">
                  <c:v>-7</c:v>
                </c:pt>
                <c:pt idx="26">
                  <c:v>-7</c:v>
                </c:pt>
                <c:pt idx="27">
                  <c:v>-7</c:v>
                </c:pt>
                <c:pt idx="28">
                  <c:v>-7</c:v>
                </c:pt>
                <c:pt idx="29">
                  <c:v>-7</c:v>
                </c:pt>
              </c:numCache>
            </c:numRef>
          </c:val>
        </c:ser>
        <c:ser>
          <c:idx val="17"/>
          <c:order val="17"/>
          <c:tx>
            <c:strRef>
              <c:f>'Timing - BIG MAP'!$AA$81</c:f>
              <c:strCache>
                <c:ptCount val="1"/>
                <c:pt idx="0">
                  <c:v>5500</c:v>
                </c:pt>
              </c:strCache>
            </c:strRef>
          </c:tx>
          <c:spPr>
            <a:solidFill>
              <a:srgbClr val="CCFFFF"/>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MAP'!$AB$81:$BE$81</c:f>
              <c:numCache>
                <c:formatCode>0</c:formatCode>
                <c:ptCount val="30"/>
                <c:pt idx="0">
                  <c:v>35</c:v>
                </c:pt>
                <c:pt idx="1">
                  <c:v>35</c:v>
                </c:pt>
                <c:pt idx="2">
                  <c:v>35</c:v>
                </c:pt>
                <c:pt idx="3">
                  <c:v>35</c:v>
                </c:pt>
                <c:pt idx="4">
                  <c:v>33</c:v>
                </c:pt>
                <c:pt idx="5">
                  <c:v>32</c:v>
                </c:pt>
                <c:pt idx="6">
                  <c:v>31</c:v>
                </c:pt>
                <c:pt idx="7">
                  <c:v>29</c:v>
                </c:pt>
                <c:pt idx="8">
                  <c:v>28</c:v>
                </c:pt>
                <c:pt idx="9">
                  <c:v>26</c:v>
                </c:pt>
                <c:pt idx="10">
                  <c:v>24</c:v>
                </c:pt>
                <c:pt idx="11">
                  <c:v>19</c:v>
                </c:pt>
                <c:pt idx="12">
                  <c:v>14</c:v>
                </c:pt>
                <c:pt idx="13">
                  <c:v>12</c:v>
                </c:pt>
                <c:pt idx="14">
                  <c:v>10</c:v>
                </c:pt>
                <c:pt idx="15">
                  <c:v>9</c:v>
                </c:pt>
                <c:pt idx="16">
                  <c:v>7</c:v>
                </c:pt>
                <c:pt idx="17">
                  <c:v>6</c:v>
                </c:pt>
                <c:pt idx="18">
                  <c:v>4</c:v>
                </c:pt>
                <c:pt idx="19">
                  <c:v>3</c:v>
                </c:pt>
                <c:pt idx="20">
                  <c:v>1</c:v>
                </c:pt>
                <c:pt idx="21">
                  <c:v>-1</c:v>
                </c:pt>
                <c:pt idx="22">
                  <c:v>-3</c:v>
                </c:pt>
                <c:pt idx="23">
                  <c:v>-5</c:v>
                </c:pt>
                <c:pt idx="24">
                  <c:v>-6</c:v>
                </c:pt>
                <c:pt idx="25">
                  <c:v>-6</c:v>
                </c:pt>
                <c:pt idx="26">
                  <c:v>-6</c:v>
                </c:pt>
                <c:pt idx="27">
                  <c:v>-6</c:v>
                </c:pt>
                <c:pt idx="28">
                  <c:v>-6</c:v>
                </c:pt>
                <c:pt idx="29">
                  <c:v>-6</c:v>
                </c:pt>
              </c:numCache>
            </c:numRef>
          </c:val>
        </c:ser>
        <c:ser>
          <c:idx val="18"/>
          <c:order val="18"/>
          <c:tx>
            <c:strRef>
              <c:f>'Timing - BIG MAP'!$AA$82</c:f>
              <c:strCache>
                <c:ptCount val="1"/>
                <c:pt idx="0">
                  <c:v>5750</c:v>
                </c:pt>
              </c:strCache>
            </c:strRef>
          </c:tx>
          <c:spPr>
            <a:solidFill>
              <a:srgbClr val="CCFFCC"/>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MAP'!$AB$82:$BE$82</c:f>
              <c:numCache>
                <c:formatCode>0</c:formatCode>
                <c:ptCount val="30"/>
                <c:pt idx="0">
                  <c:v>35</c:v>
                </c:pt>
                <c:pt idx="1">
                  <c:v>35</c:v>
                </c:pt>
                <c:pt idx="2">
                  <c:v>35</c:v>
                </c:pt>
                <c:pt idx="3">
                  <c:v>35</c:v>
                </c:pt>
                <c:pt idx="4">
                  <c:v>34</c:v>
                </c:pt>
                <c:pt idx="5">
                  <c:v>32</c:v>
                </c:pt>
                <c:pt idx="6">
                  <c:v>31</c:v>
                </c:pt>
                <c:pt idx="7">
                  <c:v>30</c:v>
                </c:pt>
                <c:pt idx="8">
                  <c:v>29</c:v>
                </c:pt>
                <c:pt idx="9">
                  <c:v>28</c:v>
                </c:pt>
                <c:pt idx="10">
                  <c:v>24</c:v>
                </c:pt>
                <c:pt idx="11">
                  <c:v>18</c:v>
                </c:pt>
                <c:pt idx="12">
                  <c:v>15</c:v>
                </c:pt>
                <c:pt idx="13">
                  <c:v>13</c:v>
                </c:pt>
                <c:pt idx="14">
                  <c:v>11</c:v>
                </c:pt>
                <c:pt idx="15">
                  <c:v>10</c:v>
                </c:pt>
                <c:pt idx="16">
                  <c:v>8</c:v>
                </c:pt>
                <c:pt idx="17">
                  <c:v>7</c:v>
                </c:pt>
                <c:pt idx="18">
                  <c:v>5</c:v>
                </c:pt>
                <c:pt idx="19">
                  <c:v>4</c:v>
                </c:pt>
                <c:pt idx="20">
                  <c:v>2</c:v>
                </c:pt>
                <c:pt idx="21">
                  <c:v>1</c:v>
                </c:pt>
                <c:pt idx="22">
                  <c:v>-1</c:v>
                </c:pt>
                <c:pt idx="23">
                  <c:v>-3</c:v>
                </c:pt>
                <c:pt idx="24">
                  <c:v>-4</c:v>
                </c:pt>
                <c:pt idx="25">
                  <c:v>-4</c:v>
                </c:pt>
                <c:pt idx="26">
                  <c:v>-4</c:v>
                </c:pt>
                <c:pt idx="27">
                  <c:v>-4</c:v>
                </c:pt>
                <c:pt idx="28">
                  <c:v>-4</c:v>
                </c:pt>
                <c:pt idx="29">
                  <c:v>-4</c:v>
                </c:pt>
              </c:numCache>
            </c:numRef>
          </c:val>
        </c:ser>
        <c:ser>
          <c:idx val="20"/>
          <c:order val="19"/>
          <c:tx>
            <c:strRef>
              <c:f>'Timing - BIG MAP'!$AA$83</c:f>
              <c:strCache>
                <c:ptCount val="1"/>
                <c:pt idx="0">
                  <c:v>6000</c:v>
                </c:pt>
              </c:strCache>
            </c:strRef>
          </c:tx>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MAP'!$AB$83:$BE$83</c:f>
              <c:numCache>
                <c:formatCode>0</c:formatCode>
                <c:ptCount val="30"/>
                <c:pt idx="0">
                  <c:v>38</c:v>
                </c:pt>
                <c:pt idx="1">
                  <c:v>38</c:v>
                </c:pt>
                <c:pt idx="2">
                  <c:v>38</c:v>
                </c:pt>
                <c:pt idx="3">
                  <c:v>38</c:v>
                </c:pt>
                <c:pt idx="4">
                  <c:v>37</c:v>
                </c:pt>
                <c:pt idx="5">
                  <c:v>35</c:v>
                </c:pt>
                <c:pt idx="6">
                  <c:v>34</c:v>
                </c:pt>
                <c:pt idx="7">
                  <c:v>34</c:v>
                </c:pt>
                <c:pt idx="8">
                  <c:v>33</c:v>
                </c:pt>
                <c:pt idx="9">
                  <c:v>30</c:v>
                </c:pt>
                <c:pt idx="10">
                  <c:v>25</c:v>
                </c:pt>
                <c:pt idx="11">
                  <c:v>20</c:v>
                </c:pt>
                <c:pt idx="12">
                  <c:v>17</c:v>
                </c:pt>
                <c:pt idx="13">
                  <c:v>15</c:v>
                </c:pt>
                <c:pt idx="14">
                  <c:v>13</c:v>
                </c:pt>
                <c:pt idx="15">
                  <c:v>12</c:v>
                </c:pt>
                <c:pt idx="16">
                  <c:v>10</c:v>
                </c:pt>
                <c:pt idx="17">
                  <c:v>9</c:v>
                </c:pt>
                <c:pt idx="18">
                  <c:v>7</c:v>
                </c:pt>
                <c:pt idx="19">
                  <c:v>6</c:v>
                </c:pt>
                <c:pt idx="20">
                  <c:v>4</c:v>
                </c:pt>
                <c:pt idx="21">
                  <c:v>3</c:v>
                </c:pt>
                <c:pt idx="22">
                  <c:v>1</c:v>
                </c:pt>
                <c:pt idx="23">
                  <c:v>-1</c:v>
                </c:pt>
                <c:pt idx="24">
                  <c:v>-2</c:v>
                </c:pt>
                <c:pt idx="25">
                  <c:v>-2</c:v>
                </c:pt>
                <c:pt idx="26">
                  <c:v>-2</c:v>
                </c:pt>
                <c:pt idx="27">
                  <c:v>-2</c:v>
                </c:pt>
                <c:pt idx="28">
                  <c:v>-2</c:v>
                </c:pt>
                <c:pt idx="29">
                  <c:v>-2</c:v>
                </c:pt>
              </c:numCache>
            </c:numRef>
          </c:val>
        </c:ser>
        <c:ser>
          <c:idx val="21"/>
          <c:order val="20"/>
          <c:tx>
            <c:strRef>
              <c:f>'Timing - BIG MAP'!$AA$84</c:f>
              <c:strCache>
                <c:ptCount val="1"/>
                <c:pt idx="0">
                  <c:v>6250</c:v>
                </c:pt>
              </c:strCache>
            </c:strRef>
          </c:tx>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MAP'!$AB$84:$BE$84</c:f>
              <c:numCache>
                <c:formatCode>0</c:formatCode>
                <c:ptCount val="30"/>
                <c:pt idx="0">
                  <c:v>38</c:v>
                </c:pt>
                <c:pt idx="1">
                  <c:v>38</c:v>
                </c:pt>
                <c:pt idx="2">
                  <c:v>38</c:v>
                </c:pt>
                <c:pt idx="3">
                  <c:v>38</c:v>
                </c:pt>
                <c:pt idx="4">
                  <c:v>37</c:v>
                </c:pt>
                <c:pt idx="5">
                  <c:v>36</c:v>
                </c:pt>
                <c:pt idx="6">
                  <c:v>35</c:v>
                </c:pt>
                <c:pt idx="7">
                  <c:v>34</c:v>
                </c:pt>
                <c:pt idx="8">
                  <c:v>34</c:v>
                </c:pt>
                <c:pt idx="9">
                  <c:v>34</c:v>
                </c:pt>
                <c:pt idx="10">
                  <c:v>31</c:v>
                </c:pt>
                <c:pt idx="11">
                  <c:v>22</c:v>
                </c:pt>
                <c:pt idx="12">
                  <c:v>19</c:v>
                </c:pt>
                <c:pt idx="13">
                  <c:v>16</c:v>
                </c:pt>
                <c:pt idx="14">
                  <c:v>14</c:v>
                </c:pt>
                <c:pt idx="15">
                  <c:v>13</c:v>
                </c:pt>
                <c:pt idx="16">
                  <c:v>11</c:v>
                </c:pt>
                <c:pt idx="17">
                  <c:v>10</c:v>
                </c:pt>
                <c:pt idx="18">
                  <c:v>8</c:v>
                </c:pt>
                <c:pt idx="19">
                  <c:v>7</c:v>
                </c:pt>
                <c:pt idx="20">
                  <c:v>5</c:v>
                </c:pt>
                <c:pt idx="21">
                  <c:v>4</c:v>
                </c:pt>
                <c:pt idx="22">
                  <c:v>2</c:v>
                </c:pt>
                <c:pt idx="23">
                  <c:v>1</c:v>
                </c:pt>
                <c:pt idx="24">
                  <c:v>-1</c:v>
                </c:pt>
                <c:pt idx="25">
                  <c:v>-1</c:v>
                </c:pt>
                <c:pt idx="26">
                  <c:v>-1</c:v>
                </c:pt>
                <c:pt idx="27">
                  <c:v>-1</c:v>
                </c:pt>
                <c:pt idx="28">
                  <c:v>-1</c:v>
                </c:pt>
                <c:pt idx="29">
                  <c:v>-1</c:v>
                </c:pt>
              </c:numCache>
            </c:numRef>
          </c:val>
        </c:ser>
        <c:ser>
          <c:idx val="22"/>
          <c:order val="21"/>
          <c:tx>
            <c:strRef>
              <c:f>'Timing - BIG MAP'!$AA$85</c:f>
              <c:strCache>
                <c:ptCount val="1"/>
                <c:pt idx="0">
                  <c:v>6500</c:v>
                </c:pt>
              </c:strCache>
            </c:strRef>
          </c:tx>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MAP'!$AB$85:$BE$85</c:f>
              <c:numCache>
                <c:formatCode>0</c:formatCode>
                <c:ptCount val="30"/>
                <c:pt idx="0">
                  <c:v>38</c:v>
                </c:pt>
                <c:pt idx="1">
                  <c:v>38</c:v>
                </c:pt>
                <c:pt idx="2">
                  <c:v>38</c:v>
                </c:pt>
                <c:pt idx="3">
                  <c:v>38</c:v>
                </c:pt>
                <c:pt idx="4">
                  <c:v>37</c:v>
                </c:pt>
                <c:pt idx="5">
                  <c:v>36</c:v>
                </c:pt>
                <c:pt idx="6">
                  <c:v>35</c:v>
                </c:pt>
                <c:pt idx="7">
                  <c:v>34</c:v>
                </c:pt>
                <c:pt idx="8">
                  <c:v>34</c:v>
                </c:pt>
                <c:pt idx="9">
                  <c:v>34</c:v>
                </c:pt>
                <c:pt idx="10">
                  <c:v>31</c:v>
                </c:pt>
                <c:pt idx="11">
                  <c:v>22</c:v>
                </c:pt>
                <c:pt idx="12">
                  <c:v>19</c:v>
                </c:pt>
                <c:pt idx="13">
                  <c:v>16</c:v>
                </c:pt>
                <c:pt idx="14">
                  <c:v>14</c:v>
                </c:pt>
                <c:pt idx="15">
                  <c:v>13</c:v>
                </c:pt>
                <c:pt idx="16">
                  <c:v>11</c:v>
                </c:pt>
                <c:pt idx="17">
                  <c:v>10</c:v>
                </c:pt>
                <c:pt idx="18">
                  <c:v>8</c:v>
                </c:pt>
                <c:pt idx="19">
                  <c:v>7</c:v>
                </c:pt>
                <c:pt idx="20">
                  <c:v>5</c:v>
                </c:pt>
                <c:pt idx="21">
                  <c:v>4</c:v>
                </c:pt>
                <c:pt idx="22">
                  <c:v>2</c:v>
                </c:pt>
                <c:pt idx="23">
                  <c:v>1</c:v>
                </c:pt>
                <c:pt idx="24">
                  <c:v>-1</c:v>
                </c:pt>
                <c:pt idx="25">
                  <c:v>-1</c:v>
                </c:pt>
                <c:pt idx="26">
                  <c:v>-1</c:v>
                </c:pt>
                <c:pt idx="27">
                  <c:v>-1</c:v>
                </c:pt>
                <c:pt idx="28">
                  <c:v>-1</c:v>
                </c:pt>
                <c:pt idx="29">
                  <c:v>-1</c:v>
                </c:pt>
              </c:numCache>
            </c:numRef>
          </c:val>
        </c:ser>
        <c:ser>
          <c:idx val="23"/>
          <c:order val="22"/>
          <c:tx>
            <c:strRef>
              <c:f>'Timing - BIG MAP'!$AA$86</c:f>
              <c:strCache>
                <c:ptCount val="1"/>
                <c:pt idx="0">
                  <c:v>6750</c:v>
                </c:pt>
              </c:strCache>
            </c:strRef>
          </c:tx>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MAP'!$AB$86:$BE$86</c:f>
              <c:numCache>
                <c:formatCode>0</c:formatCode>
                <c:ptCount val="30"/>
                <c:pt idx="0">
                  <c:v>38</c:v>
                </c:pt>
                <c:pt idx="1">
                  <c:v>38</c:v>
                </c:pt>
                <c:pt idx="2">
                  <c:v>38</c:v>
                </c:pt>
                <c:pt idx="3">
                  <c:v>38</c:v>
                </c:pt>
                <c:pt idx="4">
                  <c:v>37</c:v>
                </c:pt>
                <c:pt idx="5">
                  <c:v>36</c:v>
                </c:pt>
                <c:pt idx="6">
                  <c:v>35</c:v>
                </c:pt>
                <c:pt idx="7">
                  <c:v>34</c:v>
                </c:pt>
                <c:pt idx="8">
                  <c:v>34</c:v>
                </c:pt>
                <c:pt idx="9">
                  <c:v>34</c:v>
                </c:pt>
                <c:pt idx="10">
                  <c:v>31</c:v>
                </c:pt>
                <c:pt idx="11">
                  <c:v>22</c:v>
                </c:pt>
                <c:pt idx="12">
                  <c:v>19</c:v>
                </c:pt>
                <c:pt idx="13">
                  <c:v>16</c:v>
                </c:pt>
                <c:pt idx="14">
                  <c:v>14</c:v>
                </c:pt>
                <c:pt idx="15">
                  <c:v>13</c:v>
                </c:pt>
                <c:pt idx="16">
                  <c:v>11</c:v>
                </c:pt>
                <c:pt idx="17">
                  <c:v>10</c:v>
                </c:pt>
                <c:pt idx="18">
                  <c:v>8</c:v>
                </c:pt>
                <c:pt idx="19">
                  <c:v>7</c:v>
                </c:pt>
                <c:pt idx="20">
                  <c:v>5</c:v>
                </c:pt>
                <c:pt idx="21">
                  <c:v>4</c:v>
                </c:pt>
                <c:pt idx="22">
                  <c:v>2</c:v>
                </c:pt>
                <c:pt idx="23">
                  <c:v>1</c:v>
                </c:pt>
                <c:pt idx="24">
                  <c:v>-1</c:v>
                </c:pt>
                <c:pt idx="25">
                  <c:v>-1</c:v>
                </c:pt>
                <c:pt idx="26">
                  <c:v>-1</c:v>
                </c:pt>
                <c:pt idx="27">
                  <c:v>-1</c:v>
                </c:pt>
                <c:pt idx="28">
                  <c:v>-1</c:v>
                </c:pt>
                <c:pt idx="29">
                  <c:v>-1</c:v>
                </c:pt>
              </c:numCache>
            </c:numRef>
          </c:val>
        </c:ser>
        <c:ser>
          <c:idx val="24"/>
          <c:order val="23"/>
          <c:tx>
            <c:strRef>
              <c:f>'Timing - BIG MAP'!$AA$87</c:f>
              <c:strCache>
                <c:ptCount val="1"/>
                <c:pt idx="0">
                  <c:v>7000</c:v>
                </c:pt>
              </c:strCache>
            </c:strRef>
          </c:tx>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MAP'!$AB$87:$BE$87</c:f>
              <c:numCache>
                <c:formatCode>0</c:formatCode>
                <c:ptCount val="30"/>
                <c:pt idx="0">
                  <c:v>38</c:v>
                </c:pt>
                <c:pt idx="1">
                  <c:v>38</c:v>
                </c:pt>
                <c:pt idx="2">
                  <c:v>38</c:v>
                </c:pt>
                <c:pt idx="3">
                  <c:v>38</c:v>
                </c:pt>
                <c:pt idx="4">
                  <c:v>37</c:v>
                </c:pt>
                <c:pt idx="5">
                  <c:v>36</c:v>
                </c:pt>
                <c:pt idx="6">
                  <c:v>35</c:v>
                </c:pt>
                <c:pt idx="7">
                  <c:v>34</c:v>
                </c:pt>
                <c:pt idx="8">
                  <c:v>34</c:v>
                </c:pt>
                <c:pt idx="9">
                  <c:v>34</c:v>
                </c:pt>
                <c:pt idx="10">
                  <c:v>31</c:v>
                </c:pt>
                <c:pt idx="11">
                  <c:v>22</c:v>
                </c:pt>
                <c:pt idx="12">
                  <c:v>19</c:v>
                </c:pt>
                <c:pt idx="13">
                  <c:v>16</c:v>
                </c:pt>
                <c:pt idx="14">
                  <c:v>14</c:v>
                </c:pt>
                <c:pt idx="15">
                  <c:v>13</c:v>
                </c:pt>
                <c:pt idx="16">
                  <c:v>11</c:v>
                </c:pt>
                <c:pt idx="17">
                  <c:v>10</c:v>
                </c:pt>
                <c:pt idx="18">
                  <c:v>8</c:v>
                </c:pt>
                <c:pt idx="19">
                  <c:v>7</c:v>
                </c:pt>
                <c:pt idx="20">
                  <c:v>5</c:v>
                </c:pt>
                <c:pt idx="21">
                  <c:v>4</c:v>
                </c:pt>
                <c:pt idx="22">
                  <c:v>2</c:v>
                </c:pt>
                <c:pt idx="23">
                  <c:v>1</c:v>
                </c:pt>
                <c:pt idx="24">
                  <c:v>-1</c:v>
                </c:pt>
                <c:pt idx="25">
                  <c:v>-1</c:v>
                </c:pt>
                <c:pt idx="26">
                  <c:v>-1</c:v>
                </c:pt>
                <c:pt idx="27">
                  <c:v>-1</c:v>
                </c:pt>
                <c:pt idx="28">
                  <c:v>-1</c:v>
                </c:pt>
                <c:pt idx="29">
                  <c:v>-1</c:v>
                </c:pt>
              </c:numCache>
            </c:numRef>
          </c:val>
        </c:ser>
        <c:ser>
          <c:idx val="19"/>
          <c:order val="24"/>
          <c:tx>
            <c:strRef>
              <c:f>'Timing - BIG MAP'!$AA$88</c:f>
              <c:strCache>
                <c:ptCount val="1"/>
                <c:pt idx="0">
                  <c:v>7500</c:v>
                </c:pt>
              </c:strCache>
            </c:strRef>
          </c:tx>
          <c:spPr>
            <a:solidFill>
              <a:srgbClr val="FFFF99"/>
            </a:solidFill>
            <a:ln w="12700">
              <a:solidFill>
                <a:srgbClr val="000000"/>
              </a:solidFill>
              <a:prstDash val="solid"/>
            </a:ln>
            <a:sp3d prstMaterial="flat"/>
          </c:spPr>
          <c:cat>
            <c:numRef>
              <c:f>'Timing - BIG MAP'!$AB$63:$BE$63</c:f>
              <c:numCache>
                <c:formatCode>General</c:formatCode>
                <c:ptCount val="30"/>
                <c:pt idx="0">
                  <c:v>10</c:v>
                </c:pt>
                <c:pt idx="1">
                  <c:v>20</c:v>
                </c:pt>
                <c:pt idx="2">
                  <c:v>30</c:v>
                </c:pt>
                <c:pt idx="3">
                  <c:v>40</c:v>
                </c:pt>
                <c:pt idx="4">
                  <c:v>50</c:v>
                </c:pt>
                <c:pt idx="5">
                  <c:v>60</c:v>
                </c:pt>
                <c:pt idx="6">
                  <c:v>70</c:v>
                </c:pt>
                <c:pt idx="7">
                  <c:v>80</c:v>
                </c:pt>
                <c:pt idx="8">
                  <c:v>90</c:v>
                </c:pt>
                <c:pt idx="9">
                  <c:v>100</c:v>
                </c:pt>
                <c:pt idx="10">
                  <c:v>120</c:v>
                </c:pt>
                <c:pt idx="11">
                  <c:v>140</c:v>
                </c:pt>
                <c:pt idx="12">
                  <c:v>150</c:v>
                </c:pt>
                <c:pt idx="13">
                  <c:v>160</c:v>
                </c:pt>
                <c:pt idx="14">
                  <c:v>170</c:v>
                </c:pt>
                <c:pt idx="15">
                  <c:v>180</c:v>
                </c:pt>
                <c:pt idx="16">
                  <c:v>190</c:v>
                </c:pt>
                <c:pt idx="17">
                  <c:v>200</c:v>
                </c:pt>
                <c:pt idx="18">
                  <c:v>210</c:v>
                </c:pt>
                <c:pt idx="19">
                  <c:v>220</c:v>
                </c:pt>
                <c:pt idx="20">
                  <c:v>230</c:v>
                </c:pt>
                <c:pt idx="21">
                  <c:v>240</c:v>
                </c:pt>
                <c:pt idx="22">
                  <c:v>250</c:v>
                </c:pt>
                <c:pt idx="23">
                  <c:v>260</c:v>
                </c:pt>
                <c:pt idx="24">
                  <c:v>270</c:v>
                </c:pt>
                <c:pt idx="25">
                  <c:v>280</c:v>
                </c:pt>
                <c:pt idx="26">
                  <c:v>290</c:v>
                </c:pt>
                <c:pt idx="27">
                  <c:v>300</c:v>
                </c:pt>
                <c:pt idx="28">
                  <c:v>310</c:v>
                </c:pt>
                <c:pt idx="29">
                  <c:v>320</c:v>
                </c:pt>
              </c:numCache>
            </c:numRef>
          </c:cat>
          <c:val>
            <c:numRef>
              <c:f>'Timing - BIG MAP'!$AB$88:$BE$88</c:f>
              <c:numCache>
                <c:formatCode>0</c:formatCode>
                <c:ptCount val="30"/>
                <c:pt idx="0">
                  <c:v>38</c:v>
                </c:pt>
                <c:pt idx="1">
                  <c:v>38</c:v>
                </c:pt>
                <c:pt idx="2">
                  <c:v>38</c:v>
                </c:pt>
                <c:pt idx="3">
                  <c:v>38</c:v>
                </c:pt>
                <c:pt idx="4">
                  <c:v>37</c:v>
                </c:pt>
                <c:pt idx="5">
                  <c:v>36</c:v>
                </c:pt>
                <c:pt idx="6">
                  <c:v>35</c:v>
                </c:pt>
                <c:pt idx="7">
                  <c:v>34</c:v>
                </c:pt>
                <c:pt idx="8">
                  <c:v>34</c:v>
                </c:pt>
                <c:pt idx="9">
                  <c:v>34</c:v>
                </c:pt>
                <c:pt idx="10">
                  <c:v>31</c:v>
                </c:pt>
                <c:pt idx="11">
                  <c:v>22</c:v>
                </c:pt>
                <c:pt idx="12">
                  <c:v>19</c:v>
                </c:pt>
                <c:pt idx="13">
                  <c:v>16</c:v>
                </c:pt>
                <c:pt idx="14">
                  <c:v>14</c:v>
                </c:pt>
                <c:pt idx="15">
                  <c:v>13</c:v>
                </c:pt>
                <c:pt idx="16">
                  <c:v>11</c:v>
                </c:pt>
                <c:pt idx="17">
                  <c:v>10</c:v>
                </c:pt>
                <c:pt idx="18">
                  <c:v>8</c:v>
                </c:pt>
                <c:pt idx="19">
                  <c:v>7</c:v>
                </c:pt>
                <c:pt idx="20">
                  <c:v>5</c:v>
                </c:pt>
                <c:pt idx="21">
                  <c:v>4</c:v>
                </c:pt>
                <c:pt idx="22">
                  <c:v>2</c:v>
                </c:pt>
                <c:pt idx="23">
                  <c:v>1</c:v>
                </c:pt>
                <c:pt idx="24">
                  <c:v>-1</c:v>
                </c:pt>
                <c:pt idx="25">
                  <c:v>-1</c:v>
                </c:pt>
                <c:pt idx="26">
                  <c:v>-1</c:v>
                </c:pt>
                <c:pt idx="27">
                  <c:v>-1</c:v>
                </c:pt>
                <c:pt idx="28">
                  <c:v>-1</c:v>
                </c:pt>
                <c:pt idx="29">
                  <c:v>-1</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
            <c:idx val="20"/>
            <c:spPr>
              <a:solidFill>
                <a:srgbClr val="99CCFF"/>
              </a:solidFill>
              <a:ln w="12700">
                <a:solidFill>
                  <a:srgbClr val="000000"/>
                </a:solidFill>
                <a:prstDash val="solid"/>
              </a:ln>
              <a:sp3d prstMaterial="flat"/>
            </c:spPr>
          </c:bandFmt>
          <c:bandFmt>
            <c:idx val="21"/>
            <c:spPr>
              <a:solidFill>
                <a:srgbClr val="FF99CC"/>
              </a:solidFill>
              <a:ln w="12700">
                <a:solidFill>
                  <a:srgbClr val="000000"/>
                </a:solidFill>
                <a:prstDash val="solid"/>
              </a:ln>
              <a:sp3d prstMaterial="flat"/>
            </c:spPr>
          </c:bandFmt>
          <c:bandFmt>
            <c:idx val="22"/>
            <c:spPr>
              <a:solidFill>
                <a:srgbClr val="CC99FF"/>
              </a:solidFill>
              <a:ln w="12700">
                <a:solidFill>
                  <a:srgbClr val="000000"/>
                </a:solidFill>
                <a:prstDash val="solid"/>
              </a:ln>
              <a:sp3d prstMaterial="flat"/>
            </c:spPr>
          </c:bandFmt>
          <c:bandFmt>
            <c:idx val="23"/>
            <c:spPr>
              <a:solidFill>
                <a:srgbClr val="FFCC99"/>
              </a:solidFill>
              <a:ln w="12700">
                <a:solidFill>
                  <a:srgbClr val="000000"/>
                </a:solidFill>
                <a:prstDash val="solid"/>
              </a:ln>
              <a:sp3d prstMaterial="flat"/>
            </c:spPr>
          </c:bandFmt>
          <c:bandFmt>
            <c:idx val="24"/>
            <c:spPr>
              <a:solidFill>
                <a:srgbClr val="3366FF"/>
              </a:solidFill>
              <a:ln w="12700">
                <a:solidFill>
                  <a:srgbClr val="000000"/>
                </a:solidFill>
                <a:prstDash val="solid"/>
              </a:ln>
              <a:sp3d prstMaterial="flat"/>
            </c:spPr>
          </c:bandFmt>
          <c:bandFmt>
            <c:idx val="25"/>
            <c:spPr>
              <a:solidFill>
                <a:srgbClr val="33CCCC"/>
              </a:solidFill>
              <a:ln w="12700">
                <a:solidFill>
                  <a:srgbClr val="000000"/>
                </a:solidFill>
                <a:prstDash val="solid"/>
              </a:ln>
              <a:sp3d prstMaterial="flat"/>
            </c:spPr>
          </c:bandFmt>
          <c:bandFmt>
            <c:idx val="26"/>
            <c:spPr>
              <a:solidFill>
                <a:srgbClr val="99CC00"/>
              </a:solidFill>
              <a:ln w="12700">
                <a:solidFill>
                  <a:srgbClr val="000000"/>
                </a:solidFill>
                <a:prstDash val="solid"/>
              </a:ln>
              <a:sp3d prstMaterial="flat"/>
            </c:spPr>
          </c:bandFmt>
          <c:bandFmt>
            <c:idx val="27"/>
            <c:spPr>
              <a:solidFill>
                <a:srgbClr val="FFCC00"/>
              </a:solidFill>
              <a:ln w="12700">
                <a:solidFill>
                  <a:srgbClr val="000000"/>
                </a:solidFill>
                <a:prstDash val="solid"/>
              </a:ln>
              <a:sp3d prstMaterial="flat"/>
            </c:spPr>
          </c:bandFmt>
          <c:bandFmt>
            <c:idx val="28"/>
            <c:spPr>
              <a:solidFill>
                <a:srgbClr val="FF9900"/>
              </a:solidFill>
              <a:ln w="12700">
                <a:solidFill>
                  <a:srgbClr val="000000"/>
                </a:solidFill>
                <a:prstDash val="solid"/>
              </a:ln>
              <a:sp3d prstMaterial="flat"/>
            </c:spPr>
          </c:bandFmt>
          <c:bandFmt>
            <c:idx val="29"/>
            <c:spPr>
              <a:solidFill>
                <a:srgbClr val="FF6600"/>
              </a:solidFill>
              <a:ln w="12700">
                <a:solidFill>
                  <a:srgbClr val="000000"/>
                </a:solidFill>
                <a:prstDash val="solid"/>
              </a:ln>
              <a:sp3d prstMaterial="flat"/>
            </c:spPr>
          </c:bandFmt>
          <c:bandFmt>
            <c:idx val="30"/>
            <c:spPr>
              <a:solidFill>
                <a:srgbClr val="666699"/>
              </a:solidFill>
              <a:ln w="12700">
                <a:solidFill>
                  <a:srgbClr val="000000"/>
                </a:solidFill>
                <a:prstDash val="solid"/>
              </a:ln>
              <a:sp3d prstMaterial="flat"/>
            </c:spPr>
          </c:bandFmt>
          <c:bandFmt>
            <c:idx val="31"/>
            <c:spPr>
              <a:solidFill>
                <a:srgbClr val="969696"/>
              </a:solidFill>
              <a:ln w="12700">
                <a:solidFill>
                  <a:srgbClr val="000000"/>
                </a:solidFill>
                <a:prstDash val="solid"/>
              </a:ln>
              <a:sp3d prstMaterial="flat"/>
            </c:spPr>
          </c:bandFmt>
          <c:bandFmt>
            <c:idx val="32"/>
            <c:spPr>
              <a:solidFill>
                <a:srgbClr val="003366"/>
              </a:solidFill>
              <a:ln w="12700">
                <a:solidFill>
                  <a:srgbClr val="000000"/>
                </a:solidFill>
                <a:prstDash val="solid"/>
              </a:ln>
              <a:sp3d prstMaterial="flat"/>
            </c:spPr>
          </c:bandFmt>
          <c:bandFmt>
            <c:idx val="33"/>
            <c:spPr>
              <a:solidFill>
                <a:srgbClr val="339966"/>
              </a:solidFill>
              <a:ln w="12700">
                <a:solidFill>
                  <a:srgbClr val="000000"/>
                </a:solidFill>
                <a:prstDash val="solid"/>
              </a:ln>
              <a:sp3d prstMaterial="flat"/>
            </c:spPr>
          </c:bandFmt>
          <c:bandFmt>
            <c:idx val="34"/>
            <c:spPr>
              <a:solidFill>
                <a:srgbClr val="003300"/>
              </a:solidFill>
              <a:ln w="12700">
                <a:solidFill>
                  <a:srgbClr val="000000"/>
                </a:solidFill>
                <a:prstDash val="solid"/>
              </a:ln>
              <a:sp3d prstMaterial="flat"/>
            </c:spPr>
          </c:bandFmt>
          <c:bandFmt>
            <c:idx val="35"/>
            <c:spPr>
              <a:solidFill>
                <a:srgbClr val="333300"/>
              </a:solidFill>
              <a:ln w="12700">
                <a:solidFill>
                  <a:srgbClr val="000000"/>
                </a:solidFill>
                <a:prstDash val="solid"/>
              </a:ln>
              <a:sp3d prstMaterial="flat"/>
            </c:spPr>
          </c:bandFmt>
          <c:bandFmt>
            <c:idx val="36"/>
            <c:spPr>
              <a:solidFill>
                <a:srgbClr val="993300"/>
              </a:solidFill>
              <a:ln w="12700">
                <a:solidFill>
                  <a:srgbClr val="000000"/>
                </a:solidFill>
                <a:prstDash val="solid"/>
              </a:ln>
              <a:sp3d prstMaterial="flat"/>
            </c:spPr>
          </c:bandFmt>
          <c:bandFmt>
            <c:idx val="37"/>
            <c:spPr>
              <a:solidFill>
                <a:srgbClr val="993366"/>
              </a:solidFill>
              <a:ln w="12700">
                <a:solidFill>
                  <a:srgbClr val="000000"/>
                </a:solidFill>
                <a:prstDash val="solid"/>
              </a:ln>
              <a:sp3d prstMaterial="flat"/>
            </c:spPr>
          </c:bandFmt>
          <c:bandFmt>
            <c:idx val="38"/>
            <c:spPr>
              <a:solidFill>
                <a:srgbClr val="333399"/>
              </a:solidFill>
              <a:ln w="12700">
                <a:solidFill>
                  <a:srgbClr val="000000"/>
                </a:solidFill>
                <a:prstDash val="solid"/>
              </a:ln>
              <a:sp3d prstMaterial="flat"/>
            </c:spPr>
          </c:bandFmt>
          <c:bandFmt>
            <c:idx val="39"/>
            <c:spPr>
              <a:solidFill>
                <a:srgbClr val="333333"/>
              </a:solidFill>
              <a:ln w="12700">
                <a:solidFill>
                  <a:srgbClr val="000000"/>
                </a:solidFill>
                <a:prstDash val="solid"/>
              </a:ln>
              <a:sp3d prstMaterial="flat"/>
            </c:spPr>
          </c:bandFmt>
          <c:bandFmt>
            <c:idx val="40"/>
            <c:spPr>
              <a:solidFill>
                <a:srgbClr val="000000"/>
              </a:solidFill>
              <a:ln w="12700">
                <a:solidFill>
                  <a:srgbClr val="000000"/>
                </a:solidFill>
                <a:prstDash val="solid"/>
              </a:ln>
              <a:sp3d prstMaterial="flat"/>
            </c:spPr>
          </c:bandFmt>
          <c:bandFmt>
            <c:idx val="41"/>
            <c:spPr>
              <a:solidFill>
                <a:srgbClr val="FFFFFF"/>
              </a:solidFill>
              <a:ln w="12700">
                <a:solidFill>
                  <a:srgbClr val="000000"/>
                </a:solidFill>
                <a:prstDash val="solid"/>
              </a:ln>
              <a:sp3d prstMaterial="flat"/>
            </c:spPr>
          </c:bandFmt>
          <c:bandFmt>
            <c:idx val="42"/>
            <c:spPr>
              <a:solidFill>
                <a:srgbClr val="FF0000"/>
              </a:solidFill>
              <a:ln w="12700">
                <a:solidFill>
                  <a:srgbClr val="000000"/>
                </a:solidFill>
                <a:prstDash val="solid"/>
              </a:ln>
              <a:sp3d prstMaterial="flat"/>
            </c:spPr>
          </c:bandFmt>
          <c:bandFmt>
            <c:idx val="43"/>
            <c:spPr>
              <a:solidFill>
                <a:srgbClr val="00FF00"/>
              </a:solidFill>
              <a:ln w="12700">
                <a:solidFill>
                  <a:srgbClr val="000000"/>
                </a:solidFill>
                <a:prstDash val="solid"/>
              </a:ln>
              <a:sp3d prstMaterial="flat"/>
            </c:spPr>
          </c:bandFmt>
          <c:bandFmt>
            <c:idx val="44"/>
            <c:spPr>
              <a:solidFill>
                <a:srgbClr val="0000FF"/>
              </a:solidFill>
              <a:ln w="12700">
                <a:solidFill>
                  <a:srgbClr val="000000"/>
                </a:solidFill>
                <a:prstDash val="solid"/>
              </a:ln>
              <a:sp3d prstMaterial="flat"/>
            </c:spPr>
          </c:bandFmt>
          <c:bandFmt>
            <c:idx val="45"/>
            <c:spPr>
              <a:solidFill>
                <a:srgbClr val="FFFF00"/>
              </a:solidFill>
              <a:ln w="12700">
                <a:solidFill>
                  <a:srgbClr val="000000"/>
                </a:solidFill>
                <a:prstDash val="solid"/>
              </a:ln>
              <a:sp3d prstMaterial="flat"/>
            </c:spPr>
          </c:bandFmt>
          <c:bandFmt>
            <c:idx val="46"/>
            <c:spPr>
              <a:solidFill>
                <a:srgbClr val="FF00FF"/>
              </a:solidFill>
              <a:ln w="12700">
                <a:solidFill>
                  <a:srgbClr val="000000"/>
                </a:solidFill>
                <a:prstDash val="solid"/>
              </a:ln>
              <a:sp3d prstMaterial="flat"/>
            </c:spPr>
          </c:bandFmt>
          <c:bandFmt>
            <c:idx val="47"/>
            <c:spPr>
              <a:solidFill>
                <a:srgbClr val="00FFFF"/>
              </a:solidFill>
              <a:ln w="12700">
                <a:solidFill>
                  <a:srgbClr val="000000"/>
                </a:solidFill>
                <a:prstDash val="solid"/>
              </a:ln>
              <a:sp3d prstMaterial="flat"/>
            </c:spPr>
          </c:bandFmt>
        </c:bandFmts>
        <c:axId val="88636800"/>
        <c:axId val="88638592"/>
        <c:axId val="88507712"/>
      </c:surfaceChart>
      <c:catAx>
        <c:axId val="88636800"/>
        <c:scaling>
          <c:orientation val="minMax"/>
        </c:scaling>
        <c:axPos val="b"/>
        <c:numFmt formatCode="General" sourceLinked="1"/>
        <c:tickLblPos val="low"/>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88638592"/>
        <c:crosses val="autoZero"/>
        <c:auto val="1"/>
        <c:lblAlgn val="ctr"/>
        <c:lblOffset val="100"/>
        <c:tickLblSkip val="2"/>
        <c:tickMarkSkip val="1"/>
        <c:noMultiLvlLbl val="1"/>
      </c:catAx>
      <c:valAx>
        <c:axId val="88638592"/>
        <c:scaling>
          <c:orientation val="minMax"/>
          <c:min val="-10"/>
        </c:scaling>
        <c:axPos val="l"/>
        <c:majorGridlines>
          <c:spPr>
            <a:ln w="3175">
              <a:solidFill>
                <a:srgbClr val="C0C0C0"/>
              </a:solidFill>
              <a:prstDash val="solid"/>
            </a:ln>
          </c:spPr>
        </c:majorGridlines>
        <c:numFmt formatCode="0" sourceLinked="1"/>
        <c:majorTickMark val="none"/>
        <c:tickLblPos val="none"/>
        <c:spPr>
          <a:ln w="3175">
            <a:solidFill>
              <a:srgbClr val="000000"/>
            </a:solidFill>
            <a:prstDash val="solid"/>
          </a:ln>
        </c:spPr>
        <c:crossAx val="88636800"/>
        <c:crosses val="autoZero"/>
        <c:crossBetween val="midCat"/>
        <c:majorUnit val="1"/>
        <c:minorUnit val="0.5"/>
      </c:valAx>
      <c:serAx>
        <c:axId val="88507712"/>
        <c:scaling>
          <c:orientation val="maxMin"/>
        </c:scaling>
        <c:axPos val="b"/>
        <c:numFmt formatCode="General" sourceLinked="1"/>
        <c:tickLblPos val="low"/>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88638592"/>
        <c:crosses val="autoZero"/>
        <c:tickLblSkip val="2"/>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7.2702793672164284E-2"/>
          <c:y val="3.1719532554257114E-2"/>
          <c:w val="0.80780881857960318"/>
          <c:h val="0.83472454090150261"/>
        </c:manualLayout>
      </c:layout>
      <c:surface3DChart>
        <c:ser>
          <c:idx val="0"/>
          <c:order val="0"/>
          <c:tx>
            <c:strRef>
              <c:f>'MIVEC - 20 Cell'!$W$54</c:f>
              <c:strCache>
                <c:ptCount val="1"/>
                <c:pt idx="0">
                  <c:v>10</c:v>
                </c:pt>
              </c:strCache>
            </c:strRef>
          </c:tx>
          <c:spPr>
            <a:solidFill>
              <a:srgbClr val="9999FF"/>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Cell'!$W$55:$W$70</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1"/>
          <c:order val="1"/>
          <c:tx>
            <c:strRef>
              <c:f>'MIVEC - 20 Cell'!$X$54</c:f>
              <c:strCache>
                <c:ptCount val="1"/>
                <c:pt idx="0">
                  <c:v>20</c:v>
                </c:pt>
              </c:strCache>
            </c:strRef>
          </c:tx>
          <c:spPr>
            <a:solidFill>
              <a:srgbClr val="993366"/>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Cell'!$X$55:$X$70</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2"/>
          <c:order val="2"/>
          <c:tx>
            <c:strRef>
              <c:f>'MIVEC - 20 Cell'!$Y$54</c:f>
              <c:strCache>
                <c:ptCount val="1"/>
                <c:pt idx="0">
                  <c:v>30</c:v>
                </c:pt>
              </c:strCache>
            </c:strRef>
          </c:tx>
          <c:spPr>
            <a:solidFill>
              <a:srgbClr val="FFFFCC"/>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Cell'!$Y$55:$Y$70</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3"/>
          <c:order val="3"/>
          <c:tx>
            <c:strRef>
              <c:f>'MIVEC - 20 Cell'!$Z$54</c:f>
              <c:strCache>
                <c:ptCount val="1"/>
                <c:pt idx="0">
                  <c:v>40</c:v>
                </c:pt>
              </c:strCache>
            </c:strRef>
          </c:tx>
          <c:spPr>
            <a:solidFill>
              <a:srgbClr val="CCFFFF"/>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Cell'!$Z$55:$Z$70</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4"/>
          <c:order val="4"/>
          <c:tx>
            <c:strRef>
              <c:f>'MIVEC - 20 Cell'!$AA$54</c:f>
              <c:strCache>
                <c:ptCount val="1"/>
                <c:pt idx="0">
                  <c:v>50</c:v>
                </c:pt>
              </c:strCache>
            </c:strRef>
          </c:tx>
          <c:spPr>
            <a:solidFill>
              <a:srgbClr val="660066"/>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Cell'!$AA$55:$AA$70</c:f>
              <c:numCache>
                <c:formatCode>0.0</c:formatCode>
                <c:ptCount val="16"/>
                <c:pt idx="0">
                  <c:v>0</c:v>
                </c:pt>
                <c:pt idx="1">
                  <c:v>0</c:v>
                </c:pt>
                <c:pt idx="2">
                  <c:v>4.8</c:v>
                </c:pt>
                <c:pt idx="3">
                  <c:v>9.6</c:v>
                </c:pt>
                <c:pt idx="4">
                  <c:v>9.6</c:v>
                </c:pt>
                <c:pt idx="5">
                  <c:v>14.4</c:v>
                </c:pt>
                <c:pt idx="6">
                  <c:v>14.4</c:v>
                </c:pt>
                <c:pt idx="7">
                  <c:v>14.4</c:v>
                </c:pt>
                <c:pt idx="8">
                  <c:v>19.2</c:v>
                </c:pt>
                <c:pt idx="9">
                  <c:v>19.2</c:v>
                </c:pt>
                <c:pt idx="10">
                  <c:v>14.4</c:v>
                </c:pt>
                <c:pt idx="11">
                  <c:v>4.8</c:v>
                </c:pt>
                <c:pt idx="12">
                  <c:v>4.8</c:v>
                </c:pt>
                <c:pt idx="13">
                  <c:v>4.8</c:v>
                </c:pt>
                <c:pt idx="14">
                  <c:v>0</c:v>
                </c:pt>
                <c:pt idx="15">
                  <c:v>0</c:v>
                </c:pt>
              </c:numCache>
            </c:numRef>
          </c:val>
        </c:ser>
        <c:ser>
          <c:idx val="5"/>
          <c:order val="5"/>
          <c:tx>
            <c:strRef>
              <c:f>'MIVEC - 20 Cell'!$AB$54</c:f>
              <c:strCache>
                <c:ptCount val="1"/>
                <c:pt idx="0">
                  <c:v>60</c:v>
                </c:pt>
              </c:strCache>
            </c:strRef>
          </c:tx>
          <c:spPr>
            <a:solidFill>
              <a:srgbClr val="FF8080"/>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Cell'!$AB$55:$AB$70</c:f>
              <c:numCache>
                <c:formatCode>0.0</c:formatCode>
                <c:ptCount val="16"/>
                <c:pt idx="0">
                  <c:v>0</c:v>
                </c:pt>
                <c:pt idx="1">
                  <c:v>0</c:v>
                </c:pt>
                <c:pt idx="2">
                  <c:v>4.8</c:v>
                </c:pt>
                <c:pt idx="3">
                  <c:v>14.4</c:v>
                </c:pt>
                <c:pt idx="4">
                  <c:v>14.4</c:v>
                </c:pt>
                <c:pt idx="5">
                  <c:v>19.2</c:v>
                </c:pt>
                <c:pt idx="6">
                  <c:v>19.2</c:v>
                </c:pt>
                <c:pt idx="7">
                  <c:v>19.2</c:v>
                </c:pt>
                <c:pt idx="8">
                  <c:v>19.2</c:v>
                </c:pt>
                <c:pt idx="9">
                  <c:v>19.2</c:v>
                </c:pt>
                <c:pt idx="10">
                  <c:v>14.4</c:v>
                </c:pt>
                <c:pt idx="11">
                  <c:v>14.4</c:v>
                </c:pt>
                <c:pt idx="12">
                  <c:v>9.6</c:v>
                </c:pt>
                <c:pt idx="13">
                  <c:v>4.8</c:v>
                </c:pt>
                <c:pt idx="14">
                  <c:v>0</c:v>
                </c:pt>
                <c:pt idx="15">
                  <c:v>0</c:v>
                </c:pt>
              </c:numCache>
            </c:numRef>
          </c:val>
        </c:ser>
        <c:ser>
          <c:idx val="6"/>
          <c:order val="6"/>
          <c:tx>
            <c:strRef>
              <c:f>'MIVEC - 20 Cell'!$AC$54</c:f>
              <c:strCache>
                <c:ptCount val="1"/>
                <c:pt idx="0">
                  <c:v>70</c:v>
                </c:pt>
              </c:strCache>
            </c:strRef>
          </c:tx>
          <c:spPr>
            <a:solidFill>
              <a:srgbClr val="0066CC"/>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Cell'!$AC$55:$AC$70</c:f>
              <c:numCache>
                <c:formatCode>0.0</c:formatCode>
                <c:ptCount val="16"/>
                <c:pt idx="0">
                  <c:v>0</c:v>
                </c:pt>
                <c:pt idx="1">
                  <c:v>9.6</c:v>
                </c:pt>
                <c:pt idx="2">
                  <c:v>9.6</c:v>
                </c:pt>
                <c:pt idx="3">
                  <c:v>14.4</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7"/>
          <c:order val="7"/>
          <c:tx>
            <c:strRef>
              <c:f>'MIVEC - 20 Cell'!$AD$54</c:f>
              <c:strCache>
                <c:ptCount val="1"/>
                <c:pt idx="0">
                  <c:v>80</c:v>
                </c:pt>
              </c:strCache>
            </c:strRef>
          </c:tx>
          <c:spPr>
            <a:solidFill>
              <a:srgbClr val="CCCCFF"/>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Cell'!$AD$55:$AD$70</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8"/>
          <c:order val="8"/>
          <c:tx>
            <c:strRef>
              <c:f>'MIVEC - 20 Cell'!$AE$54</c:f>
              <c:strCache>
                <c:ptCount val="1"/>
                <c:pt idx="0">
                  <c:v>90</c:v>
                </c:pt>
              </c:strCache>
            </c:strRef>
          </c:tx>
          <c:spPr>
            <a:solidFill>
              <a:srgbClr val="000080"/>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Cell'!$AE$55:$AE$70</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9"/>
          <c:order val="9"/>
          <c:tx>
            <c:strRef>
              <c:f>'MIVEC - 20 Cell'!$AF$54</c:f>
              <c:strCache>
                <c:ptCount val="1"/>
                <c:pt idx="0">
                  <c:v>100</c:v>
                </c:pt>
              </c:strCache>
            </c:strRef>
          </c:tx>
          <c:spPr>
            <a:solidFill>
              <a:srgbClr val="FF00FF"/>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Cell'!$AF$55:$AF$70</c:f>
              <c:numCache>
                <c:formatCode>0.0</c:formatCode>
                <c:ptCount val="16"/>
                <c:pt idx="0">
                  <c:v>0</c:v>
                </c:pt>
                <c:pt idx="1">
                  <c:v>9.6</c:v>
                </c:pt>
                <c:pt idx="2">
                  <c:v>19.2</c:v>
                </c:pt>
                <c:pt idx="3">
                  <c:v>19.2</c:v>
                </c:pt>
                <c:pt idx="4">
                  <c:v>19.2</c:v>
                </c:pt>
                <c:pt idx="5">
                  <c:v>19.2</c:v>
                </c:pt>
                <c:pt idx="6">
                  <c:v>19.2</c:v>
                </c:pt>
                <c:pt idx="7">
                  <c:v>14.4</c:v>
                </c:pt>
                <c:pt idx="8">
                  <c:v>19.2</c:v>
                </c:pt>
                <c:pt idx="9">
                  <c:v>14.4</c:v>
                </c:pt>
                <c:pt idx="10">
                  <c:v>14.4</c:v>
                </c:pt>
                <c:pt idx="11">
                  <c:v>14.4</c:v>
                </c:pt>
                <c:pt idx="12">
                  <c:v>9.6</c:v>
                </c:pt>
                <c:pt idx="13">
                  <c:v>4.8</c:v>
                </c:pt>
                <c:pt idx="14">
                  <c:v>0</c:v>
                </c:pt>
                <c:pt idx="15">
                  <c:v>0</c:v>
                </c:pt>
              </c:numCache>
            </c:numRef>
          </c:val>
        </c:ser>
        <c:ser>
          <c:idx val="10"/>
          <c:order val="10"/>
          <c:tx>
            <c:strRef>
              <c:f>'MIVEC - 20 Cell'!$AG$54</c:f>
              <c:strCache>
                <c:ptCount val="1"/>
                <c:pt idx="0">
                  <c:v>120</c:v>
                </c:pt>
              </c:strCache>
            </c:strRef>
          </c:tx>
          <c:spPr>
            <a:solidFill>
              <a:srgbClr val="FFFF00"/>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Cell'!$AG$55:$AG$70</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1"/>
          <c:order val="11"/>
          <c:tx>
            <c:strRef>
              <c:f>'MIVEC - 20 Cell'!$AH$54</c:f>
              <c:strCache>
                <c:ptCount val="1"/>
                <c:pt idx="0">
                  <c:v>140</c:v>
                </c:pt>
              </c:strCache>
            </c:strRef>
          </c:tx>
          <c:spPr>
            <a:solidFill>
              <a:srgbClr val="00FFFF"/>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Cell'!$AH$55:$AH$70</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2"/>
          <c:order val="12"/>
          <c:tx>
            <c:strRef>
              <c:f>'MIVEC - 20 Cell'!$AI$54</c:f>
              <c:strCache>
                <c:ptCount val="1"/>
                <c:pt idx="0">
                  <c:v>160</c:v>
                </c:pt>
              </c:strCache>
            </c:strRef>
          </c:tx>
          <c:spPr>
            <a:solidFill>
              <a:srgbClr val="800080"/>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Cell'!$AI$55:$AI$70</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3"/>
          <c:order val="13"/>
          <c:tx>
            <c:strRef>
              <c:f>'MIVEC - 20 Cell'!$AJ$54</c:f>
              <c:strCache>
                <c:ptCount val="1"/>
                <c:pt idx="0">
                  <c:v>180</c:v>
                </c:pt>
              </c:strCache>
            </c:strRef>
          </c:tx>
          <c:spPr>
            <a:solidFill>
              <a:srgbClr val="800000"/>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Cell'!$AJ$55:$AJ$70</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14.4</c:v>
                </c:pt>
                <c:pt idx="13">
                  <c:v>9.6</c:v>
                </c:pt>
                <c:pt idx="14">
                  <c:v>0</c:v>
                </c:pt>
                <c:pt idx="15">
                  <c:v>0</c:v>
                </c:pt>
              </c:numCache>
            </c:numRef>
          </c:val>
        </c:ser>
        <c:ser>
          <c:idx val="14"/>
          <c:order val="14"/>
          <c:tx>
            <c:strRef>
              <c:f>'MIVEC - 20 Cell'!$AK$54</c:f>
              <c:strCache>
                <c:ptCount val="1"/>
                <c:pt idx="0">
                  <c:v>200</c:v>
                </c:pt>
              </c:strCache>
            </c:strRef>
          </c:tx>
          <c:spPr>
            <a:solidFill>
              <a:srgbClr val="008080"/>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Cell'!$AK$55:$AK$70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5"/>
          <c:order val="15"/>
          <c:tx>
            <c:strRef>
              <c:f>'MIVEC - 20 Cell'!$AL$54</c:f>
              <c:strCache>
                <c:ptCount val="1"/>
                <c:pt idx="0">
                  <c:v>220</c:v>
                </c:pt>
              </c:strCache>
            </c:strRef>
          </c:tx>
          <c:spPr>
            <a:solidFill>
              <a:srgbClr val="0000FF"/>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Cell'!$AL$55:$AL$70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6"/>
          <c:order val="16"/>
          <c:tx>
            <c:strRef>
              <c:f>'MIVEC - 20 Cell'!$AM$54</c:f>
              <c:strCache>
                <c:ptCount val="1"/>
                <c:pt idx="0">
                  <c:v>240</c:v>
                </c:pt>
              </c:strCache>
            </c:strRef>
          </c:tx>
          <c:spPr>
            <a:solidFill>
              <a:srgbClr val="00CCFF"/>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Cell'!$AM$55:$AM$70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7"/>
          <c:order val="17"/>
          <c:tx>
            <c:strRef>
              <c:f>'MIVEC - 20 Cell'!$AN$54</c:f>
              <c:strCache>
                <c:ptCount val="1"/>
                <c:pt idx="0">
                  <c:v>260</c:v>
                </c:pt>
              </c:strCache>
            </c:strRef>
          </c:tx>
          <c:spPr>
            <a:solidFill>
              <a:srgbClr val="CCFFFF"/>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Cell'!$AN$55:$AN$70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8"/>
          <c:order val="18"/>
          <c:tx>
            <c:strRef>
              <c:f>'MIVEC - 20 Cell'!$AO$54</c:f>
              <c:strCache>
                <c:ptCount val="1"/>
                <c:pt idx="0">
                  <c:v>280</c:v>
                </c:pt>
              </c:strCache>
            </c:strRef>
          </c:tx>
          <c:spPr>
            <a:solidFill>
              <a:srgbClr val="CCFFCC"/>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Cell'!$AO$55:$AO$70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9"/>
          <c:order val="19"/>
          <c:tx>
            <c:strRef>
              <c:f>'MIVEC - 20 Cell'!$AP$54</c:f>
              <c:strCache>
                <c:ptCount val="1"/>
                <c:pt idx="0">
                  <c:v>300</c:v>
                </c:pt>
              </c:strCache>
            </c:strRef>
          </c:tx>
          <c:spPr>
            <a:solidFill>
              <a:srgbClr val="FFFF99"/>
            </a:solidFill>
            <a:ln w="12700">
              <a:solidFill>
                <a:srgbClr val="000000"/>
              </a:solidFill>
              <a:prstDash val="solid"/>
            </a:ln>
            <a:sp3d prstMaterial="flat"/>
          </c:spPr>
          <c:cat>
            <c:numRef>
              <c:f>'MIVEC - 20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Cell'!$AP$55:$AP$70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88876928"/>
        <c:axId val="88883200"/>
        <c:axId val="88850432"/>
      </c:surface3DChart>
      <c:catAx>
        <c:axId val="88876928"/>
        <c:scaling>
          <c:orientation val="maxMin"/>
        </c:scaling>
        <c:axPos val="b"/>
        <c:title>
          <c:tx>
            <c:rich>
              <a:bodyPr rot="5400000" vert="horz"/>
              <a:lstStyle/>
              <a:p>
                <a:pPr algn="ctr">
                  <a:defRPr sz="975" b="1" i="0" u="none" strike="noStrike" baseline="0">
                    <a:solidFill>
                      <a:srgbClr val="000000"/>
                    </a:solidFill>
                    <a:latin typeface="Arial"/>
                    <a:ea typeface="Arial"/>
                    <a:cs typeface="Arial"/>
                  </a:defRPr>
                </a:pPr>
                <a:r>
                  <a:rPr lang="en-US"/>
                  <a:t>RPM</a:t>
                </a:r>
              </a:p>
            </c:rich>
          </c:tx>
          <c:layout>
            <c:manualLayout>
              <c:xMode val="edge"/>
              <c:yMode val="edge"/>
              <c:x val="0.94109727668956911"/>
              <c:y val="0.41569279778037532"/>
            </c:manualLayout>
          </c:layout>
          <c:spPr>
            <a:noFill/>
            <a:ln w="25400">
              <a:noFill/>
            </a:ln>
          </c:spPr>
        </c:title>
        <c:numFmt formatCode="General" sourceLinked="1"/>
        <c:tickLblPos val="low"/>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88883200"/>
        <c:crosses val="autoZero"/>
        <c:auto val="1"/>
        <c:lblAlgn val="ctr"/>
        <c:lblOffset val="100"/>
        <c:tickLblSkip val="1"/>
        <c:tickMarkSkip val="1"/>
        <c:noMultiLvlLbl val="1"/>
      </c:catAx>
      <c:valAx>
        <c:axId val="88883200"/>
        <c:scaling>
          <c:orientation val="minMax"/>
          <c:max val="28.8"/>
          <c:min val="-1.2"/>
        </c:scaling>
        <c:axPos val="r"/>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88876928"/>
        <c:crosses val="autoZero"/>
        <c:crossBetween val="midCat"/>
        <c:majorUnit val="1.5"/>
      </c:valAx>
      <c:serAx>
        <c:axId val="88850432"/>
        <c:scaling>
          <c:orientation val="maxMin"/>
        </c:scaling>
        <c:axPos val="b"/>
        <c:title>
          <c:tx>
            <c:rich>
              <a:bodyPr/>
              <a:lstStyle/>
              <a:p>
                <a:pPr>
                  <a:defRPr sz="975" b="1" i="0" u="none" strike="noStrike" baseline="0">
                    <a:solidFill>
                      <a:srgbClr val="000000"/>
                    </a:solidFill>
                    <a:latin typeface="Arial"/>
                    <a:ea typeface="Arial"/>
                    <a:cs typeface="Arial"/>
                  </a:defRPr>
                </a:pPr>
                <a:r>
                  <a:rPr lang="en-US"/>
                  <a:t>Load</a:t>
                </a:r>
              </a:p>
            </c:rich>
          </c:tx>
          <c:layout>
            <c:manualLayout>
              <c:xMode val="edge"/>
              <c:yMode val="edge"/>
              <c:x val="0.44833389649440775"/>
              <c:y val="0.90651094184189429"/>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975" b="0" i="0" u="none" strike="noStrike" baseline="0">
                <a:solidFill>
                  <a:srgbClr val="000000"/>
                </a:solidFill>
                <a:latin typeface="Arial"/>
                <a:ea typeface="Arial"/>
                <a:cs typeface="Arial"/>
              </a:defRPr>
            </a:pPr>
            <a:endParaRPr lang="en-US"/>
          </a:p>
        </c:txPr>
        <c:crossAx val="88883200"/>
        <c:crosses val="autoZero"/>
        <c:tickLblSkip val="1"/>
        <c:tickMarkSkip val="1"/>
      </c:serAx>
      <c:spPr>
        <a:no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7.8088185796028289E-2"/>
          <c:y val="3.4225293437247464E-2"/>
          <c:w val="0.80107707842477305"/>
          <c:h val="0.83444524951765242"/>
        </c:manualLayout>
      </c:layout>
      <c:surface3DChart>
        <c:ser>
          <c:idx val="0"/>
          <c:order val="0"/>
          <c:tx>
            <c:strRef>
              <c:f>'MIVEC - 20 Cell'!$W$29</c:f>
              <c:strCache>
                <c:ptCount val="1"/>
                <c:pt idx="0">
                  <c:v>10</c:v>
                </c:pt>
              </c:strCache>
            </c:strRef>
          </c:tx>
          <c:spPr>
            <a:solidFill>
              <a:srgbClr val="9999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Cell'!$W$30:$W$45</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1"/>
          <c:order val="1"/>
          <c:tx>
            <c:strRef>
              <c:f>'MIVEC - 20 Cell'!$X$29</c:f>
              <c:strCache>
                <c:ptCount val="1"/>
                <c:pt idx="0">
                  <c:v>20</c:v>
                </c:pt>
              </c:strCache>
            </c:strRef>
          </c:tx>
          <c:spPr>
            <a:solidFill>
              <a:srgbClr val="993366"/>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Cell'!$X$30:$X$45</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2"/>
          <c:order val="2"/>
          <c:tx>
            <c:strRef>
              <c:f>'MIVEC - 20 Cell'!$Y$29</c:f>
              <c:strCache>
                <c:ptCount val="1"/>
                <c:pt idx="0">
                  <c:v>30</c:v>
                </c:pt>
              </c:strCache>
            </c:strRef>
          </c:tx>
          <c:spPr>
            <a:solidFill>
              <a:srgbClr val="FFFFCC"/>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Cell'!$Y$30:$Y$45</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3"/>
          <c:order val="3"/>
          <c:tx>
            <c:strRef>
              <c:f>'MIVEC - 20 Cell'!$Z$29</c:f>
              <c:strCache>
                <c:ptCount val="1"/>
                <c:pt idx="0">
                  <c:v>40</c:v>
                </c:pt>
              </c:strCache>
            </c:strRef>
          </c:tx>
          <c:spPr>
            <a:solidFill>
              <a:srgbClr val="CCFF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Cell'!$Z$30:$Z$45</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4"/>
          <c:order val="4"/>
          <c:tx>
            <c:strRef>
              <c:f>'MIVEC - 20 Cell'!$AA$29</c:f>
              <c:strCache>
                <c:ptCount val="1"/>
                <c:pt idx="0">
                  <c:v>50</c:v>
                </c:pt>
              </c:strCache>
            </c:strRef>
          </c:tx>
          <c:spPr>
            <a:solidFill>
              <a:srgbClr val="660066"/>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Cell'!$AA$30:$AA$45</c:f>
              <c:numCache>
                <c:formatCode>0.0</c:formatCode>
                <c:ptCount val="16"/>
                <c:pt idx="0">
                  <c:v>0</c:v>
                </c:pt>
                <c:pt idx="1">
                  <c:v>0</c:v>
                </c:pt>
                <c:pt idx="2">
                  <c:v>4.8</c:v>
                </c:pt>
                <c:pt idx="3">
                  <c:v>9.6</c:v>
                </c:pt>
                <c:pt idx="4">
                  <c:v>9.6</c:v>
                </c:pt>
                <c:pt idx="5">
                  <c:v>14.4</c:v>
                </c:pt>
                <c:pt idx="6">
                  <c:v>14.4</c:v>
                </c:pt>
                <c:pt idx="7">
                  <c:v>14.4</c:v>
                </c:pt>
                <c:pt idx="8">
                  <c:v>19.2</c:v>
                </c:pt>
                <c:pt idx="9">
                  <c:v>19.2</c:v>
                </c:pt>
                <c:pt idx="10">
                  <c:v>14.4</c:v>
                </c:pt>
                <c:pt idx="11">
                  <c:v>4.8</c:v>
                </c:pt>
                <c:pt idx="12">
                  <c:v>4.8</c:v>
                </c:pt>
                <c:pt idx="13">
                  <c:v>4.8</c:v>
                </c:pt>
                <c:pt idx="14">
                  <c:v>0</c:v>
                </c:pt>
                <c:pt idx="15">
                  <c:v>0</c:v>
                </c:pt>
              </c:numCache>
            </c:numRef>
          </c:val>
        </c:ser>
        <c:ser>
          <c:idx val="5"/>
          <c:order val="5"/>
          <c:tx>
            <c:strRef>
              <c:f>'MIVEC - 20 Cell'!$AB$29</c:f>
              <c:strCache>
                <c:ptCount val="1"/>
                <c:pt idx="0">
                  <c:v>60</c:v>
                </c:pt>
              </c:strCache>
            </c:strRef>
          </c:tx>
          <c:spPr>
            <a:solidFill>
              <a:srgbClr val="FF808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Cell'!$AB$30:$AB$45</c:f>
              <c:numCache>
                <c:formatCode>0.0</c:formatCode>
                <c:ptCount val="16"/>
                <c:pt idx="0">
                  <c:v>0</c:v>
                </c:pt>
                <c:pt idx="1">
                  <c:v>0</c:v>
                </c:pt>
                <c:pt idx="2">
                  <c:v>4.8</c:v>
                </c:pt>
                <c:pt idx="3">
                  <c:v>14.4</c:v>
                </c:pt>
                <c:pt idx="4">
                  <c:v>14.4</c:v>
                </c:pt>
                <c:pt idx="5">
                  <c:v>19.2</c:v>
                </c:pt>
                <c:pt idx="6">
                  <c:v>19.2</c:v>
                </c:pt>
                <c:pt idx="7">
                  <c:v>19.2</c:v>
                </c:pt>
                <c:pt idx="8">
                  <c:v>19.2</c:v>
                </c:pt>
                <c:pt idx="9">
                  <c:v>19.2</c:v>
                </c:pt>
                <c:pt idx="10">
                  <c:v>14.4</c:v>
                </c:pt>
                <c:pt idx="11">
                  <c:v>14.4</c:v>
                </c:pt>
                <c:pt idx="12">
                  <c:v>9.6</c:v>
                </c:pt>
                <c:pt idx="13">
                  <c:v>4.8</c:v>
                </c:pt>
                <c:pt idx="14">
                  <c:v>0</c:v>
                </c:pt>
                <c:pt idx="15">
                  <c:v>0</c:v>
                </c:pt>
              </c:numCache>
            </c:numRef>
          </c:val>
        </c:ser>
        <c:ser>
          <c:idx val="6"/>
          <c:order val="6"/>
          <c:tx>
            <c:strRef>
              <c:f>'MIVEC - 20 Cell'!$AC$29</c:f>
              <c:strCache>
                <c:ptCount val="1"/>
                <c:pt idx="0">
                  <c:v>70</c:v>
                </c:pt>
              </c:strCache>
            </c:strRef>
          </c:tx>
          <c:spPr>
            <a:solidFill>
              <a:srgbClr val="0066CC"/>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Cell'!$AC$30:$AC$45</c:f>
              <c:numCache>
                <c:formatCode>0.0</c:formatCode>
                <c:ptCount val="16"/>
                <c:pt idx="0">
                  <c:v>0</c:v>
                </c:pt>
                <c:pt idx="1">
                  <c:v>9.6</c:v>
                </c:pt>
                <c:pt idx="2">
                  <c:v>9.6</c:v>
                </c:pt>
                <c:pt idx="3">
                  <c:v>14.4</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7"/>
          <c:order val="7"/>
          <c:tx>
            <c:strRef>
              <c:f>'MIVEC - 20 Cell'!$AD$29</c:f>
              <c:strCache>
                <c:ptCount val="1"/>
                <c:pt idx="0">
                  <c:v>80</c:v>
                </c:pt>
              </c:strCache>
            </c:strRef>
          </c:tx>
          <c:spPr>
            <a:solidFill>
              <a:srgbClr val="CCCC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Cell'!$AD$30:$AD$45</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8"/>
          <c:order val="8"/>
          <c:tx>
            <c:strRef>
              <c:f>'MIVEC - 20 Cell'!$AE$29</c:f>
              <c:strCache>
                <c:ptCount val="1"/>
                <c:pt idx="0">
                  <c:v>90</c:v>
                </c:pt>
              </c:strCache>
            </c:strRef>
          </c:tx>
          <c:spPr>
            <a:solidFill>
              <a:srgbClr val="00008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Cell'!$AE$30:$AE$45</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9"/>
          <c:order val="9"/>
          <c:tx>
            <c:strRef>
              <c:f>'MIVEC - 20 Cell'!$AF$29</c:f>
              <c:strCache>
                <c:ptCount val="1"/>
                <c:pt idx="0">
                  <c:v>100</c:v>
                </c:pt>
              </c:strCache>
            </c:strRef>
          </c:tx>
          <c:spPr>
            <a:solidFill>
              <a:srgbClr val="FF00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Cell'!$AF$30:$AF$45</c:f>
              <c:numCache>
                <c:formatCode>0.0</c:formatCode>
                <c:ptCount val="16"/>
                <c:pt idx="0">
                  <c:v>0</c:v>
                </c:pt>
                <c:pt idx="1">
                  <c:v>9.6</c:v>
                </c:pt>
                <c:pt idx="2">
                  <c:v>19.2</c:v>
                </c:pt>
                <c:pt idx="3">
                  <c:v>19.2</c:v>
                </c:pt>
                <c:pt idx="4">
                  <c:v>19.2</c:v>
                </c:pt>
                <c:pt idx="5">
                  <c:v>19.2</c:v>
                </c:pt>
                <c:pt idx="6">
                  <c:v>19.2</c:v>
                </c:pt>
                <c:pt idx="7">
                  <c:v>14.4</c:v>
                </c:pt>
                <c:pt idx="8">
                  <c:v>19.2</c:v>
                </c:pt>
                <c:pt idx="9">
                  <c:v>14.4</c:v>
                </c:pt>
                <c:pt idx="10">
                  <c:v>14.4</c:v>
                </c:pt>
                <c:pt idx="11">
                  <c:v>14.4</c:v>
                </c:pt>
                <c:pt idx="12">
                  <c:v>9.6</c:v>
                </c:pt>
                <c:pt idx="13">
                  <c:v>4.8</c:v>
                </c:pt>
                <c:pt idx="14">
                  <c:v>0</c:v>
                </c:pt>
                <c:pt idx="15">
                  <c:v>0</c:v>
                </c:pt>
              </c:numCache>
            </c:numRef>
          </c:val>
        </c:ser>
        <c:ser>
          <c:idx val="10"/>
          <c:order val="10"/>
          <c:tx>
            <c:strRef>
              <c:f>'MIVEC - 20 Cell'!$AG$29</c:f>
              <c:strCache>
                <c:ptCount val="1"/>
                <c:pt idx="0">
                  <c:v>120</c:v>
                </c:pt>
              </c:strCache>
            </c:strRef>
          </c:tx>
          <c:spPr>
            <a:solidFill>
              <a:srgbClr val="FFFF0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Cell'!$AG$30:$AG$45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1"/>
          <c:order val="11"/>
          <c:tx>
            <c:strRef>
              <c:f>'MIVEC - 20 Cell'!$AH$29</c:f>
              <c:strCache>
                <c:ptCount val="1"/>
                <c:pt idx="0">
                  <c:v>140</c:v>
                </c:pt>
              </c:strCache>
            </c:strRef>
          </c:tx>
          <c:spPr>
            <a:solidFill>
              <a:srgbClr val="00FF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Cell'!$AH$30:$AH$45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2"/>
          <c:order val="12"/>
          <c:tx>
            <c:strRef>
              <c:f>'MIVEC - 20 Cell'!$AI$29</c:f>
              <c:strCache>
                <c:ptCount val="1"/>
                <c:pt idx="0">
                  <c:v>160</c:v>
                </c:pt>
              </c:strCache>
            </c:strRef>
          </c:tx>
          <c:spPr>
            <a:solidFill>
              <a:srgbClr val="80008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Cell'!$AI$30:$AI$45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3"/>
          <c:order val="13"/>
          <c:tx>
            <c:strRef>
              <c:f>'MIVEC - 20 Cell'!$AJ$29</c:f>
              <c:strCache>
                <c:ptCount val="1"/>
                <c:pt idx="0">
                  <c:v>180</c:v>
                </c:pt>
              </c:strCache>
            </c:strRef>
          </c:tx>
          <c:spPr>
            <a:solidFill>
              <a:srgbClr val="80000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Cell'!$AJ$30:$AJ$45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14.4</c:v>
                </c:pt>
                <c:pt idx="13">
                  <c:v>9.6</c:v>
                </c:pt>
                <c:pt idx="14">
                  <c:v>0</c:v>
                </c:pt>
                <c:pt idx="15">
                  <c:v>0</c:v>
                </c:pt>
              </c:numCache>
            </c:numRef>
          </c:val>
        </c:ser>
        <c:ser>
          <c:idx val="14"/>
          <c:order val="14"/>
          <c:tx>
            <c:strRef>
              <c:f>'MIVEC - 20 Cell'!$AK$29</c:f>
              <c:strCache>
                <c:ptCount val="1"/>
                <c:pt idx="0">
                  <c:v>200</c:v>
                </c:pt>
              </c:strCache>
            </c:strRef>
          </c:tx>
          <c:spPr>
            <a:solidFill>
              <a:srgbClr val="00808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Cell'!$AK$30:$AK$45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5"/>
          <c:order val="15"/>
          <c:tx>
            <c:strRef>
              <c:f>'MIVEC - 20 Cell'!$AL$29</c:f>
              <c:strCache>
                <c:ptCount val="1"/>
                <c:pt idx="0">
                  <c:v>220</c:v>
                </c:pt>
              </c:strCache>
            </c:strRef>
          </c:tx>
          <c:spPr>
            <a:solidFill>
              <a:srgbClr val="0000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Cell'!$AL$30:$AL$45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6"/>
          <c:order val="16"/>
          <c:tx>
            <c:strRef>
              <c:f>'MIVEC - 20 Cell'!$AM$29</c:f>
              <c:strCache>
                <c:ptCount val="1"/>
                <c:pt idx="0">
                  <c:v>240</c:v>
                </c:pt>
              </c:strCache>
            </c:strRef>
          </c:tx>
          <c:spPr>
            <a:solidFill>
              <a:srgbClr val="00CC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Cell'!$AM$30:$AM$45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7"/>
          <c:order val="17"/>
          <c:tx>
            <c:strRef>
              <c:f>'MIVEC - 20 Cell'!$AN$29</c:f>
              <c:strCache>
                <c:ptCount val="1"/>
                <c:pt idx="0">
                  <c:v>260</c:v>
                </c:pt>
              </c:strCache>
            </c:strRef>
          </c:tx>
          <c:spPr>
            <a:solidFill>
              <a:srgbClr val="CCFF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Cell'!$AN$30:$AN$45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8"/>
          <c:order val="18"/>
          <c:tx>
            <c:strRef>
              <c:f>'MIVEC - 20 Cell'!$AO$29</c:f>
              <c:strCache>
                <c:ptCount val="1"/>
                <c:pt idx="0">
                  <c:v>280</c:v>
                </c:pt>
              </c:strCache>
            </c:strRef>
          </c:tx>
          <c:spPr>
            <a:solidFill>
              <a:srgbClr val="CCFFCC"/>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Cell'!$AO$30:$AO$45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9"/>
          <c:order val="19"/>
          <c:tx>
            <c:strRef>
              <c:f>'MIVEC - 20 Cell'!$AP$29</c:f>
              <c:strCache>
                <c:ptCount val="1"/>
                <c:pt idx="0">
                  <c:v>300</c:v>
                </c:pt>
              </c:strCache>
            </c:strRef>
          </c:tx>
          <c:spPr>
            <a:solidFill>
              <a:srgbClr val="FFFF99"/>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Cell'!$AP$30:$AP$45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88982272"/>
        <c:axId val="88984192"/>
        <c:axId val="88938688"/>
      </c:surface3DChart>
      <c:catAx>
        <c:axId val="88982272"/>
        <c:scaling>
          <c:orientation val="maxMin"/>
        </c:scaling>
        <c:axPos val="b"/>
        <c:title>
          <c:tx>
            <c:rich>
              <a:bodyPr rot="5400000" vert="horz"/>
              <a:lstStyle/>
              <a:p>
                <a:pPr algn="ctr">
                  <a:defRPr sz="1000" b="1" i="0" u="none" strike="noStrike" baseline="0">
                    <a:solidFill>
                      <a:srgbClr val="000000"/>
                    </a:solidFill>
                    <a:latin typeface="Arial"/>
                    <a:ea typeface="Arial"/>
                    <a:cs typeface="Arial"/>
                  </a:defRPr>
                </a:pPr>
                <a:r>
                  <a:rPr lang="en-US"/>
                  <a:t>RPM</a:t>
                </a:r>
              </a:p>
            </c:rich>
          </c:tx>
          <c:layout>
            <c:manualLayout>
              <c:xMode val="edge"/>
              <c:yMode val="edge"/>
              <c:x val="0.93975094703774809"/>
              <c:y val="0.41885239954761777"/>
            </c:manualLayout>
          </c:layout>
          <c:spPr>
            <a:noFill/>
            <a:ln w="25400">
              <a:noFill/>
            </a:ln>
          </c:spPr>
        </c:title>
        <c:numFmt formatCode="General" sourceLinked="1"/>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8984192"/>
        <c:crosses val="autoZero"/>
        <c:auto val="1"/>
        <c:lblAlgn val="ctr"/>
        <c:lblOffset val="100"/>
        <c:tickLblSkip val="1"/>
        <c:tickMarkSkip val="1"/>
        <c:noMultiLvlLbl val="1"/>
      </c:catAx>
      <c:valAx>
        <c:axId val="88984192"/>
        <c:scaling>
          <c:orientation val="minMax"/>
          <c:max val="28.8"/>
          <c:min val="-1.2"/>
        </c:scaling>
        <c:axPos val="r"/>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8982272"/>
        <c:crosses val="autoZero"/>
        <c:crossBetween val="midCat"/>
        <c:majorUnit val="1.5"/>
      </c:valAx>
      <c:serAx>
        <c:axId val="88938688"/>
        <c:scaling>
          <c:orientation val="maxMin"/>
        </c:scaling>
        <c:axPos val="b"/>
        <c:title>
          <c:tx>
            <c:rich>
              <a:bodyPr/>
              <a:lstStyle/>
              <a:p>
                <a:pPr>
                  <a:defRPr sz="1000" b="1" i="0" u="none" strike="noStrike" baseline="0">
                    <a:solidFill>
                      <a:srgbClr val="000000"/>
                    </a:solidFill>
                    <a:latin typeface="Arial"/>
                    <a:ea typeface="Arial"/>
                    <a:cs typeface="Arial"/>
                  </a:defRPr>
                </a:pPr>
                <a:r>
                  <a:rPr lang="en-US"/>
                  <a:t>Load</a:t>
                </a:r>
              </a:p>
            </c:rich>
          </c:tx>
          <c:layout>
            <c:manualLayout>
              <c:xMode val="edge"/>
              <c:yMode val="edge"/>
              <c:x val="0.44968021435390981"/>
              <c:y val="0.89474702857264787"/>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88984192"/>
        <c:crosses val="autoZero"/>
        <c:tickLblSkip val="1"/>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6.6529719956580316E-2"/>
          <c:y val="3.4145305074751137E-2"/>
          <c:w val="0.81184786267250131"/>
          <c:h val="0.83601817430813752"/>
        </c:manualLayout>
      </c:layout>
      <c:surface3DChart>
        <c:ser>
          <c:idx val="0"/>
          <c:order val="0"/>
          <c:tx>
            <c:strRef>
              <c:f>'MIVEC - 20 Cell'!$W$5</c:f>
              <c:strCache>
                <c:ptCount val="1"/>
                <c:pt idx="0">
                  <c:v>10</c:v>
                </c:pt>
              </c:strCache>
            </c:strRef>
          </c:tx>
          <c:spPr>
            <a:solidFill>
              <a:srgbClr val="9999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Cell'!$W$6:$W$21</c:f>
              <c:numCache>
                <c:formatCode>0.0</c:formatCode>
                <c:ptCount val="16"/>
                <c:pt idx="0">
                  <c:v>0</c:v>
                </c:pt>
                <c:pt idx="1">
                  <c:v>0</c:v>
                </c:pt>
                <c:pt idx="2">
                  <c:v>1.2000000000000028</c:v>
                </c:pt>
                <c:pt idx="3">
                  <c:v>3.6000000000000085</c:v>
                </c:pt>
                <c:pt idx="4">
                  <c:v>4.7999999999999972</c:v>
                </c:pt>
                <c:pt idx="5">
                  <c:v>6</c:v>
                </c:pt>
                <c:pt idx="6">
                  <c:v>8.4000000000000057</c:v>
                </c:pt>
                <c:pt idx="7">
                  <c:v>9.6000000000000014</c:v>
                </c:pt>
                <c:pt idx="8">
                  <c:v>9.6000000000000014</c:v>
                </c:pt>
                <c:pt idx="9">
                  <c:v>9.6000000000000014</c:v>
                </c:pt>
                <c:pt idx="10">
                  <c:v>8.4000000000000057</c:v>
                </c:pt>
                <c:pt idx="11">
                  <c:v>6</c:v>
                </c:pt>
                <c:pt idx="12">
                  <c:v>4.7999999999999972</c:v>
                </c:pt>
                <c:pt idx="13">
                  <c:v>3.6000000000000085</c:v>
                </c:pt>
                <c:pt idx="14">
                  <c:v>1.2000000000000028</c:v>
                </c:pt>
                <c:pt idx="15">
                  <c:v>0</c:v>
                </c:pt>
              </c:numCache>
            </c:numRef>
          </c:val>
        </c:ser>
        <c:ser>
          <c:idx val="1"/>
          <c:order val="1"/>
          <c:tx>
            <c:strRef>
              <c:f>'MIVEC - 20 Cell'!$X$5</c:f>
              <c:strCache>
                <c:ptCount val="1"/>
                <c:pt idx="0">
                  <c:v>20</c:v>
                </c:pt>
              </c:strCache>
            </c:strRef>
          </c:tx>
          <c:spPr>
            <a:solidFill>
              <a:srgbClr val="993366"/>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Cell'!$X$6:$X$21</c:f>
              <c:numCache>
                <c:formatCode>0.0</c:formatCode>
                <c:ptCount val="16"/>
                <c:pt idx="0">
                  <c:v>0</c:v>
                </c:pt>
                <c:pt idx="1">
                  <c:v>0</c:v>
                </c:pt>
                <c:pt idx="2">
                  <c:v>1.2000000000000028</c:v>
                </c:pt>
                <c:pt idx="3">
                  <c:v>4.2000000000000028</c:v>
                </c:pt>
                <c:pt idx="4">
                  <c:v>6</c:v>
                </c:pt>
                <c:pt idx="5">
                  <c:v>7.2000000000000028</c:v>
                </c:pt>
                <c:pt idx="6">
                  <c:v>10.200000000000003</c:v>
                </c:pt>
                <c:pt idx="7">
                  <c:v>10.200000000000003</c:v>
                </c:pt>
                <c:pt idx="8">
                  <c:v>10.200000000000003</c:v>
                </c:pt>
                <c:pt idx="9">
                  <c:v>9.6000000000000014</c:v>
                </c:pt>
                <c:pt idx="10">
                  <c:v>8.4000000000000057</c:v>
                </c:pt>
                <c:pt idx="11">
                  <c:v>6</c:v>
                </c:pt>
                <c:pt idx="12">
                  <c:v>4.7999999999999972</c:v>
                </c:pt>
                <c:pt idx="13">
                  <c:v>3.6000000000000085</c:v>
                </c:pt>
                <c:pt idx="14">
                  <c:v>1.2000000000000028</c:v>
                </c:pt>
                <c:pt idx="15">
                  <c:v>0</c:v>
                </c:pt>
              </c:numCache>
            </c:numRef>
          </c:val>
        </c:ser>
        <c:ser>
          <c:idx val="2"/>
          <c:order val="2"/>
          <c:tx>
            <c:strRef>
              <c:f>'MIVEC - 20 Cell'!$Y$5</c:f>
              <c:strCache>
                <c:ptCount val="1"/>
                <c:pt idx="0">
                  <c:v>30</c:v>
                </c:pt>
              </c:strCache>
            </c:strRef>
          </c:tx>
          <c:spPr>
            <a:solidFill>
              <a:srgbClr val="FFFFCC"/>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Cell'!$Y$6:$Y$21</c:f>
              <c:numCache>
                <c:formatCode>0.0</c:formatCode>
                <c:ptCount val="16"/>
                <c:pt idx="0">
                  <c:v>0</c:v>
                </c:pt>
                <c:pt idx="1">
                  <c:v>0</c:v>
                </c:pt>
                <c:pt idx="2">
                  <c:v>1.7999999999999972</c:v>
                </c:pt>
                <c:pt idx="3">
                  <c:v>6.6000000000000085</c:v>
                </c:pt>
                <c:pt idx="4">
                  <c:v>9</c:v>
                </c:pt>
                <c:pt idx="5">
                  <c:v>12</c:v>
                </c:pt>
                <c:pt idx="6">
                  <c:v>13.200000000000003</c:v>
                </c:pt>
                <c:pt idx="7">
                  <c:v>12.600000000000001</c:v>
                </c:pt>
                <c:pt idx="8">
                  <c:v>10.200000000000003</c:v>
                </c:pt>
                <c:pt idx="9">
                  <c:v>9.6000000000000014</c:v>
                </c:pt>
                <c:pt idx="10">
                  <c:v>8.4000000000000057</c:v>
                </c:pt>
                <c:pt idx="11">
                  <c:v>6</c:v>
                </c:pt>
                <c:pt idx="12">
                  <c:v>4.7999999999999972</c:v>
                </c:pt>
                <c:pt idx="13">
                  <c:v>3.6000000000000085</c:v>
                </c:pt>
                <c:pt idx="14">
                  <c:v>1.2000000000000028</c:v>
                </c:pt>
                <c:pt idx="15">
                  <c:v>0</c:v>
                </c:pt>
              </c:numCache>
            </c:numRef>
          </c:val>
        </c:ser>
        <c:ser>
          <c:idx val="3"/>
          <c:order val="3"/>
          <c:tx>
            <c:strRef>
              <c:f>'MIVEC - 20 Cell'!$Z$5</c:f>
              <c:strCache>
                <c:ptCount val="1"/>
                <c:pt idx="0">
                  <c:v>40</c:v>
                </c:pt>
              </c:strCache>
            </c:strRef>
          </c:tx>
          <c:spPr>
            <a:solidFill>
              <a:srgbClr val="CCFF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Cell'!$Z$6:$Z$21</c:f>
              <c:numCache>
                <c:formatCode>0.0</c:formatCode>
                <c:ptCount val="16"/>
                <c:pt idx="0">
                  <c:v>0</c:v>
                </c:pt>
                <c:pt idx="1">
                  <c:v>0.60000000000000853</c:v>
                </c:pt>
                <c:pt idx="2">
                  <c:v>2.4000000000000057</c:v>
                </c:pt>
                <c:pt idx="3">
                  <c:v>7.7999999999999972</c:v>
                </c:pt>
                <c:pt idx="4">
                  <c:v>10.800000000000004</c:v>
                </c:pt>
                <c:pt idx="5">
                  <c:v>13.200000000000003</c:v>
                </c:pt>
                <c:pt idx="6">
                  <c:v>14.400000000000006</c:v>
                </c:pt>
                <c:pt idx="7">
                  <c:v>13.800000000000004</c:v>
                </c:pt>
                <c:pt idx="8">
                  <c:v>12</c:v>
                </c:pt>
                <c:pt idx="9">
                  <c:v>11.400000000000006</c:v>
                </c:pt>
                <c:pt idx="10">
                  <c:v>9.6000000000000014</c:v>
                </c:pt>
                <c:pt idx="11">
                  <c:v>6</c:v>
                </c:pt>
                <c:pt idx="12">
                  <c:v>4.7999999999999972</c:v>
                </c:pt>
                <c:pt idx="13">
                  <c:v>3.6000000000000085</c:v>
                </c:pt>
                <c:pt idx="14">
                  <c:v>1.2000000000000028</c:v>
                </c:pt>
                <c:pt idx="15">
                  <c:v>0</c:v>
                </c:pt>
              </c:numCache>
            </c:numRef>
          </c:val>
        </c:ser>
        <c:ser>
          <c:idx val="4"/>
          <c:order val="4"/>
          <c:tx>
            <c:strRef>
              <c:f>'MIVEC - 20 Cell'!$AA$5</c:f>
              <c:strCache>
                <c:ptCount val="1"/>
                <c:pt idx="0">
                  <c:v>50</c:v>
                </c:pt>
              </c:strCache>
            </c:strRef>
          </c:tx>
          <c:spPr>
            <a:solidFill>
              <a:srgbClr val="660066"/>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Cell'!$AA$6:$AA$21</c:f>
              <c:numCache>
                <c:formatCode>0.0</c:formatCode>
                <c:ptCount val="16"/>
                <c:pt idx="0">
                  <c:v>0</c:v>
                </c:pt>
                <c:pt idx="1">
                  <c:v>0.60000000000000853</c:v>
                </c:pt>
                <c:pt idx="2">
                  <c:v>4.7999999999999972</c:v>
                </c:pt>
                <c:pt idx="3">
                  <c:v>9</c:v>
                </c:pt>
                <c:pt idx="4">
                  <c:v>12</c:v>
                </c:pt>
                <c:pt idx="5">
                  <c:v>14.400000000000006</c:v>
                </c:pt>
                <c:pt idx="6">
                  <c:v>15.600000000000001</c:v>
                </c:pt>
                <c:pt idx="7">
                  <c:v>15.600000000000001</c:v>
                </c:pt>
                <c:pt idx="8">
                  <c:v>16.800000000000004</c:v>
                </c:pt>
                <c:pt idx="9">
                  <c:v>16.200000000000003</c:v>
                </c:pt>
                <c:pt idx="10">
                  <c:v>13.200000000000003</c:v>
                </c:pt>
                <c:pt idx="11">
                  <c:v>7.7999999999999972</c:v>
                </c:pt>
                <c:pt idx="12">
                  <c:v>6</c:v>
                </c:pt>
                <c:pt idx="13">
                  <c:v>4.2000000000000028</c:v>
                </c:pt>
                <c:pt idx="14">
                  <c:v>1.2000000000000028</c:v>
                </c:pt>
                <c:pt idx="15">
                  <c:v>0</c:v>
                </c:pt>
              </c:numCache>
            </c:numRef>
          </c:val>
        </c:ser>
        <c:ser>
          <c:idx val="5"/>
          <c:order val="5"/>
          <c:tx>
            <c:strRef>
              <c:f>'MIVEC - 20 Cell'!$AB$5</c:f>
              <c:strCache>
                <c:ptCount val="1"/>
                <c:pt idx="0">
                  <c:v>60</c:v>
                </c:pt>
              </c:strCache>
            </c:strRef>
          </c:tx>
          <c:spPr>
            <a:solidFill>
              <a:srgbClr val="FF808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Cell'!$AB$6:$AB$21</c:f>
              <c:numCache>
                <c:formatCode>0.0</c:formatCode>
                <c:ptCount val="16"/>
                <c:pt idx="0">
                  <c:v>1.2000000000000028</c:v>
                </c:pt>
                <c:pt idx="1">
                  <c:v>2.4000000000000057</c:v>
                </c:pt>
                <c:pt idx="2">
                  <c:v>6.6000000000000085</c:v>
                </c:pt>
                <c:pt idx="3">
                  <c:v>12</c:v>
                </c:pt>
                <c:pt idx="4">
                  <c:v>15</c:v>
                </c:pt>
                <c:pt idx="5">
                  <c:v>17.399999999999999</c:v>
                </c:pt>
                <c:pt idx="6">
                  <c:v>18</c:v>
                </c:pt>
                <c:pt idx="7">
                  <c:v>18.600000000000001</c:v>
                </c:pt>
                <c:pt idx="8">
                  <c:v>18.600000000000001</c:v>
                </c:pt>
                <c:pt idx="9">
                  <c:v>18.600000000000001</c:v>
                </c:pt>
                <c:pt idx="10">
                  <c:v>15</c:v>
                </c:pt>
                <c:pt idx="11">
                  <c:v>12.600000000000001</c:v>
                </c:pt>
                <c:pt idx="12">
                  <c:v>8.4000000000000057</c:v>
                </c:pt>
                <c:pt idx="13">
                  <c:v>4.2000000000000028</c:v>
                </c:pt>
                <c:pt idx="14">
                  <c:v>1.2000000000000028</c:v>
                </c:pt>
                <c:pt idx="15">
                  <c:v>0</c:v>
                </c:pt>
              </c:numCache>
            </c:numRef>
          </c:val>
        </c:ser>
        <c:ser>
          <c:idx val="6"/>
          <c:order val="6"/>
          <c:tx>
            <c:strRef>
              <c:f>'MIVEC - 20 Cell'!$AC$5</c:f>
              <c:strCache>
                <c:ptCount val="1"/>
                <c:pt idx="0">
                  <c:v>70</c:v>
                </c:pt>
              </c:strCache>
            </c:strRef>
          </c:tx>
          <c:spPr>
            <a:solidFill>
              <a:srgbClr val="0066CC"/>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Cell'!$AC$6:$AC$21</c:f>
              <c:numCache>
                <c:formatCode>0.0</c:formatCode>
                <c:ptCount val="16"/>
                <c:pt idx="0">
                  <c:v>1.7999999999999972</c:v>
                </c:pt>
                <c:pt idx="1">
                  <c:v>7.2000000000000028</c:v>
                </c:pt>
                <c:pt idx="2">
                  <c:v>10.800000000000004</c:v>
                </c:pt>
                <c:pt idx="3">
                  <c:v>15</c:v>
                </c:pt>
                <c:pt idx="4">
                  <c:v>18</c:v>
                </c:pt>
                <c:pt idx="5">
                  <c:v>18.600000000000001</c:v>
                </c:pt>
                <c:pt idx="6">
                  <c:v>19.200000000000003</c:v>
                </c:pt>
                <c:pt idx="7">
                  <c:v>19.200000000000003</c:v>
                </c:pt>
                <c:pt idx="8">
                  <c:v>19.200000000000003</c:v>
                </c:pt>
                <c:pt idx="9">
                  <c:v>18.600000000000001</c:v>
                </c:pt>
                <c:pt idx="10">
                  <c:v>18</c:v>
                </c:pt>
                <c:pt idx="11">
                  <c:v>13.800000000000004</c:v>
                </c:pt>
                <c:pt idx="12">
                  <c:v>9.6000000000000014</c:v>
                </c:pt>
                <c:pt idx="13">
                  <c:v>4.7999999999999972</c:v>
                </c:pt>
                <c:pt idx="14">
                  <c:v>1.2000000000000028</c:v>
                </c:pt>
                <c:pt idx="15">
                  <c:v>0</c:v>
                </c:pt>
              </c:numCache>
            </c:numRef>
          </c:val>
        </c:ser>
        <c:ser>
          <c:idx val="7"/>
          <c:order val="7"/>
          <c:tx>
            <c:strRef>
              <c:f>'MIVEC - 20 Cell'!$AD$5</c:f>
              <c:strCache>
                <c:ptCount val="1"/>
                <c:pt idx="0">
                  <c:v>80</c:v>
                </c:pt>
              </c:strCache>
            </c:strRef>
          </c:tx>
          <c:spPr>
            <a:solidFill>
              <a:srgbClr val="CCCC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Cell'!$AD$6:$AD$21</c:f>
              <c:numCache>
                <c:formatCode>0.0</c:formatCode>
                <c:ptCount val="16"/>
                <c:pt idx="0">
                  <c:v>3</c:v>
                </c:pt>
                <c:pt idx="1">
                  <c:v>9</c:v>
                </c:pt>
                <c:pt idx="2">
                  <c:v>15.600000000000001</c:v>
                </c:pt>
                <c:pt idx="3">
                  <c:v>18</c:v>
                </c:pt>
                <c:pt idx="4">
                  <c:v>18.600000000000001</c:v>
                </c:pt>
                <c:pt idx="5">
                  <c:v>19.200000000000003</c:v>
                </c:pt>
                <c:pt idx="6">
                  <c:v>19.200000000000003</c:v>
                </c:pt>
                <c:pt idx="7">
                  <c:v>19.200000000000003</c:v>
                </c:pt>
                <c:pt idx="8">
                  <c:v>19.200000000000003</c:v>
                </c:pt>
                <c:pt idx="9">
                  <c:v>19.200000000000003</c:v>
                </c:pt>
                <c:pt idx="10">
                  <c:v>18</c:v>
                </c:pt>
                <c:pt idx="11">
                  <c:v>14.400000000000006</c:v>
                </c:pt>
                <c:pt idx="12">
                  <c:v>9.6000000000000014</c:v>
                </c:pt>
                <c:pt idx="13">
                  <c:v>4.7999999999999972</c:v>
                </c:pt>
                <c:pt idx="14">
                  <c:v>1.2000000000000028</c:v>
                </c:pt>
                <c:pt idx="15">
                  <c:v>0</c:v>
                </c:pt>
              </c:numCache>
            </c:numRef>
          </c:val>
        </c:ser>
        <c:ser>
          <c:idx val="8"/>
          <c:order val="8"/>
          <c:tx>
            <c:strRef>
              <c:f>'MIVEC - 20 Cell'!$AE$5</c:f>
              <c:strCache>
                <c:ptCount val="1"/>
                <c:pt idx="0">
                  <c:v>90</c:v>
                </c:pt>
              </c:strCache>
            </c:strRef>
          </c:tx>
          <c:spPr>
            <a:solidFill>
              <a:srgbClr val="00008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Cell'!$AE$6:$AE$21</c:f>
              <c:numCache>
                <c:formatCode>0.0</c:formatCode>
                <c:ptCount val="16"/>
                <c:pt idx="0">
                  <c:v>3</c:v>
                </c:pt>
                <c:pt idx="1">
                  <c:v>9.6000000000000014</c:v>
                </c:pt>
                <c:pt idx="2">
                  <c:v>16.800000000000004</c:v>
                </c:pt>
                <c:pt idx="3">
                  <c:v>19.200000000000003</c:v>
                </c:pt>
                <c:pt idx="4">
                  <c:v>19.200000000000003</c:v>
                </c:pt>
                <c:pt idx="5">
                  <c:v>19.200000000000003</c:v>
                </c:pt>
                <c:pt idx="6">
                  <c:v>18.600000000000001</c:v>
                </c:pt>
                <c:pt idx="7">
                  <c:v>18.600000000000001</c:v>
                </c:pt>
                <c:pt idx="8">
                  <c:v>18.600000000000001</c:v>
                </c:pt>
                <c:pt idx="9">
                  <c:v>18.600000000000001</c:v>
                </c:pt>
                <c:pt idx="10">
                  <c:v>17.399999999999999</c:v>
                </c:pt>
                <c:pt idx="11">
                  <c:v>13.800000000000004</c:v>
                </c:pt>
                <c:pt idx="12">
                  <c:v>9.6000000000000014</c:v>
                </c:pt>
                <c:pt idx="13">
                  <c:v>4.7999999999999972</c:v>
                </c:pt>
                <c:pt idx="14">
                  <c:v>1.2000000000000028</c:v>
                </c:pt>
                <c:pt idx="15">
                  <c:v>0</c:v>
                </c:pt>
              </c:numCache>
            </c:numRef>
          </c:val>
        </c:ser>
        <c:ser>
          <c:idx val="9"/>
          <c:order val="9"/>
          <c:tx>
            <c:strRef>
              <c:f>'MIVEC - 20 Cell'!$AF$5</c:f>
              <c:strCache>
                <c:ptCount val="1"/>
                <c:pt idx="0">
                  <c:v>100</c:v>
                </c:pt>
              </c:strCache>
            </c:strRef>
          </c:tx>
          <c:spPr>
            <a:solidFill>
              <a:srgbClr val="FF00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Cell'!$AF$6:$AF$21</c:f>
              <c:numCache>
                <c:formatCode>0.0</c:formatCode>
                <c:ptCount val="16"/>
                <c:pt idx="0">
                  <c:v>3</c:v>
                </c:pt>
                <c:pt idx="1">
                  <c:v>9.6000000000000014</c:v>
                </c:pt>
                <c:pt idx="2">
                  <c:v>16.800000000000004</c:v>
                </c:pt>
                <c:pt idx="3">
                  <c:v>19.200000000000003</c:v>
                </c:pt>
                <c:pt idx="4">
                  <c:v>18.600000000000001</c:v>
                </c:pt>
                <c:pt idx="5">
                  <c:v>18.600000000000001</c:v>
                </c:pt>
                <c:pt idx="6">
                  <c:v>18</c:v>
                </c:pt>
                <c:pt idx="7">
                  <c:v>16.800000000000004</c:v>
                </c:pt>
                <c:pt idx="8">
                  <c:v>18</c:v>
                </c:pt>
                <c:pt idx="9">
                  <c:v>16.200000000000003</c:v>
                </c:pt>
                <c:pt idx="10">
                  <c:v>15</c:v>
                </c:pt>
                <c:pt idx="11">
                  <c:v>13.800000000000004</c:v>
                </c:pt>
                <c:pt idx="12">
                  <c:v>10.200000000000003</c:v>
                </c:pt>
                <c:pt idx="13">
                  <c:v>5.4000000000000057</c:v>
                </c:pt>
                <c:pt idx="14">
                  <c:v>1.2000000000000028</c:v>
                </c:pt>
                <c:pt idx="15">
                  <c:v>0</c:v>
                </c:pt>
              </c:numCache>
            </c:numRef>
          </c:val>
        </c:ser>
        <c:ser>
          <c:idx val="10"/>
          <c:order val="10"/>
          <c:tx>
            <c:strRef>
              <c:f>'MIVEC - 20 Cell'!$AG$5</c:f>
              <c:strCache>
                <c:ptCount val="1"/>
                <c:pt idx="0">
                  <c:v>120</c:v>
                </c:pt>
              </c:strCache>
            </c:strRef>
          </c:tx>
          <c:spPr>
            <a:solidFill>
              <a:srgbClr val="FFFF0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Cell'!$AG$6:$AG$21</c:f>
              <c:numCache>
                <c:formatCode>0.0</c:formatCode>
                <c:ptCount val="16"/>
                <c:pt idx="0">
                  <c:v>3</c:v>
                </c:pt>
                <c:pt idx="1">
                  <c:v>9.6000000000000014</c:v>
                </c:pt>
                <c:pt idx="2">
                  <c:v>16.800000000000004</c:v>
                </c:pt>
                <c:pt idx="3">
                  <c:v>19.200000000000003</c:v>
                </c:pt>
                <c:pt idx="4">
                  <c:v>18.600000000000001</c:v>
                </c:pt>
                <c:pt idx="5">
                  <c:v>16.200000000000003</c:v>
                </c:pt>
                <c:pt idx="6">
                  <c:v>15</c:v>
                </c:pt>
                <c:pt idx="7">
                  <c:v>15.600000000000001</c:v>
                </c:pt>
                <c:pt idx="8">
                  <c:v>16.800000000000004</c:v>
                </c:pt>
                <c:pt idx="9">
                  <c:v>15.600000000000001</c:v>
                </c:pt>
                <c:pt idx="10">
                  <c:v>14.400000000000006</c:v>
                </c:pt>
                <c:pt idx="11">
                  <c:v>13.200000000000003</c:v>
                </c:pt>
                <c:pt idx="12">
                  <c:v>10.200000000000003</c:v>
                </c:pt>
                <c:pt idx="13">
                  <c:v>7.2000000000000028</c:v>
                </c:pt>
                <c:pt idx="14">
                  <c:v>1.7999999999999972</c:v>
                </c:pt>
                <c:pt idx="15">
                  <c:v>0</c:v>
                </c:pt>
              </c:numCache>
            </c:numRef>
          </c:val>
        </c:ser>
        <c:ser>
          <c:idx val="11"/>
          <c:order val="11"/>
          <c:tx>
            <c:strRef>
              <c:f>'MIVEC - 20 Cell'!$AH$5</c:f>
              <c:strCache>
                <c:ptCount val="1"/>
                <c:pt idx="0">
                  <c:v>140</c:v>
                </c:pt>
              </c:strCache>
            </c:strRef>
          </c:tx>
          <c:spPr>
            <a:solidFill>
              <a:srgbClr val="00FF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Cell'!$AH$6:$AH$21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16.800000000000004</c:v>
                </c:pt>
                <c:pt idx="9">
                  <c:v>15.600000000000001</c:v>
                </c:pt>
                <c:pt idx="10">
                  <c:v>14.400000000000006</c:v>
                </c:pt>
                <c:pt idx="11">
                  <c:v>13.200000000000003</c:v>
                </c:pt>
                <c:pt idx="12">
                  <c:v>10.800000000000004</c:v>
                </c:pt>
                <c:pt idx="13">
                  <c:v>7.2000000000000028</c:v>
                </c:pt>
                <c:pt idx="14">
                  <c:v>2.4000000000000057</c:v>
                </c:pt>
                <c:pt idx="15">
                  <c:v>0</c:v>
                </c:pt>
              </c:numCache>
            </c:numRef>
          </c:val>
        </c:ser>
        <c:ser>
          <c:idx val="12"/>
          <c:order val="12"/>
          <c:tx>
            <c:strRef>
              <c:f>'MIVEC - 20 Cell'!$AI$5</c:f>
              <c:strCache>
                <c:ptCount val="1"/>
                <c:pt idx="0">
                  <c:v>160</c:v>
                </c:pt>
              </c:strCache>
            </c:strRef>
          </c:tx>
          <c:spPr>
            <a:solidFill>
              <a:srgbClr val="80008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Cell'!$AI$6:$AI$21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16.800000000000004</c:v>
                </c:pt>
                <c:pt idx="9">
                  <c:v>15.600000000000001</c:v>
                </c:pt>
                <c:pt idx="10">
                  <c:v>14.400000000000006</c:v>
                </c:pt>
                <c:pt idx="11">
                  <c:v>13.800000000000004</c:v>
                </c:pt>
                <c:pt idx="12">
                  <c:v>10.800000000000004</c:v>
                </c:pt>
                <c:pt idx="13">
                  <c:v>7.7999999999999972</c:v>
                </c:pt>
                <c:pt idx="14">
                  <c:v>2.4000000000000057</c:v>
                </c:pt>
                <c:pt idx="15">
                  <c:v>0</c:v>
                </c:pt>
              </c:numCache>
            </c:numRef>
          </c:val>
        </c:ser>
        <c:ser>
          <c:idx val="13"/>
          <c:order val="13"/>
          <c:tx>
            <c:strRef>
              <c:f>'MIVEC - 20 Cell'!$AJ$5</c:f>
              <c:strCache>
                <c:ptCount val="1"/>
                <c:pt idx="0">
                  <c:v>180</c:v>
                </c:pt>
              </c:strCache>
            </c:strRef>
          </c:tx>
          <c:spPr>
            <a:solidFill>
              <a:srgbClr val="80000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Cell'!$AJ$6:$AJ$21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18</c:v>
                </c:pt>
                <c:pt idx="9">
                  <c:v>16.800000000000004</c:v>
                </c:pt>
                <c:pt idx="10">
                  <c:v>16.800000000000004</c:v>
                </c:pt>
                <c:pt idx="11">
                  <c:v>15.600000000000001</c:v>
                </c:pt>
                <c:pt idx="12">
                  <c:v>13.800000000000004</c:v>
                </c:pt>
                <c:pt idx="13">
                  <c:v>8.4000000000000057</c:v>
                </c:pt>
                <c:pt idx="14">
                  <c:v>2.4000000000000057</c:v>
                </c:pt>
                <c:pt idx="15">
                  <c:v>0</c:v>
                </c:pt>
              </c:numCache>
            </c:numRef>
          </c:val>
        </c:ser>
        <c:ser>
          <c:idx val="14"/>
          <c:order val="14"/>
          <c:tx>
            <c:strRef>
              <c:f>'MIVEC - 20 Cell'!$AK$5</c:f>
              <c:strCache>
                <c:ptCount val="1"/>
                <c:pt idx="0">
                  <c:v>200</c:v>
                </c:pt>
              </c:strCache>
            </c:strRef>
          </c:tx>
          <c:spPr>
            <a:solidFill>
              <a:srgbClr val="00808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Cell'!$AK$6:$AK$21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18.600000000000001</c:v>
                </c:pt>
                <c:pt idx="9">
                  <c:v>21.6</c:v>
                </c:pt>
                <c:pt idx="10">
                  <c:v>21.6</c:v>
                </c:pt>
                <c:pt idx="11">
                  <c:v>21</c:v>
                </c:pt>
                <c:pt idx="12">
                  <c:v>16.800000000000004</c:v>
                </c:pt>
                <c:pt idx="13">
                  <c:v>9</c:v>
                </c:pt>
                <c:pt idx="14">
                  <c:v>2.4000000000000057</c:v>
                </c:pt>
                <c:pt idx="15">
                  <c:v>0</c:v>
                </c:pt>
              </c:numCache>
            </c:numRef>
          </c:val>
        </c:ser>
        <c:ser>
          <c:idx val="15"/>
          <c:order val="15"/>
          <c:tx>
            <c:strRef>
              <c:f>'MIVEC - 20 Cell'!$AL$5</c:f>
              <c:strCache>
                <c:ptCount val="1"/>
                <c:pt idx="0">
                  <c:v>220</c:v>
                </c:pt>
              </c:strCache>
            </c:strRef>
          </c:tx>
          <c:spPr>
            <a:solidFill>
              <a:srgbClr val="0000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Cell'!$AL$6:$AL$21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6"/>
          <c:order val="16"/>
          <c:tx>
            <c:strRef>
              <c:f>'MIVEC - 20 Cell'!$AM$5</c:f>
              <c:strCache>
                <c:ptCount val="1"/>
                <c:pt idx="0">
                  <c:v>240</c:v>
                </c:pt>
              </c:strCache>
            </c:strRef>
          </c:tx>
          <c:spPr>
            <a:solidFill>
              <a:srgbClr val="00CC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Cell'!$AM$6:$AM$21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7"/>
          <c:order val="17"/>
          <c:tx>
            <c:strRef>
              <c:f>'MIVEC - 20 Cell'!$AN$5</c:f>
              <c:strCache>
                <c:ptCount val="1"/>
                <c:pt idx="0">
                  <c:v>260</c:v>
                </c:pt>
              </c:strCache>
            </c:strRef>
          </c:tx>
          <c:spPr>
            <a:solidFill>
              <a:srgbClr val="CCFF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Cell'!$AN$6:$AN$21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8"/>
          <c:order val="18"/>
          <c:tx>
            <c:strRef>
              <c:f>'MIVEC - 20 Cell'!$AO$5</c:f>
              <c:strCache>
                <c:ptCount val="1"/>
                <c:pt idx="0">
                  <c:v>280</c:v>
                </c:pt>
              </c:strCache>
            </c:strRef>
          </c:tx>
          <c:spPr>
            <a:solidFill>
              <a:srgbClr val="CCFFCC"/>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Cell'!$AO$6:$AO$21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9"/>
          <c:order val="19"/>
          <c:tx>
            <c:strRef>
              <c:f>'MIVEC - 20 Cell'!$AP$5</c:f>
              <c:strCache>
                <c:ptCount val="1"/>
                <c:pt idx="0">
                  <c:v>300</c:v>
                </c:pt>
              </c:strCache>
            </c:strRef>
          </c:tx>
          <c:spPr>
            <a:solidFill>
              <a:srgbClr val="FFFF99"/>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Cell'!$AP$6:$AP$21</c:f>
              <c:numCache>
                <c:formatCode>0.0</c:formatCode>
                <c:ptCount val="16"/>
                <c:pt idx="0">
                  <c:v>2.4000000000000057</c:v>
                </c:pt>
                <c:pt idx="1">
                  <c:v>9.6000000000000014</c:v>
                </c:pt>
                <c:pt idx="2">
                  <c:v>17.399999999999999</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1.7999999999999972</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89398272"/>
        <c:axId val="89420928"/>
        <c:axId val="89387456"/>
      </c:surface3DChart>
      <c:catAx>
        <c:axId val="89398272"/>
        <c:scaling>
          <c:orientation val="maxMin"/>
        </c:scaling>
        <c:axPos val="b"/>
        <c:title>
          <c:tx>
            <c:rich>
              <a:bodyPr rot="5400000" vert="horz"/>
              <a:lstStyle/>
              <a:p>
                <a:pPr algn="ctr">
                  <a:defRPr sz="950" b="1" i="0" u="none" strike="noStrike" baseline="0">
                    <a:solidFill>
                      <a:srgbClr val="000000"/>
                    </a:solidFill>
                    <a:latin typeface="Arial"/>
                    <a:ea typeface="Arial"/>
                    <a:cs typeface="Arial"/>
                  </a:defRPr>
                </a:pPr>
                <a:r>
                  <a:rPr lang="en-US"/>
                  <a:t>RPM</a:t>
                </a:r>
              </a:p>
            </c:rich>
          </c:tx>
          <c:layout>
            <c:manualLayout>
              <c:xMode val="edge"/>
              <c:yMode val="edge"/>
              <c:x val="0.94109727668956911"/>
              <c:y val="0.41635691199757086"/>
            </c:manualLayout>
          </c:layout>
          <c:spPr>
            <a:noFill/>
            <a:ln w="25400">
              <a:noFill/>
            </a:ln>
          </c:spPr>
        </c:title>
        <c:numFmt formatCode="General" sourceLinked="1"/>
        <c:tickLblPos val="low"/>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89420928"/>
        <c:crosses val="autoZero"/>
        <c:auto val="1"/>
        <c:lblAlgn val="ctr"/>
        <c:lblOffset val="100"/>
        <c:tickLblSkip val="1"/>
        <c:tickMarkSkip val="1"/>
        <c:noMultiLvlLbl val="1"/>
      </c:catAx>
      <c:valAx>
        <c:axId val="89420928"/>
        <c:scaling>
          <c:orientation val="minMax"/>
          <c:max val="28.8"/>
          <c:min val="-1.2"/>
        </c:scaling>
        <c:axPos val="r"/>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89398272"/>
        <c:crosses val="autoZero"/>
        <c:crossBetween val="midCat"/>
        <c:majorUnit val="1.5"/>
      </c:valAx>
      <c:serAx>
        <c:axId val="89387456"/>
        <c:scaling>
          <c:orientation val="maxMin"/>
        </c:scaling>
        <c:axPos val="b"/>
        <c:title>
          <c:tx>
            <c:rich>
              <a:bodyPr/>
              <a:lstStyle/>
              <a:p>
                <a:pPr>
                  <a:defRPr sz="950" b="1" i="0" u="none" strike="noStrike" baseline="0">
                    <a:solidFill>
                      <a:srgbClr val="000000"/>
                    </a:solidFill>
                    <a:latin typeface="Arial"/>
                    <a:ea typeface="Arial"/>
                    <a:cs typeface="Arial"/>
                  </a:defRPr>
                </a:pPr>
                <a:r>
                  <a:rPr lang="en-US"/>
                  <a:t>Load</a:t>
                </a:r>
              </a:p>
            </c:rich>
          </c:tx>
          <c:layout>
            <c:manualLayout>
              <c:xMode val="edge"/>
              <c:yMode val="edge"/>
              <c:x val="0.44564113328486737"/>
              <c:y val="0.90375870371575451"/>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89420928"/>
        <c:crosses val="autoZero"/>
        <c:tickLblSkip val="1"/>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view3D>
      <c:rotX val="50"/>
      <c:hPercent val="100"/>
      <c:rotY val="198"/>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8.8158984861740772E-2"/>
          <c:y val="1.0253123998718364E-2"/>
          <c:w val="0.82453355735836054"/>
          <c:h val="0.9112463953860942"/>
        </c:manualLayout>
      </c:layout>
      <c:surface3DChart>
        <c:ser>
          <c:idx val="0"/>
          <c:order val="0"/>
          <c:tx>
            <c:strRef>
              <c:f>'MIVEC - 20 Cell'!$W$5</c:f>
              <c:strCache>
                <c:ptCount val="1"/>
                <c:pt idx="0">
                  <c:v>10</c:v>
                </c:pt>
              </c:strCache>
            </c:strRef>
          </c:tx>
          <c:spPr>
            <a:solidFill>
              <a:srgbClr val="9999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Cell'!$W$6:$W$21</c:f>
              <c:numCache>
                <c:formatCode>0.0</c:formatCode>
                <c:ptCount val="16"/>
                <c:pt idx="0">
                  <c:v>0</c:v>
                </c:pt>
                <c:pt idx="1">
                  <c:v>0</c:v>
                </c:pt>
                <c:pt idx="2">
                  <c:v>1.2000000000000028</c:v>
                </c:pt>
                <c:pt idx="3">
                  <c:v>3.6000000000000085</c:v>
                </c:pt>
                <c:pt idx="4">
                  <c:v>4.7999999999999972</c:v>
                </c:pt>
                <c:pt idx="5">
                  <c:v>6</c:v>
                </c:pt>
                <c:pt idx="6">
                  <c:v>8.4000000000000057</c:v>
                </c:pt>
                <c:pt idx="7">
                  <c:v>9.6000000000000014</c:v>
                </c:pt>
                <c:pt idx="8">
                  <c:v>9.6000000000000014</c:v>
                </c:pt>
                <c:pt idx="9">
                  <c:v>9.6000000000000014</c:v>
                </c:pt>
                <c:pt idx="10">
                  <c:v>8.4000000000000057</c:v>
                </c:pt>
                <c:pt idx="11">
                  <c:v>6</c:v>
                </c:pt>
                <c:pt idx="12">
                  <c:v>4.7999999999999972</c:v>
                </c:pt>
                <c:pt idx="13">
                  <c:v>3.6000000000000085</c:v>
                </c:pt>
                <c:pt idx="14">
                  <c:v>1.2000000000000028</c:v>
                </c:pt>
                <c:pt idx="15">
                  <c:v>0</c:v>
                </c:pt>
              </c:numCache>
            </c:numRef>
          </c:val>
        </c:ser>
        <c:ser>
          <c:idx val="1"/>
          <c:order val="1"/>
          <c:tx>
            <c:strRef>
              <c:f>'MIVEC - 20 Cell'!$X$5</c:f>
              <c:strCache>
                <c:ptCount val="1"/>
                <c:pt idx="0">
                  <c:v>20</c:v>
                </c:pt>
              </c:strCache>
            </c:strRef>
          </c:tx>
          <c:spPr>
            <a:solidFill>
              <a:srgbClr val="993366"/>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Cell'!$X$6:$X$21</c:f>
              <c:numCache>
                <c:formatCode>0.0</c:formatCode>
                <c:ptCount val="16"/>
                <c:pt idx="0">
                  <c:v>0</c:v>
                </c:pt>
                <c:pt idx="1">
                  <c:v>0</c:v>
                </c:pt>
                <c:pt idx="2">
                  <c:v>1.2000000000000028</c:v>
                </c:pt>
                <c:pt idx="3">
                  <c:v>4.2000000000000028</c:v>
                </c:pt>
                <c:pt idx="4">
                  <c:v>6</c:v>
                </c:pt>
                <c:pt idx="5">
                  <c:v>7.2000000000000028</c:v>
                </c:pt>
                <c:pt idx="6">
                  <c:v>10.200000000000003</c:v>
                </c:pt>
                <c:pt idx="7">
                  <c:v>10.200000000000003</c:v>
                </c:pt>
                <c:pt idx="8">
                  <c:v>10.200000000000003</c:v>
                </c:pt>
                <c:pt idx="9">
                  <c:v>9.6000000000000014</c:v>
                </c:pt>
                <c:pt idx="10">
                  <c:v>8.4000000000000057</c:v>
                </c:pt>
                <c:pt idx="11">
                  <c:v>6</c:v>
                </c:pt>
                <c:pt idx="12">
                  <c:v>4.7999999999999972</c:v>
                </c:pt>
                <c:pt idx="13">
                  <c:v>3.6000000000000085</c:v>
                </c:pt>
                <c:pt idx="14">
                  <c:v>1.2000000000000028</c:v>
                </c:pt>
                <c:pt idx="15">
                  <c:v>0</c:v>
                </c:pt>
              </c:numCache>
            </c:numRef>
          </c:val>
        </c:ser>
        <c:ser>
          <c:idx val="2"/>
          <c:order val="2"/>
          <c:tx>
            <c:strRef>
              <c:f>'MIVEC - 20 Cell'!$Y$5</c:f>
              <c:strCache>
                <c:ptCount val="1"/>
                <c:pt idx="0">
                  <c:v>30</c:v>
                </c:pt>
              </c:strCache>
            </c:strRef>
          </c:tx>
          <c:spPr>
            <a:solidFill>
              <a:srgbClr val="FFFFCC"/>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Cell'!$Y$6:$Y$21</c:f>
              <c:numCache>
                <c:formatCode>0.0</c:formatCode>
                <c:ptCount val="16"/>
                <c:pt idx="0">
                  <c:v>0</c:v>
                </c:pt>
                <c:pt idx="1">
                  <c:v>0</c:v>
                </c:pt>
                <c:pt idx="2">
                  <c:v>1.7999999999999972</c:v>
                </c:pt>
                <c:pt idx="3">
                  <c:v>6.6000000000000085</c:v>
                </c:pt>
                <c:pt idx="4">
                  <c:v>9</c:v>
                </c:pt>
                <c:pt idx="5">
                  <c:v>12</c:v>
                </c:pt>
                <c:pt idx="6">
                  <c:v>13.200000000000003</c:v>
                </c:pt>
                <c:pt idx="7">
                  <c:v>12.600000000000001</c:v>
                </c:pt>
                <c:pt idx="8">
                  <c:v>10.200000000000003</c:v>
                </c:pt>
                <c:pt idx="9">
                  <c:v>9.6000000000000014</c:v>
                </c:pt>
                <c:pt idx="10">
                  <c:v>8.4000000000000057</c:v>
                </c:pt>
                <c:pt idx="11">
                  <c:v>6</c:v>
                </c:pt>
                <c:pt idx="12">
                  <c:v>4.7999999999999972</c:v>
                </c:pt>
                <c:pt idx="13">
                  <c:v>3.6000000000000085</c:v>
                </c:pt>
                <c:pt idx="14">
                  <c:v>1.2000000000000028</c:v>
                </c:pt>
                <c:pt idx="15">
                  <c:v>0</c:v>
                </c:pt>
              </c:numCache>
            </c:numRef>
          </c:val>
        </c:ser>
        <c:ser>
          <c:idx val="3"/>
          <c:order val="3"/>
          <c:tx>
            <c:strRef>
              <c:f>'MIVEC - 20 Cell'!$Z$5</c:f>
              <c:strCache>
                <c:ptCount val="1"/>
                <c:pt idx="0">
                  <c:v>40</c:v>
                </c:pt>
              </c:strCache>
            </c:strRef>
          </c:tx>
          <c:spPr>
            <a:solidFill>
              <a:srgbClr val="CCFF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Cell'!$Z$6:$Z$21</c:f>
              <c:numCache>
                <c:formatCode>0.0</c:formatCode>
                <c:ptCount val="16"/>
                <c:pt idx="0">
                  <c:v>0</c:v>
                </c:pt>
                <c:pt idx="1">
                  <c:v>0.60000000000000853</c:v>
                </c:pt>
                <c:pt idx="2">
                  <c:v>2.4000000000000057</c:v>
                </c:pt>
                <c:pt idx="3">
                  <c:v>7.7999999999999972</c:v>
                </c:pt>
                <c:pt idx="4">
                  <c:v>10.800000000000004</c:v>
                </c:pt>
                <c:pt idx="5">
                  <c:v>13.200000000000003</c:v>
                </c:pt>
                <c:pt idx="6">
                  <c:v>14.400000000000006</c:v>
                </c:pt>
                <c:pt idx="7">
                  <c:v>13.800000000000004</c:v>
                </c:pt>
                <c:pt idx="8">
                  <c:v>12</c:v>
                </c:pt>
                <c:pt idx="9">
                  <c:v>11.400000000000006</c:v>
                </c:pt>
                <c:pt idx="10">
                  <c:v>9.6000000000000014</c:v>
                </c:pt>
                <c:pt idx="11">
                  <c:v>6</c:v>
                </c:pt>
                <c:pt idx="12">
                  <c:v>4.7999999999999972</c:v>
                </c:pt>
                <c:pt idx="13">
                  <c:v>3.6000000000000085</c:v>
                </c:pt>
                <c:pt idx="14">
                  <c:v>1.2000000000000028</c:v>
                </c:pt>
                <c:pt idx="15">
                  <c:v>0</c:v>
                </c:pt>
              </c:numCache>
            </c:numRef>
          </c:val>
        </c:ser>
        <c:ser>
          <c:idx val="4"/>
          <c:order val="4"/>
          <c:tx>
            <c:strRef>
              <c:f>'MIVEC - 20 Cell'!$AA$5</c:f>
              <c:strCache>
                <c:ptCount val="1"/>
                <c:pt idx="0">
                  <c:v>50</c:v>
                </c:pt>
              </c:strCache>
            </c:strRef>
          </c:tx>
          <c:spPr>
            <a:solidFill>
              <a:srgbClr val="660066"/>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Cell'!$AA$6:$AA$21</c:f>
              <c:numCache>
                <c:formatCode>0.0</c:formatCode>
                <c:ptCount val="16"/>
                <c:pt idx="0">
                  <c:v>0</c:v>
                </c:pt>
                <c:pt idx="1">
                  <c:v>0.60000000000000853</c:v>
                </c:pt>
                <c:pt idx="2">
                  <c:v>4.7999999999999972</c:v>
                </c:pt>
                <c:pt idx="3">
                  <c:v>9</c:v>
                </c:pt>
                <c:pt idx="4">
                  <c:v>12</c:v>
                </c:pt>
                <c:pt idx="5">
                  <c:v>14.400000000000006</c:v>
                </c:pt>
                <c:pt idx="6">
                  <c:v>15.600000000000001</c:v>
                </c:pt>
                <c:pt idx="7">
                  <c:v>15.600000000000001</c:v>
                </c:pt>
                <c:pt idx="8">
                  <c:v>16.800000000000004</c:v>
                </c:pt>
                <c:pt idx="9">
                  <c:v>16.200000000000003</c:v>
                </c:pt>
                <c:pt idx="10">
                  <c:v>13.200000000000003</c:v>
                </c:pt>
                <c:pt idx="11">
                  <c:v>7.7999999999999972</c:v>
                </c:pt>
                <c:pt idx="12">
                  <c:v>6</c:v>
                </c:pt>
                <c:pt idx="13">
                  <c:v>4.2000000000000028</c:v>
                </c:pt>
                <c:pt idx="14">
                  <c:v>1.2000000000000028</c:v>
                </c:pt>
                <c:pt idx="15">
                  <c:v>0</c:v>
                </c:pt>
              </c:numCache>
            </c:numRef>
          </c:val>
        </c:ser>
        <c:ser>
          <c:idx val="5"/>
          <c:order val="5"/>
          <c:tx>
            <c:strRef>
              <c:f>'MIVEC - 20 Cell'!$AB$5</c:f>
              <c:strCache>
                <c:ptCount val="1"/>
                <c:pt idx="0">
                  <c:v>60</c:v>
                </c:pt>
              </c:strCache>
            </c:strRef>
          </c:tx>
          <c:spPr>
            <a:solidFill>
              <a:srgbClr val="FF808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Cell'!$AB$6:$AB$21</c:f>
              <c:numCache>
                <c:formatCode>0.0</c:formatCode>
                <c:ptCount val="16"/>
                <c:pt idx="0">
                  <c:v>1.2000000000000028</c:v>
                </c:pt>
                <c:pt idx="1">
                  <c:v>2.4000000000000057</c:v>
                </c:pt>
                <c:pt idx="2">
                  <c:v>6.6000000000000085</c:v>
                </c:pt>
                <c:pt idx="3">
                  <c:v>12</c:v>
                </c:pt>
                <c:pt idx="4">
                  <c:v>15</c:v>
                </c:pt>
                <c:pt idx="5">
                  <c:v>17.399999999999999</c:v>
                </c:pt>
                <c:pt idx="6">
                  <c:v>18</c:v>
                </c:pt>
                <c:pt idx="7">
                  <c:v>18.600000000000001</c:v>
                </c:pt>
                <c:pt idx="8">
                  <c:v>18.600000000000001</c:v>
                </c:pt>
                <c:pt idx="9">
                  <c:v>18.600000000000001</c:v>
                </c:pt>
                <c:pt idx="10">
                  <c:v>15</c:v>
                </c:pt>
                <c:pt idx="11">
                  <c:v>12.600000000000001</c:v>
                </c:pt>
                <c:pt idx="12">
                  <c:v>8.4000000000000057</c:v>
                </c:pt>
                <c:pt idx="13">
                  <c:v>4.2000000000000028</c:v>
                </c:pt>
                <c:pt idx="14">
                  <c:v>1.2000000000000028</c:v>
                </c:pt>
                <c:pt idx="15">
                  <c:v>0</c:v>
                </c:pt>
              </c:numCache>
            </c:numRef>
          </c:val>
        </c:ser>
        <c:ser>
          <c:idx val="6"/>
          <c:order val="6"/>
          <c:tx>
            <c:strRef>
              <c:f>'MIVEC - 20 Cell'!$AC$5</c:f>
              <c:strCache>
                <c:ptCount val="1"/>
                <c:pt idx="0">
                  <c:v>70</c:v>
                </c:pt>
              </c:strCache>
            </c:strRef>
          </c:tx>
          <c:spPr>
            <a:solidFill>
              <a:srgbClr val="0066CC"/>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Cell'!$AC$6:$AC$21</c:f>
              <c:numCache>
                <c:formatCode>0.0</c:formatCode>
                <c:ptCount val="16"/>
                <c:pt idx="0">
                  <c:v>1.7999999999999972</c:v>
                </c:pt>
                <c:pt idx="1">
                  <c:v>7.2000000000000028</c:v>
                </c:pt>
                <c:pt idx="2">
                  <c:v>10.800000000000004</c:v>
                </c:pt>
                <c:pt idx="3">
                  <c:v>15</c:v>
                </c:pt>
                <c:pt idx="4">
                  <c:v>18</c:v>
                </c:pt>
                <c:pt idx="5">
                  <c:v>18.600000000000001</c:v>
                </c:pt>
                <c:pt idx="6">
                  <c:v>19.200000000000003</c:v>
                </c:pt>
                <c:pt idx="7">
                  <c:v>19.200000000000003</c:v>
                </c:pt>
                <c:pt idx="8">
                  <c:v>19.200000000000003</c:v>
                </c:pt>
                <c:pt idx="9">
                  <c:v>18.600000000000001</c:v>
                </c:pt>
                <c:pt idx="10">
                  <c:v>18</c:v>
                </c:pt>
                <c:pt idx="11">
                  <c:v>13.800000000000004</c:v>
                </c:pt>
                <c:pt idx="12">
                  <c:v>9.6000000000000014</c:v>
                </c:pt>
                <c:pt idx="13">
                  <c:v>4.7999999999999972</c:v>
                </c:pt>
                <c:pt idx="14">
                  <c:v>1.2000000000000028</c:v>
                </c:pt>
                <c:pt idx="15">
                  <c:v>0</c:v>
                </c:pt>
              </c:numCache>
            </c:numRef>
          </c:val>
        </c:ser>
        <c:ser>
          <c:idx val="7"/>
          <c:order val="7"/>
          <c:tx>
            <c:strRef>
              <c:f>'MIVEC - 20 Cell'!$AD$5</c:f>
              <c:strCache>
                <c:ptCount val="1"/>
                <c:pt idx="0">
                  <c:v>80</c:v>
                </c:pt>
              </c:strCache>
            </c:strRef>
          </c:tx>
          <c:spPr>
            <a:solidFill>
              <a:srgbClr val="CCCC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Cell'!$AD$6:$AD$21</c:f>
              <c:numCache>
                <c:formatCode>0.0</c:formatCode>
                <c:ptCount val="16"/>
                <c:pt idx="0">
                  <c:v>3</c:v>
                </c:pt>
                <c:pt idx="1">
                  <c:v>9</c:v>
                </c:pt>
                <c:pt idx="2">
                  <c:v>15.600000000000001</c:v>
                </c:pt>
                <c:pt idx="3">
                  <c:v>18</c:v>
                </c:pt>
                <c:pt idx="4">
                  <c:v>18.600000000000001</c:v>
                </c:pt>
                <c:pt idx="5">
                  <c:v>19.200000000000003</c:v>
                </c:pt>
                <c:pt idx="6">
                  <c:v>19.200000000000003</c:v>
                </c:pt>
                <c:pt idx="7">
                  <c:v>19.200000000000003</c:v>
                </c:pt>
                <c:pt idx="8">
                  <c:v>19.200000000000003</c:v>
                </c:pt>
                <c:pt idx="9">
                  <c:v>19.200000000000003</c:v>
                </c:pt>
                <c:pt idx="10">
                  <c:v>18</c:v>
                </c:pt>
                <c:pt idx="11">
                  <c:v>14.400000000000006</c:v>
                </c:pt>
                <c:pt idx="12">
                  <c:v>9.6000000000000014</c:v>
                </c:pt>
                <c:pt idx="13">
                  <c:v>4.7999999999999972</c:v>
                </c:pt>
                <c:pt idx="14">
                  <c:v>1.2000000000000028</c:v>
                </c:pt>
                <c:pt idx="15">
                  <c:v>0</c:v>
                </c:pt>
              </c:numCache>
            </c:numRef>
          </c:val>
        </c:ser>
        <c:ser>
          <c:idx val="8"/>
          <c:order val="8"/>
          <c:tx>
            <c:strRef>
              <c:f>'MIVEC - 20 Cell'!$AE$5</c:f>
              <c:strCache>
                <c:ptCount val="1"/>
                <c:pt idx="0">
                  <c:v>90</c:v>
                </c:pt>
              </c:strCache>
            </c:strRef>
          </c:tx>
          <c:spPr>
            <a:solidFill>
              <a:srgbClr val="00008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Cell'!$AE$6:$AE$21</c:f>
              <c:numCache>
                <c:formatCode>0.0</c:formatCode>
                <c:ptCount val="16"/>
                <c:pt idx="0">
                  <c:v>3</c:v>
                </c:pt>
                <c:pt idx="1">
                  <c:v>9.6000000000000014</c:v>
                </c:pt>
                <c:pt idx="2">
                  <c:v>16.800000000000004</c:v>
                </c:pt>
                <c:pt idx="3">
                  <c:v>19.200000000000003</c:v>
                </c:pt>
                <c:pt idx="4">
                  <c:v>19.200000000000003</c:v>
                </c:pt>
                <c:pt idx="5">
                  <c:v>19.200000000000003</c:v>
                </c:pt>
                <c:pt idx="6">
                  <c:v>18.600000000000001</c:v>
                </c:pt>
                <c:pt idx="7">
                  <c:v>18.600000000000001</c:v>
                </c:pt>
                <c:pt idx="8">
                  <c:v>18.600000000000001</c:v>
                </c:pt>
                <c:pt idx="9">
                  <c:v>18.600000000000001</c:v>
                </c:pt>
                <c:pt idx="10">
                  <c:v>17.399999999999999</c:v>
                </c:pt>
                <c:pt idx="11">
                  <c:v>13.800000000000004</c:v>
                </c:pt>
                <c:pt idx="12">
                  <c:v>9.6000000000000014</c:v>
                </c:pt>
                <c:pt idx="13">
                  <c:v>4.7999999999999972</c:v>
                </c:pt>
                <c:pt idx="14">
                  <c:v>1.2000000000000028</c:v>
                </c:pt>
                <c:pt idx="15">
                  <c:v>0</c:v>
                </c:pt>
              </c:numCache>
            </c:numRef>
          </c:val>
        </c:ser>
        <c:ser>
          <c:idx val="9"/>
          <c:order val="9"/>
          <c:tx>
            <c:strRef>
              <c:f>'MIVEC - 20 Cell'!$AF$5</c:f>
              <c:strCache>
                <c:ptCount val="1"/>
                <c:pt idx="0">
                  <c:v>100</c:v>
                </c:pt>
              </c:strCache>
            </c:strRef>
          </c:tx>
          <c:spPr>
            <a:solidFill>
              <a:srgbClr val="FF00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Cell'!$AF$6:$AF$21</c:f>
              <c:numCache>
                <c:formatCode>0.0</c:formatCode>
                <c:ptCount val="16"/>
                <c:pt idx="0">
                  <c:v>3</c:v>
                </c:pt>
                <c:pt idx="1">
                  <c:v>9.6000000000000014</c:v>
                </c:pt>
                <c:pt idx="2">
                  <c:v>16.800000000000004</c:v>
                </c:pt>
                <c:pt idx="3">
                  <c:v>19.200000000000003</c:v>
                </c:pt>
                <c:pt idx="4">
                  <c:v>18.600000000000001</c:v>
                </c:pt>
                <c:pt idx="5">
                  <c:v>18.600000000000001</c:v>
                </c:pt>
                <c:pt idx="6">
                  <c:v>18</c:v>
                </c:pt>
                <c:pt idx="7">
                  <c:v>16.800000000000004</c:v>
                </c:pt>
                <c:pt idx="8">
                  <c:v>18</c:v>
                </c:pt>
                <c:pt idx="9">
                  <c:v>16.200000000000003</c:v>
                </c:pt>
                <c:pt idx="10">
                  <c:v>15</c:v>
                </c:pt>
                <c:pt idx="11">
                  <c:v>13.800000000000004</c:v>
                </c:pt>
                <c:pt idx="12">
                  <c:v>10.200000000000003</c:v>
                </c:pt>
                <c:pt idx="13">
                  <c:v>5.4000000000000057</c:v>
                </c:pt>
                <c:pt idx="14">
                  <c:v>1.2000000000000028</c:v>
                </c:pt>
                <c:pt idx="15">
                  <c:v>0</c:v>
                </c:pt>
              </c:numCache>
            </c:numRef>
          </c:val>
        </c:ser>
        <c:ser>
          <c:idx val="10"/>
          <c:order val="10"/>
          <c:tx>
            <c:strRef>
              <c:f>'MIVEC - 20 Cell'!$AG$5</c:f>
              <c:strCache>
                <c:ptCount val="1"/>
                <c:pt idx="0">
                  <c:v>120</c:v>
                </c:pt>
              </c:strCache>
            </c:strRef>
          </c:tx>
          <c:spPr>
            <a:solidFill>
              <a:srgbClr val="FFFF0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Cell'!$AG$6:$AG$21</c:f>
              <c:numCache>
                <c:formatCode>0.0</c:formatCode>
                <c:ptCount val="16"/>
                <c:pt idx="0">
                  <c:v>3</c:v>
                </c:pt>
                <c:pt idx="1">
                  <c:v>9.6000000000000014</c:v>
                </c:pt>
                <c:pt idx="2">
                  <c:v>16.800000000000004</c:v>
                </c:pt>
                <c:pt idx="3">
                  <c:v>19.200000000000003</c:v>
                </c:pt>
                <c:pt idx="4">
                  <c:v>18.600000000000001</c:v>
                </c:pt>
                <c:pt idx="5">
                  <c:v>16.200000000000003</c:v>
                </c:pt>
                <c:pt idx="6">
                  <c:v>15</c:v>
                </c:pt>
                <c:pt idx="7">
                  <c:v>15.600000000000001</c:v>
                </c:pt>
                <c:pt idx="8">
                  <c:v>16.800000000000004</c:v>
                </c:pt>
                <c:pt idx="9">
                  <c:v>15.600000000000001</c:v>
                </c:pt>
                <c:pt idx="10">
                  <c:v>14.400000000000006</c:v>
                </c:pt>
                <c:pt idx="11">
                  <c:v>13.200000000000003</c:v>
                </c:pt>
                <c:pt idx="12">
                  <c:v>10.200000000000003</c:v>
                </c:pt>
                <c:pt idx="13">
                  <c:v>7.2000000000000028</c:v>
                </c:pt>
                <c:pt idx="14">
                  <c:v>1.7999999999999972</c:v>
                </c:pt>
                <c:pt idx="15">
                  <c:v>0</c:v>
                </c:pt>
              </c:numCache>
            </c:numRef>
          </c:val>
        </c:ser>
        <c:ser>
          <c:idx val="11"/>
          <c:order val="11"/>
          <c:tx>
            <c:strRef>
              <c:f>'MIVEC - 20 Cell'!$AH$5</c:f>
              <c:strCache>
                <c:ptCount val="1"/>
                <c:pt idx="0">
                  <c:v>140</c:v>
                </c:pt>
              </c:strCache>
            </c:strRef>
          </c:tx>
          <c:spPr>
            <a:solidFill>
              <a:srgbClr val="00FF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Cell'!$AH$6:$AH$21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16.800000000000004</c:v>
                </c:pt>
                <c:pt idx="9">
                  <c:v>15.600000000000001</c:v>
                </c:pt>
                <c:pt idx="10">
                  <c:v>14.400000000000006</c:v>
                </c:pt>
                <c:pt idx="11">
                  <c:v>13.200000000000003</c:v>
                </c:pt>
                <c:pt idx="12">
                  <c:v>10.800000000000004</c:v>
                </c:pt>
                <c:pt idx="13">
                  <c:v>7.2000000000000028</c:v>
                </c:pt>
                <c:pt idx="14">
                  <c:v>2.4000000000000057</c:v>
                </c:pt>
                <c:pt idx="15">
                  <c:v>0</c:v>
                </c:pt>
              </c:numCache>
            </c:numRef>
          </c:val>
        </c:ser>
        <c:ser>
          <c:idx val="12"/>
          <c:order val="12"/>
          <c:tx>
            <c:strRef>
              <c:f>'MIVEC - 20 Cell'!$AI$5</c:f>
              <c:strCache>
                <c:ptCount val="1"/>
                <c:pt idx="0">
                  <c:v>160</c:v>
                </c:pt>
              </c:strCache>
            </c:strRef>
          </c:tx>
          <c:spPr>
            <a:solidFill>
              <a:srgbClr val="80008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Cell'!$AI$6:$AI$21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16.800000000000004</c:v>
                </c:pt>
                <c:pt idx="9">
                  <c:v>15.600000000000001</c:v>
                </c:pt>
                <c:pt idx="10">
                  <c:v>14.400000000000006</c:v>
                </c:pt>
                <c:pt idx="11">
                  <c:v>13.800000000000004</c:v>
                </c:pt>
                <c:pt idx="12">
                  <c:v>10.800000000000004</c:v>
                </c:pt>
                <c:pt idx="13">
                  <c:v>7.7999999999999972</c:v>
                </c:pt>
                <c:pt idx="14">
                  <c:v>2.4000000000000057</c:v>
                </c:pt>
                <c:pt idx="15">
                  <c:v>0</c:v>
                </c:pt>
              </c:numCache>
            </c:numRef>
          </c:val>
        </c:ser>
        <c:ser>
          <c:idx val="13"/>
          <c:order val="13"/>
          <c:tx>
            <c:strRef>
              <c:f>'MIVEC - 20 Cell'!$AJ$5</c:f>
              <c:strCache>
                <c:ptCount val="1"/>
                <c:pt idx="0">
                  <c:v>180</c:v>
                </c:pt>
              </c:strCache>
            </c:strRef>
          </c:tx>
          <c:spPr>
            <a:solidFill>
              <a:srgbClr val="80000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Cell'!$AJ$6:$AJ$21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18</c:v>
                </c:pt>
                <c:pt idx="9">
                  <c:v>16.800000000000004</c:v>
                </c:pt>
                <c:pt idx="10">
                  <c:v>16.800000000000004</c:v>
                </c:pt>
                <c:pt idx="11">
                  <c:v>15.600000000000001</c:v>
                </c:pt>
                <c:pt idx="12">
                  <c:v>13.800000000000004</c:v>
                </c:pt>
                <c:pt idx="13">
                  <c:v>8.4000000000000057</c:v>
                </c:pt>
                <c:pt idx="14">
                  <c:v>2.4000000000000057</c:v>
                </c:pt>
                <c:pt idx="15">
                  <c:v>0</c:v>
                </c:pt>
              </c:numCache>
            </c:numRef>
          </c:val>
        </c:ser>
        <c:ser>
          <c:idx val="14"/>
          <c:order val="14"/>
          <c:tx>
            <c:strRef>
              <c:f>'MIVEC - 20 Cell'!$AK$5</c:f>
              <c:strCache>
                <c:ptCount val="1"/>
                <c:pt idx="0">
                  <c:v>200</c:v>
                </c:pt>
              </c:strCache>
            </c:strRef>
          </c:tx>
          <c:spPr>
            <a:solidFill>
              <a:srgbClr val="008080"/>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Cell'!$AK$6:$AK$21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18.600000000000001</c:v>
                </c:pt>
                <c:pt idx="9">
                  <c:v>21.6</c:v>
                </c:pt>
                <c:pt idx="10">
                  <c:v>21.6</c:v>
                </c:pt>
                <c:pt idx="11">
                  <c:v>21</c:v>
                </c:pt>
                <c:pt idx="12">
                  <c:v>16.800000000000004</c:v>
                </c:pt>
                <c:pt idx="13">
                  <c:v>9</c:v>
                </c:pt>
                <c:pt idx="14">
                  <c:v>2.4000000000000057</c:v>
                </c:pt>
                <c:pt idx="15">
                  <c:v>0</c:v>
                </c:pt>
              </c:numCache>
            </c:numRef>
          </c:val>
        </c:ser>
        <c:ser>
          <c:idx val="15"/>
          <c:order val="15"/>
          <c:tx>
            <c:strRef>
              <c:f>'MIVEC - 20 Cell'!$AL$5</c:f>
              <c:strCache>
                <c:ptCount val="1"/>
                <c:pt idx="0">
                  <c:v>220</c:v>
                </c:pt>
              </c:strCache>
            </c:strRef>
          </c:tx>
          <c:spPr>
            <a:solidFill>
              <a:srgbClr val="0000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Cell'!$AL$6:$AL$21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6"/>
          <c:order val="16"/>
          <c:tx>
            <c:strRef>
              <c:f>'MIVEC - 20 Cell'!$AM$5</c:f>
              <c:strCache>
                <c:ptCount val="1"/>
                <c:pt idx="0">
                  <c:v>240</c:v>
                </c:pt>
              </c:strCache>
            </c:strRef>
          </c:tx>
          <c:spPr>
            <a:solidFill>
              <a:srgbClr val="00CC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Cell'!$AM$6:$AM$21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7"/>
          <c:order val="17"/>
          <c:tx>
            <c:strRef>
              <c:f>'MIVEC - 20 Cell'!$AN$5</c:f>
              <c:strCache>
                <c:ptCount val="1"/>
                <c:pt idx="0">
                  <c:v>260</c:v>
                </c:pt>
              </c:strCache>
            </c:strRef>
          </c:tx>
          <c:spPr>
            <a:solidFill>
              <a:srgbClr val="CCFFFF"/>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Cell'!$AN$6:$AN$21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8"/>
          <c:order val="18"/>
          <c:tx>
            <c:strRef>
              <c:f>'MIVEC - 20 Cell'!$AO$5</c:f>
              <c:strCache>
                <c:ptCount val="1"/>
                <c:pt idx="0">
                  <c:v>280</c:v>
                </c:pt>
              </c:strCache>
            </c:strRef>
          </c:tx>
          <c:spPr>
            <a:solidFill>
              <a:srgbClr val="CCFFCC"/>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Cell'!$AO$6:$AO$21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9"/>
          <c:order val="19"/>
          <c:tx>
            <c:strRef>
              <c:f>'MIVEC - 20 Cell'!$AP$5</c:f>
              <c:strCache>
                <c:ptCount val="1"/>
                <c:pt idx="0">
                  <c:v>300</c:v>
                </c:pt>
              </c:strCache>
            </c:strRef>
          </c:tx>
          <c:spPr>
            <a:solidFill>
              <a:srgbClr val="FFFF99"/>
            </a:solidFill>
            <a:ln w="12700">
              <a:solidFill>
                <a:srgbClr val="000000"/>
              </a:solidFill>
              <a:prstDash val="solid"/>
            </a:ln>
            <a:sp3d prstMaterial="flat"/>
          </c:spPr>
          <c:cat>
            <c:numRef>
              <c:f>'MIVEC - 20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Cell'!$AP$6:$AP$21</c:f>
              <c:numCache>
                <c:formatCode>0.0</c:formatCode>
                <c:ptCount val="16"/>
                <c:pt idx="0">
                  <c:v>2.4000000000000057</c:v>
                </c:pt>
                <c:pt idx="1">
                  <c:v>9.6000000000000014</c:v>
                </c:pt>
                <c:pt idx="2">
                  <c:v>17.399999999999999</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1.7999999999999972</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90552192"/>
        <c:axId val="90562560"/>
        <c:axId val="90512000"/>
      </c:surface3DChart>
      <c:catAx>
        <c:axId val="90552192"/>
        <c:scaling>
          <c:orientation val="maxMin"/>
        </c:scaling>
        <c:axPos val="b"/>
        <c:title>
          <c:tx>
            <c:rich>
              <a:bodyPr/>
              <a:lstStyle/>
              <a:p>
                <a:pPr>
                  <a:defRPr sz="950" b="1" i="0" u="none" strike="noStrike" baseline="0">
                    <a:solidFill>
                      <a:srgbClr val="000000"/>
                    </a:solidFill>
                    <a:latin typeface="Arial"/>
                    <a:ea typeface="Arial"/>
                    <a:cs typeface="Arial"/>
                  </a:defRPr>
                </a:pPr>
                <a:r>
                  <a:rPr lang="en-US"/>
                  <a:t>RPM</a:t>
                </a:r>
              </a:p>
            </c:rich>
          </c:tx>
          <c:layout>
            <c:manualLayout>
              <c:xMode val="edge"/>
              <c:yMode val="edge"/>
              <c:x val="0.29648022216919862"/>
              <c:y val="0.93857026783471953"/>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90562560"/>
        <c:crosses val="autoZero"/>
        <c:auto val="1"/>
        <c:lblAlgn val="ctr"/>
        <c:lblOffset val="100"/>
        <c:tickLblSkip val="2"/>
        <c:tickMarkSkip val="1"/>
        <c:noMultiLvlLbl val="1"/>
      </c:catAx>
      <c:valAx>
        <c:axId val="90562560"/>
        <c:scaling>
          <c:orientation val="minMax"/>
          <c:max val="28.8"/>
          <c:min val="-1.2"/>
        </c:scaling>
        <c:axPos val="l"/>
        <c:majorGridlines>
          <c:spPr>
            <a:ln w="3175">
              <a:solidFill>
                <a:srgbClr val="000000"/>
              </a:solidFill>
              <a:prstDash val="solid"/>
            </a:ln>
          </c:spPr>
        </c:majorGridlines>
        <c:title>
          <c:tx>
            <c:rich>
              <a:bodyPr rot="0" vert="horz"/>
              <a:lstStyle/>
              <a:p>
                <a:pPr algn="ctr">
                  <a:defRPr sz="950" b="1" i="0" u="none" strike="noStrike" baseline="0">
                    <a:solidFill>
                      <a:srgbClr val="000000"/>
                    </a:solidFill>
                    <a:latin typeface="Arial"/>
                    <a:ea typeface="Arial"/>
                    <a:cs typeface="Arial"/>
                  </a:defRPr>
                </a:pPr>
                <a:r>
                  <a:rPr lang="en-US"/>
                  <a:t>Trim</a:t>
                </a:r>
              </a:p>
            </c:rich>
          </c:tx>
          <c:layout>
            <c:manualLayout>
              <c:xMode val="edge"/>
              <c:yMode val="edge"/>
              <c:x val="2.8873876560884446E-2"/>
              <c:y val="0.61074795763099998"/>
            </c:manualLayout>
          </c:layout>
          <c:spPr>
            <a:noFill/>
            <a:ln w="25400">
              <a:noFill/>
            </a:ln>
          </c:spPr>
        </c:title>
        <c:numFmt formatCode="0" sourceLinked="0"/>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0552192"/>
        <c:crosses val="autoZero"/>
        <c:crossBetween val="midCat"/>
        <c:majorUnit val="1.5"/>
      </c:valAx>
      <c:serAx>
        <c:axId val="90512000"/>
        <c:scaling>
          <c:orientation val="maxMin"/>
        </c:scaling>
        <c:axPos val="b"/>
        <c:title>
          <c:tx>
            <c:rich>
              <a:bodyPr/>
              <a:lstStyle/>
              <a:p>
                <a:pPr>
                  <a:defRPr sz="950" b="1" i="0" u="none" strike="noStrike" baseline="0">
                    <a:solidFill>
                      <a:srgbClr val="000000"/>
                    </a:solidFill>
                    <a:latin typeface="Arial"/>
                    <a:ea typeface="Arial"/>
                    <a:cs typeface="Arial"/>
                  </a:defRPr>
                </a:pPr>
                <a:r>
                  <a:rPr lang="en-US"/>
                  <a:t>Load</a:t>
                </a:r>
              </a:p>
            </c:rich>
          </c:tx>
          <c:layout>
            <c:manualLayout>
              <c:xMode val="edge"/>
              <c:yMode val="edge"/>
              <c:x val="0.82088323663489493"/>
              <c:y val="0.70105742057178944"/>
            </c:manualLayout>
          </c:layout>
          <c:spPr>
            <a:noFill/>
            <a:ln w="25400">
              <a:noFill/>
            </a:ln>
          </c:spPr>
        </c:title>
        <c:numFmt formatCode="General" sourceLinked="1"/>
        <c:tickLblPos val="low"/>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0562560"/>
        <c:crosses val="autoZero"/>
        <c:tickLblSkip val="2"/>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view3D>
      <c:rotX val="50"/>
      <c:hPercent val="100"/>
      <c:rotY val="198"/>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0.11982497475597448"/>
          <c:y val="7.4511021421918714E-3"/>
          <c:w val="0.79030629417704457"/>
          <c:h val="0.91648556348959964"/>
        </c:manualLayout>
      </c:layout>
      <c:surface3DChart>
        <c:ser>
          <c:idx val="0"/>
          <c:order val="0"/>
          <c:tx>
            <c:strRef>
              <c:f>'MIVEC - 20 Cell'!$W$29</c:f>
              <c:strCache>
                <c:ptCount val="1"/>
                <c:pt idx="0">
                  <c:v>10</c:v>
                </c:pt>
              </c:strCache>
            </c:strRef>
          </c:tx>
          <c:spPr>
            <a:solidFill>
              <a:srgbClr val="9999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Cell'!$W$30:$W$45</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1"/>
          <c:order val="1"/>
          <c:tx>
            <c:strRef>
              <c:f>'MIVEC - 20 Cell'!$X$29</c:f>
              <c:strCache>
                <c:ptCount val="1"/>
                <c:pt idx="0">
                  <c:v>20</c:v>
                </c:pt>
              </c:strCache>
            </c:strRef>
          </c:tx>
          <c:spPr>
            <a:solidFill>
              <a:srgbClr val="993366"/>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Cell'!$X$30:$X$45</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2"/>
          <c:order val="2"/>
          <c:tx>
            <c:strRef>
              <c:f>'MIVEC - 20 Cell'!$Y$29</c:f>
              <c:strCache>
                <c:ptCount val="1"/>
                <c:pt idx="0">
                  <c:v>30</c:v>
                </c:pt>
              </c:strCache>
            </c:strRef>
          </c:tx>
          <c:spPr>
            <a:solidFill>
              <a:srgbClr val="FFFFCC"/>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Cell'!$Y$30:$Y$45</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3"/>
          <c:order val="3"/>
          <c:tx>
            <c:strRef>
              <c:f>'MIVEC - 20 Cell'!$Z$29</c:f>
              <c:strCache>
                <c:ptCount val="1"/>
                <c:pt idx="0">
                  <c:v>40</c:v>
                </c:pt>
              </c:strCache>
            </c:strRef>
          </c:tx>
          <c:spPr>
            <a:solidFill>
              <a:srgbClr val="CCFF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Cell'!$Z$30:$Z$45</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4"/>
          <c:order val="4"/>
          <c:tx>
            <c:strRef>
              <c:f>'MIVEC - 20 Cell'!$AA$29</c:f>
              <c:strCache>
                <c:ptCount val="1"/>
                <c:pt idx="0">
                  <c:v>50</c:v>
                </c:pt>
              </c:strCache>
            </c:strRef>
          </c:tx>
          <c:spPr>
            <a:solidFill>
              <a:srgbClr val="660066"/>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Cell'!$AA$30:$AA$45</c:f>
              <c:numCache>
                <c:formatCode>0.0</c:formatCode>
                <c:ptCount val="16"/>
                <c:pt idx="0">
                  <c:v>0</c:v>
                </c:pt>
                <c:pt idx="1">
                  <c:v>0</c:v>
                </c:pt>
                <c:pt idx="2">
                  <c:v>4.8</c:v>
                </c:pt>
                <c:pt idx="3">
                  <c:v>9.6</c:v>
                </c:pt>
                <c:pt idx="4">
                  <c:v>9.6</c:v>
                </c:pt>
                <c:pt idx="5">
                  <c:v>14.4</c:v>
                </c:pt>
                <c:pt idx="6">
                  <c:v>14.4</c:v>
                </c:pt>
                <c:pt idx="7">
                  <c:v>14.4</c:v>
                </c:pt>
                <c:pt idx="8">
                  <c:v>19.2</c:v>
                </c:pt>
                <c:pt idx="9">
                  <c:v>19.2</c:v>
                </c:pt>
                <c:pt idx="10">
                  <c:v>14.4</c:v>
                </c:pt>
                <c:pt idx="11">
                  <c:v>4.8</c:v>
                </c:pt>
                <c:pt idx="12">
                  <c:v>4.8</c:v>
                </c:pt>
                <c:pt idx="13">
                  <c:v>4.8</c:v>
                </c:pt>
                <c:pt idx="14">
                  <c:v>0</c:v>
                </c:pt>
                <c:pt idx="15">
                  <c:v>0</c:v>
                </c:pt>
              </c:numCache>
            </c:numRef>
          </c:val>
        </c:ser>
        <c:ser>
          <c:idx val="5"/>
          <c:order val="5"/>
          <c:tx>
            <c:strRef>
              <c:f>'MIVEC - 20 Cell'!$AB$29</c:f>
              <c:strCache>
                <c:ptCount val="1"/>
                <c:pt idx="0">
                  <c:v>60</c:v>
                </c:pt>
              </c:strCache>
            </c:strRef>
          </c:tx>
          <c:spPr>
            <a:solidFill>
              <a:srgbClr val="FF808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Cell'!$AB$30:$AB$45</c:f>
              <c:numCache>
                <c:formatCode>0.0</c:formatCode>
                <c:ptCount val="16"/>
                <c:pt idx="0">
                  <c:v>0</c:v>
                </c:pt>
                <c:pt idx="1">
                  <c:v>0</c:v>
                </c:pt>
                <c:pt idx="2">
                  <c:v>4.8</c:v>
                </c:pt>
                <c:pt idx="3">
                  <c:v>14.4</c:v>
                </c:pt>
                <c:pt idx="4">
                  <c:v>14.4</c:v>
                </c:pt>
                <c:pt idx="5">
                  <c:v>19.2</c:v>
                </c:pt>
                <c:pt idx="6">
                  <c:v>19.2</c:v>
                </c:pt>
                <c:pt idx="7">
                  <c:v>19.2</c:v>
                </c:pt>
                <c:pt idx="8">
                  <c:v>19.2</c:v>
                </c:pt>
                <c:pt idx="9">
                  <c:v>19.2</c:v>
                </c:pt>
                <c:pt idx="10">
                  <c:v>14.4</c:v>
                </c:pt>
                <c:pt idx="11">
                  <c:v>14.4</c:v>
                </c:pt>
                <c:pt idx="12">
                  <c:v>9.6</c:v>
                </c:pt>
                <c:pt idx="13">
                  <c:v>4.8</c:v>
                </c:pt>
                <c:pt idx="14">
                  <c:v>0</c:v>
                </c:pt>
                <c:pt idx="15">
                  <c:v>0</c:v>
                </c:pt>
              </c:numCache>
            </c:numRef>
          </c:val>
        </c:ser>
        <c:ser>
          <c:idx val="6"/>
          <c:order val="6"/>
          <c:tx>
            <c:strRef>
              <c:f>'MIVEC - 20 Cell'!$AC$29</c:f>
              <c:strCache>
                <c:ptCount val="1"/>
                <c:pt idx="0">
                  <c:v>70</c:v>
                </c:pt>
              </c:strCache>
            </c:strRef>
          </c:tx>
          <c:spPr>
            <a:solidFill>
              <a:srgbClr val="0066CC"/>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Cell'!$AC$30:$AC$45</c:f>
              <c:numCache>
                <c:formatCode>0.0</c:formatCode>
                <c:ptCount val="16"/>
                <c:pt idx="0">
                  <c:v>0</c:v>
                </c:pt>
                <c:pt idx="1">
                  <c:v>9.6</c:v>
                </c:pt>
                <c:pt idx="2">
                  <c:v>9.6</c:v>
                </c:pt>
                <c:pt idx="3">
                  <c:v>14.4</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7"/>
          <c:order val="7"/>
          <c:tx>
            <c:strRef>
              <c:f>'MIVEC - 20 Cell'!$AD$29</c:f>
              <c:strCache>
                <c:ptCount val="1"/>
                <c:pt idx="0">
                  <c:v>80</c:v>
                </c:pt>
              </c:strCache>
            </c:strRef>
          </c:tx>
          <c:spPr>
            <a:solidFill>
              <a:srgbClr val="CCCC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Cell'!$AD$30:$AD$45</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8"/>
          <c:order val="8"/>
          <c:tx>
            <c:strRef>
              <c:f>'MIVEC - 20 Cell'!$AE$29</c:f>
              <c:strCache>
                <c:ptCount val="1"/>
                <c:pt idx="0">
                  <c:v>90</c:v>
                </c:pt>
              </c:strCache>
            </c:strRef>
          </c:tx>
          <c:spPr>
            <a:solidFill>
              <a:srgbClr val="00008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Cell'!$AE$30:$AE$45</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9"/>
          <c:order val="9"/>
          <c:tx>
            <c:strRef>
              <c:f>'MIVEC - 20 Cell'!$AF$29</c:f>
              <c:strCache>
                <c:ptCount val="1"/>
                <c:pt idx="0">
                  <c:v>100</c:v>
                </c:pt>
              </c:strCache>
            </c:strRef>
          </c:tx>
          <c:spPr>
            <a:solidFill>
              <a:srgbClr val="FF00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Cell'!$AF$30:$AF$45</c:f>
              <c:numCache>
                <c:formatCode>0.0</c:formatCode>
                <c:ptCount val="16"/>
                <c:pt idx="0">
                  <c:v>0</c:v>
                </c:pt>
                <c:pt idx="1">
                  <c:v>9.6</c:v>
                </c:pt>
                <c:pt idx="2">
                  <c:v>19.2</c:v>
                </c:pt>
                <c:pt idx="3">
                  <c:v>19.2</c:v>
                </c:pt>
                <c:pt idx="4">
                  <c:v>19.2</c:v>
                </c:pt>
                <c:pt idx="5">
                  <c:v>19.2</c:v>
                </c:pt>
                <c:pt idx="6">
                  <c:v>19.2</c:v>
                </c:pt>
                <c:pt idx="7">
                  <c:v>14.4</c:v>
                </c:pt>
                <c:pt idx="8">
                  <c:v>19.2</c:v>
                </c:pt>
                <c:pt idx="9">
                  <c:v>14.4</c:v>
                </c:pt>
                <c:pt idx="10">
                  <c:v>14.4</c:v>
                </c:pt>
                <c:pt idx="11">
                  <c:v>14.4</c:v>
                </c:pt>
                <c:pt idx="12">
                  <c:v>9.6</c:v>
                </c:pt>
                <c:pt idx="13">
                  <c:v>4.8</c:v>
                </c:pt>
                <c:pt idx="14">
                  <c:v>0</c:v>
                </c:pt>
                <c:pt idx="15">
                  <c:v>0</c:v>
                </c:pt>
              </c:numCache>
            </c:numRef>
          </c:val>
        </c:ser>
        <c:ser>
          <c:idx val="10"/>
          <c:order val="10"/>
          <c:tx>
            <c:strRef>
              <c:f>'MIVEC - 20 Cell'!$AG$29</c:f>
              <c:strCache>
                <c:ptCount val="1"/>
                <c:pt idx="0">
                  <c:v>120</c:v>
                </c:pt>
              </c:strCache>
            </c:strRef>
          </c:tx>
          <c:spPr>
            <a:solidFill>
              <a:srgbClr val="FFFF0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Cell'!$AG$30:$AG$45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1"/>
          <c:order val="11"/>
          <c:tx>
            <c:strRef>
              <c:f>'MIVEC - 20 Cell'!$AH$29</c:f>
              <c:strCache>
                <c:ptCount val="1"/>
                <c:pt idx="0">
                  <c:v>140</c:v>
                </c:pt>
              </c:strCache>
            </c:strRef>
          </c:tx>
          <c:spPr>
            <a:solidFill>
              <a:srgbClr val="00FF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Cell'!$AH$30:$AH$45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2"/>
          <c:order val="12"/>
          <c:tx>
            <c:strRef>
              <c:f>'MIVEC - 20 Cell'!$AI$29</c:f>
              <c:strCache>
                <c:ptCount val="1"/>
                <c:pt idx="0">
                  <c:v>160</c:v>
                </c:pt>
              </c:strCache>
            </c:strRef>
          </c:tx>
          <c:spPr>
            <a:solidFill>
              <a:srgbClr val="80008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Cell'!$AI$30:$AI$45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3"/>
          <c:order val="13"/>
          <c:tx>
            <c:strRef>
              <c:f>'MIVEC - 20 Cell'!$AJ$29</c:f>
              <c:strCache>
                <c:ptCount val="1"/>
                <c:pt idx="0">
                  <c:v>180</c:v>
                </c:pt>
              </c:strCache>
            </c:strRef>
          </c:tx>
          <c:spPr>
            <a:solidFill>
              <a:srgbClr val="80000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Cell'!$AJ$30:$AJ$45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14.4</c:v>
                </c:pt>
                <c:pt idx="13">
                  <c:v>9.6</c:v>
                </c:pt>
                <c:pt idx="14">
                  <c:v>0</c:v>
                </c:pt>
                <c:pt idx="15">
                  <c:v>0</c:v>
                </c:pt>
              </c:numCache>
            </c:numRef>
          </c:val>
        </c:ser>
        <c:ser>
          <c:idx val="14"/>
          <c:order val="14"/>
          <c:tx>
            <c:strRef>
              <c:f>'MIVEC - 20 Cell'!$AK$29</c:f>
              <c:strCache>
                <c:ptCount val="1"/>
                <c:pt idx="0">
                  <c:v>200</c:v>
                </c:pt>
              </c:strCache>
            </c:strRef>
          </c:tx>
          <c:spPr>
            <a:solidFill>
              <a:srgbClr val="008080"/>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Cell'!$AK$30:$AK$45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5"/>
          <c:order val="15"/>
          <c:tx>
            <c:strRef>
              <c:f>'MIVEC - 20 Cell'!$AL$29</c:f>
              <c:strCache>
                <c:ptCount val="1"/>
                <c:pt idx="0">
                  <c:v>220</c:v>
                </c:pt>
              </c:strCache>
            </c:strRef>
          </c:tx>
          <c:spPr>
            <a:solidFill>
              <a:srgbClr val="0000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Cell'!$AL$30:$AL$45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6"/>
          <c:order val="16"/>
          <c:tx>
            <c:strRef>
              <c:f>'MIVEC - 20 Cell'!$AM$29</c:f>
              <c:strCache>
                <c:ptCount val="1"/>
                <c:pt idx="0">
                  <c:v>240</c:v>
                </c:pt>
              </c:strCache>
            </c:strRef>
          </c:tx>
          <c:spPr>
            <a:solidFill>
              <a:srgbClr val="00CC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Cell'!$AM$30:$AM$45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7"/>
          <c:order val="17"/>
          <c:tx>
            <c:strRef>
              <c:f>'MIVEC - 20 Cell'!$AN$29</c:f>
              <c:strCache>
                <c:ptCount val="1"/>
                <c:pt idx="0">
                  <c:v>260</c:v>
                </c:pt>
              </c:strCache>
            </c:strRef>
          </c:tx>
          <c:spPr>
            <a:solidFill>
              <a:srgbClr val="CCFFFF"/>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Cell'!$AN$30:$AN$45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8"/>
          <c:order val="18"/>
          <c:tx>
            <c:strRef>
              <c:f>'MIVEC - 20 Cell'!$AO$29</c:f>
              <c:strCache>
                <c:ptCount val="1"/>
                <c:pt idx="0">
                  <c:v>280</c:v>
                </c:pt>
              </c:strCache>
            </c:strRef>
          </c:tx>
          <c:spPr>
            <a:solidFill>
              <a:srgbClr val="CCFFCC"/>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Cell'!$AO$30:$AO$45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9"/>
          <c:order val="19"/>
          <c:tx>
            <c:strRef>
              <c:f>'MIVEC - 20 Cell'!$AP$29</c:f>
              <c:strCache>
                <c:ptCount val="1"/>
                <c:pt idx="0">
                  <c:v>300</c:v>
                </c:pt>
              </c:strCache>
            </c:strRef>
          </c:tx>
          <c:spPr>
            <a:solidFill>
              <a:srgbClr val="FFFF99"/>
            </a:solidFill>
            <a:ln w="12700">
              <a:solidFill>
                <a:srgbClr val="000000"/>
              </a:solidFill>
              <a:prstDash val="solid"/>
            </a:ln>
            <a:sp3d prstMaterial="flat"/>
          </c:spPr>
          <c:cat>
            <c:numRef>
              <c:f>'MIVEC - 20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- 20 Cell'!$AP$30:$AP$45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90849280"/>
        <c:axId val="90851200"/>
        <c:axId val="90760064"/>
      </c:surface3DChart>
      <c:catAx>
        <c:axId val="90849280"/>
        <c:scaling>
          <c:orientation val="maxMin"/>
        </c:scaling>
        <c:axPos val="b"/>
        <c:title>
          <c:tx>
            <c:rich>
              <a:bodyPr/>
              <a:lstStyle/>
              <a:p>
                <a:pPr>
                  <a:defRPr sz="975" b="1" i="0" u="none" strike="noStrike" baseline="0">
                    <a:solidFill>
                      <a:srgbClr val="000000"/>
                    </a:solidFill>
                    <a:latin typeface="Arial"/>
                    <a:ea typeface="Arial"/>
                    <a:cs typeface="Arial"/>
                  </a:defRPr>
                </a:pPr>
                <a:r>
                  <a:rPr lang="en-US"/>
                  <a:t>RPM</a:t>
                </a:r>
              </a:p>
            </c:rich>
          </c:tx>
          <c:layout>
            <c:manualLayout>
              <c:xMode val="edge"/>
              <c:yMode val="edge"/>
              <c:x val="0.34601139307127898"/>
              <c:y val="0.92890407811230769"/>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975" b="0" i="0" u="none" strike="noStrike" baseline="0">
                <a:solidFill>
                  <a:srgbClr val="000000"/>
                </a:solidFill>
                <a:latin typeface="Arial"/>
                <a:ea typeface="Arial"/>
                <a:cs typeface="Arial"/>
              </a:defRPr>
            </a:pPr>
            <a:endParaRPr lang="en-US"/>
          </a:p>
        </c:txPr>
        <c:crossAx val="90851200"/>
        <c:crosses val="autoZero"/>
        <c:auto val="1"/>
        <c:lblAlgn val="ctr"/>
        <c:lblOffset val="100"/>
        <c:tickLblSkip val="2"/>
        <c:tickMarkSkip val="1"/>
        <c:noMultiLvlLbl val="1"/>
      </c:catAx>
      <c:valAx>
        <c:axId val="90851200"/>
        <c:scaling>
          <c:orientation val="minMax"/>
          <c:max val="28.8"/>
          <c:min val="-1.2"/>
        </c:scaling>
        <c:axPos val="l"/>
        <c:majorGridlines>
          <c:spPr>
            <a:ln w="3175">
              <a:solidFill>
                <a:srgbClr val="000000"/>
              </a:solidFill>
              <a:prstDash val="solid"/>
            </a:ln>
          </c:spPr>
        </c:majorGridlines>
        <c:title>
          <c:tx>
            <c:rich>
              <a:bodyPr rot="0" vert="horz"/>
              <a:lstStyle/>
              <a:p>
                <a:pPr algn="ctr">
                  <a:defRPr sz="975" b="1" i="0" u="none" strike="noStrike" baseline="0">
                    <a:solidFill>
                      <a:srgbClr val="000000"/>
                    </a:solidFill>
                    <a:latin typeface="Arial"/>
                    <a:ea typeface="Arial"/>
                    <a:cs typeface="Arial"/>
                  </a:defRPr>
                </a:pPr>
                <a:r>
                  <a:rPr lang="en-US"/>
                  <a:t>Trim</a:t>
                </a:r>
              </a:p>
            </c:rich>
          </c:tx>
          <c:layout>
            <c:manualLayout>
              <c:xMode val="edge"/>
              <c:yMode val="edge"/>
              <c:x val="5.9239326735534212E-2"/>
              <c:y val="0.61471596260085282"/>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90849280"/>
        <c:crosses val="autoZero"/>
        <c:crossBetween val="midCat"/>
        <c:majorUnit val="1.5"/>
      </c:valAx>
      <c:serAx>
        <c:axId val="90760064"/>
        <c:scaling>
          <c:orientation val="maxMin"/>
        </c:scaling>
        <c:axPos val="b"/>
        <c:title>
          <c:tx>
            <c:rich>
              <a:bodyPr/>
              <a:lstStyle/>
              <a:p>
                <a:pPr>
                  <a:defRPr sz="975" b="1" i="0" u="none" strike="noStrike" baseline="0">
                    <a:solidFill>
                      <a:srgbClr val="000000"/>
                    </a:solidFill>
                    <a:latin typeface="Arial"/>
                    <a:ea typeface="Arial"/>
                    <a:cs typeface="Arial"/>
                  </a:defRPr>
                </a:pPr>
                <a:r>
                  <a:rPr lang="en-US"/>
                  <a:t>Load</a:t>
                </a:r>
              </a:p>
            </c:rich>
          </c:tx>
          <c:layout>
            <c:manualLayout>
              <c:xMode val="edge"/>
              <c:yMode val="edge"/>
              <c:x val="0.82935040230062984"/>
              <c:y val="0.70288730092462237"/>
            </c:manualLayout>
          </c:layout>
          <c:spPr>
            <a:noFill/>
            <a:ln w="25400">
              <a:noFill/>
            </a:ln>
          </c:spPr>
        </c:title>
        <c:numFmt formatCode="General" sourceLinked="1"/>
        <c:tickLblPos val="low"/>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90851200"/>
        <c:crosses val="autoZero"/>
        <c:tickLblSkip val="2"/>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7.6741837765062285E-2"/>
          <c:y val="3.0965741681319152E-2"/>
          <c:w val="0.80376977448670484"/>
          <c:h val="0.85074300829729432"/>
        </c:manualLayout>
      </c:layout>
      <c:surface3DChart>
        <c:ser>
          <c:idx val="0"/>
          <c:order val="0"/>
          <c:tx>
            <c:strRef>
              <c:f>'MIVEC - 19 Cell'!$W$29</c:f>
              <c:strCache>
                <c:ptCount val="1"/>
                <c:pt idx="0">
                  <c:v>0</c:v>
                </c:pt>
              </c:strCache>
            </c:strRef>
          </c:tx>
          <c:spPr>
            <a:solidFill>
              <a:srgbClr val="9999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Cell'!$W$30:$W$45</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1"/>
          <c:order val="1"/>
          <c:tx>
            <c:strRef>
              <c:f>'MIVEC - 19 Cell'!$X$29</c:f>
              <c:strCache>
                <c:ptCount val="1"/>
                <c:pt idx="0">
                  <c:v>10</c:v>
                </c:pt>
              </c:strCache>
            </c:strRef>
          </c:tx>
          <c:spPr>
            <a:solidFill>
              <a:srgbClr val="993366"/>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Cell'!$X$30:$X$45</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2"/>
          <c:order val="2"/>
          <c:tx>
            <c:strRef>
              <c:f>'MIVEC - 19 Cell'!$Y$29</c:f>
              <c:strCache>
                <c:ptCount val="1"/>
                <c:pt idx="0">
                  <c:v>20</c:v>
                </c:pt>
              </c:strCache>
            </c:strRef>
          </c:tx>
          <c:spPr>
            <a:solidFill>
              <a:srgbClr val="FFFFCC"/>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Cell'!$Y$30:$Y$45</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3"/>
          <c:order val="3"/>
          <c:tx>
            <c:strRef>
              <c:f>'MIVEC - 19 Cell'!$Z$29</c:f>
              <c:strCache>
                <c:ptCount val="1"/>
                <c:pt idx="0">
                  <c:v>30</c:v>
                </c:pt>
              </c:strCache>
            </c:strRef>
          </c:tx>
          <c:spPr>
            <a:solidFill>
              <a:srgbClr val="CCFF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Cell'!$Z$30:$Z$45</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4"/>
          <c:order val="4"/>
          <c:tx>
            <c:strRef>
              <c:f>'MIVEC - 19 Cell'!$AA$29</c:f>
              <c:strCache>
                <c:ptCount val="1"/>
                <c:pt idx="0">
                  <c:v>40</c:v>
                </c:pt>
              </c:strCache>
            </c:strRef>
          </c:tx>
          <c:spPr>
            <a:solidFill>
              <a:srgbClr val="660066"/>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Cell'!$AA$30:$AA$45</c:f>
              <c:numCache>
                <c:formatCode>0.0</c:formatCode>
                <c:ptCount val="16"/>
                <c:pt idx="0">
                  <c:v>0</c:v>
                </c:pt>
                <c:pt idx="1">
                  <c:v>0</c:v>
                </c:pt>
                <c:pt idx="2">
                  <c:v>4.8</c:v>
                </c:pt>
                <c:pt idx="3">
                  <c:v>9.6</c:v>
                </c:pt>
                <c:pt idx="4">
                  <c:v>9.6</c:v>
                </c:pt>
                <c:pt idx="5">
                  <c:v>14.4</c:v>
                </c:pt>
                <c:pt idx="6">
                  <c:v>14.4</c:v>
                </c:pt>
                <c:pt idx="7">
                  <c:v>14.4</c:v>
                </c:pt>
                <c:pt idx="8">
                  <c:v>19.2</c:v>
                </c:pt>
                <c:pt idx="9">
                  <c:v>19.2</c:v>
                </c:pt>
                <c:pt idx="10">
                  <c:v>14.4</c:v>
                </c:pt>
                <c:pt idx="11">
                  <c:v>4.8</c:v>
                </c:pt>
                <c:pt idx="12">
                  <c:v>4.8</c:v>
                </c:pt>
                <c:pt idx="13">
                  <c:v>4.8</c:v>
                </c:pt>
                <c:pt idx="14">
                  <c:v>0</c:v>
                </c:pt>
                <c:pt idx="15">
                  <c:v>0</c:v>
                </c:pt>
              </c:numCache>
            </c:numRef>
          </c:val>
        </c:ser>
        <c:ser>
          <c:idx val="5"/>
          <c:order val="5"/>
          <c:tx>
            <c:strRef>
              <c:f>'MIVEC - 19 Cell'!$AB$29</c:f>
              <c:strCache>
                <c:ptCount val="1"/>
                <c:pt idx="0">
                  <c:v>50</c:v>
                </c:pt>
              </c:strCache>
            </c:strRef>
          </c:tx>
          <c:spPr>
            <a:solidFill>
              <a:srgbClr val="FF808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Cell'!$AB$30:$AB$45</c:f>
              <c:numCache>
                <c:formatCode>0.0</c:formatCode>
                <c:ptCount val="16"/>
                <c:pt idx="0">
                  <c:v>0</c:v>
                </c:pt>
                <c:pt idx="1">
                  <c:v>0</c:v>
                </c:pt>
                <c:pt idx="2">
                  <c:v>4.8</c:v>
                </c:pt>
                <c:pt idx="3">
                  <c:v>14.4</c:v>
                </c:pt>
                <c:pt idx="4">
                  <c:v>14.4</c:v>
                </c:pt>
                <c:pt idx="5">
                  <c:v>19.2</c:v>
                </c:pt>
                <c:pt idx="6">
                  <c:v>19.2</c:v>
                </c:pt>
                <c:pt idx="7">
                  <c:v>19.2</c:v>
                </c:pt>
                <c:pt idx="8">
                  <c:v>19.2</c:v>
                </c:pt>
                <c:pt idx="9">
                  <c:v>19.2</c:v>
                </c:pt>
                <c:pt idx="10">
                  <c:v>14.4</c:v>
                </c:pt>
                <c:pt idx="11">
                  <c:v>14.4</c:v>
                </c:pt>
                <c:pt idx="12">
                  <c:v>9.6</c:v>
                </c:pt>
                <c:pt idx="13">
                  <c:v>4.8</c:v>
                </c:pt>
                <c:pt idx="14">
                  <c:v>0</c:v>
                </c:pt>
                <c:pt idx="15">
                  <c:v>0</c:v>
                </c:pt>
              </c:numCache>
            </c:numRef>
          </c:val>
        </c:ser>
        <c:ser>
          <c:idx val="6"/>
          <c:order val="6"/>
          <c:tx>
            <c:strRef>
              <c:f>'MIVEC - 19 Cell'!$AC$29</c:f>
              <c:strCache>
                <c:ptCount val="1"/>
                <c:pt idx="0">
                  <c:v>60</c:v>
                </c:pt>
              </c:strCache>
            </c:strRef>
          </c:tx>
          <c:spPr>
            <a:solidFill>
              <a:srgbClr val="0066CC"/>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Cell'!$AC$30:$AC$45</c:f>
              <c:numCache>
                <c:formatCode>0.0</c:formatCode>
                <c:ptCount val="16"/>
                <c:pt idx="0">
                  <c:v>0</c:v>
                </c:pt>
                <c:pt idx="1">
                  <c:v>9.6</c:v>
                </c:pt>
                <c:pt idx="2">
                  <c:v>9.6</c:v>
                </c:pt>
                <c:pt idx="3">
                  <c:v>14.4</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7"/>
          <c:order val="7"/>
          <c:tx>
            <c:strRef>
              <c:f>'MIVEC - 19 Cell'!$AD$29</c:f>
              <c:strCache>
                <c:ptCount val="1"/>
                <c:pt idx="0">
                  <c:v>70</c:v>
                </c:pt>
              </c:strCache>
            </c:strRef>
          </c:tx>
          <c:spPr>
            <a:solidFill>
              <a:srgbClr val="CCCC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Cell'!$AD$30:$AD$45</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8"/>
          <c:order val="8"/>
          <c:tx>
            <c:strRef>
              <c:f>'MIVEC - 19 Cell'!$AE$29</c:f>
              <c:strCache>
                <c:ptCount val="1"/>
                <c:pt idx="0">
                  <c:v>80</c:v>
                </c:pt>
              </c:strCache>
            </c:strRef>
          </c:tx>
          <c:spPr>
            <a:solidFill>
              <a:srgbClr val="00008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Cell'!$AE$30:$AE$45</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9"/>
          <c:order val="9"/>
          <c:tx>
            <c:strRef>
              <c:f>'MIVEC - 19 Cell'!$AF$29</c:f>
              <c:strCache>
                <c:ptCount val="1"/>
                <c:pt idx="0">
                  <c:v>90</c:v>
                </c:pt>
              </c:strCache>
            </c:strRef>
          </c:tx>
          <c:spPr>
            <a:solidFill>
              <a:srgbClr val="FF00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Cell'!$AF$30:$AF$45</c:f>
              <c:numCache>
                <c:formatCode>0.0</c:formatCode>
                <c:ptCount val="16"/>
                <c:pt idx="0">
                  <c:v>0</c:v>
                </c:pt>
                <c:pt idx="1">
                  <c:v>9.6</c:v>
                </c:pt>
                <c:pt idx="2">
                  <c:v>19.2</c:v>
                </c:pt>
                <c:pt idx="3">
                  <c:v>19.2</c:v>
                </c:pt>
                <c:pt idx="4">
                  <c:v>19.2</c:v>
                </c:pt>
                <c:pt idx="5">
                  <c:v>19.2</c:v>
                </c:pt>
                <c:pt idx="6">
                  <c:v>19.2</c:v>
                </c:pt>
                <c:pt idx="7">
                  <c:v>14.4</c:v>
                </c:pt>
                <c:pt idx="8">
                  <c:v>19.2</c:v>
                </c:pt>
                <c:pt idx="9">
                  <c:v>14.4</c:v>
                </c:pt>
                <c:pt idx="10">
                  <c:v>14.4</c:v>
                </c:pt>
                <c:pt idx="11">
                  <c:v>14.4</c:v>
                </c:pt>
                <c:pt idx="12">
                  <c:v>9.6</c:v>
                </c:pt>
                <c:pt idx="13">
                  <c:v>4.8</c:v>
                </c:pt>
                <c:pt idx="14">
                  <c:v>0</c:v>
                </c:pt>
                <c:pt idx="15">
                  <c:v>0</c:v>
                </c:pt>
              </c:numCache>
            </c:numRef>
          </c:val>
        </c:ser>
        <c:ser>
          <c:idx val="10"/>
          <c:order val="10"/>
          <c:tx>
            <c:strRef>
              <c:f>'MIVEC - 19 Cell'!$AG$29</c:f>
              <c:strCache>
                <c:ptCount val="1"/>
                <c:pt idx="0">
                  <c:v>100</c:v>
                </c:pt>
              </c:strCache>
            </c:strRef>
          </c:tx>
          <c:spPr>
            <a:solidFill>
              <a:srgbClr val="FFFF0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Cell'!$AG$30:$AG$45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1"/>
          <c:order val="11"/>
          <c:tx>
            <c:strRef>
              <c:f>'MIVEC - 19 Cell'!$AH$29</c:f>
              <c:strCache>
                <c:ptCount val="1"/>
                <c:pt idx="0">
                  <c:v>120</c:v>
                </c:pt>
              </c:strCache>
            </c:strRef>
          </c:tx>
          <c:spPr>
            <a:solidFill>
              <a:srgbClr val="00FF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Cell'!$AH$30:$AH$45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2"/>
          <c:order val="12"/>
          <c:tx>
            <c:strRef>
              <c:f>'MIVEC - 19 Cell'!$AI$29</c:f>
              <c:strCache>
                <c:ptCount val="1"/>
                <c:pt idx="0">
                  <c:v>140</c:v>
                </c:pt>
              </c:strCache>
            </c:strRef>
          </c:tx>
          <c:spPr>
            <a:solidFill>
              <a:srgbClr val="80008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Cell'!$AI$30:$AI$45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3"/>
          <c:order val="13"/>
          <c:tx>
            <c:strRef>
              <c:f>'MIVEC - 19 Cell'!$AJ$29</c:f>
              <c:strCache>
                <c:ptCount val="1"/>
                <c:pt idx="0">
                  <c:v>160</c:v>
                </c:pt>
              </c:strCache>
            </c:strRef>
          </c:tx>
          <c:spPr>
            <a:solidFill>
              <a:srgbClr val="80000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Cell'!$AJ$30:$AJ$45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14.4</c:v>
                </c:pt>
                <c:pt idx="13">
                  <c:v>9.6</c:v>
                </c:pt>
                <c:pt idx="14">
                  <c:v>0</c:v>
                </c:pt>
                <c:pt idx="15">
                  <c:v>0</c:v>
                </c:pt>
              </c:numCache>
            </c:numRef>
          </c:val>
        </c:ser>
        <c:ser>
          <c:idx val="14"/>
          <c:order val="14"/>
          <c:tx>
            <c:strRef>
              <c:f>'MIVEC - 19 Cell'!$AK$29</c:f>
              <c:strCache>
                <c:ptCount val="1"/>
                <c:pt idx="0">
                  <c:v>180</c:v>
                </c:pt>
              </c:strCache>
            </c:strRef>
          </c:tx>
          <c:spPr>
            <a:solidFill>
              <a:srgbClr val="00808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Cell'!$AK$30:$AK$45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5"/>
          <c:order val="15"/>
          <c:tx>
            <c:strRef>
              <c:f>'MIVEC - 19 Cell'!$AL$29</c:f>
              <c:strCache>
                <c:ptCount val="1"/>
                <c:pt idx="0">
                  <c:v>200</c:v>
                </c:pt>
              </c:strCache>
            </c:strRef>
          </c:tx>
          <c:spPr>
            <a:solidFill>
              <a:srgbClr val="0000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Cell'!$AL$30:$AL$45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6"/>
          <c:order val="16"/>
          <c:tx>
            <c:strRef>
              <c:f>'MIVEC - 19 Cell'!$AM$29</c:f>
              <c:strCache>
                <c:ptCount val="1"/>
                <c:pt idx="0">
                  <c:v>220</c:v>
                </c:pt>
              </c:strCache>
            </c:strRef>
          </c:tx>
          <c:spPr>
            <a:solidFill>
              <a:srgbClr val="00CC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Cell'!$AM$30:$AM$45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7"/>
          <c:order val="17"/>
          <c:tx>
            <c:strRef>
              <c:f>'MIVEC - 19 Cell'!$AN$29</c:f>
              <c:strCache>
                <c:ptCount val="1"/>
                <c:pt idx="0">
                  <c:v>240</c:v>
                </c:pt>
              </c:strCache>
            </c:strRef>
          </c:tx>
          <c:spPr>
            <a:solidFill>
              <a:srgbClr val="CCFF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Cell'!$AN$30:$AN$45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8"/>
          <c:order val="18"/>
          <c:tx>
            <c:strRef>
              <c:f>'MIVEC - 19 Cell'!$AO$29</c:f>
              <c:strCache>
                <c:ptCount val="1"/>
                <c:pt idx="0">
                  <c:v>260</c:v>
                </c:pt>
              </c:strCache>
            </c:strRef>
          </c:tx>
          <c:spPr>
            <a:solidFill>
              <a:srgbClr val="CCFFCC"/>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Cell'!$AO$30:$AO$45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96655232"/>
        <c:axId val="96661504"/>
        <c:axId val="96610944"/>
      </c:surface3DChart>
      <c:catAx>
        <c:axId val="96655232"/>
        <c:scaling>
          <c:orientation val="maxMin"/>
        </c:scaling>
        <c:axPos val="b"/>
        <c:title>
          <c:tx>
            <c:rich>
              <a:bodyPr rot="5400000" vert="horz"/>
              <a:lstStyle/>
              <a:p>
                <a:pPr algn="ctr">
                  <a:defRPr sz="950" b="1" i="0" u="none" strike="noStrike" baseline="0">
                    <a:solidFill>
                      <a:srgbClr val="000000"/>
                    </a:solidFill>
                    <a:latin typeface="Arial"/>
                    <a:ea typeface="Arial"/>
                    <a:cs typeface="Arial"/>
                  </a:defRPr>
                </a:pPr>
                <a:r>
                  <a:rPr lang="en-US"/>
                  <a:t>RPM</a:t>
                </a:r>
              </a:p>
            </c:rich>
          </c:tx>
          <c:layout>
            <c:manualLayout>
              <c:xMode val="edge"/>
              <c:yMode val="edge"/>
              <c:x val="0.94109733186871869"/>
              <c:y val="0.42374175789001989"/>
            </c:manualLayout>
          </c:layout>
          <c:spPr>
            <a:noFill/>
            <a:ln w="25400">
              <a:noFill/>
            </a:ln>
          </c:spPr>
        </c:title>
        <c:numFmt formatCode="General" sourceLinked="1"/>
        <c:tickLblPos val="low"/>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6661504"/>
        <c:crosses val="autoZero"/>
        <c:auto val="1"/>
        <c:lblAlgn val="ctr"/>
        <c:lblOffset val="100"/>
        <c:tickLblSkip val="1"/>
        <c:tickMarkSkip val="1"/>
        <c:noMultiLvlLbl val="1"/>
      </c:catAx>
      <c:valAx>
        <c:axId val="96661504"/>
        <c:scaling>
          <c:orientation val="minMax"/>
          <c:max val="28.8"/>
          <c:min val="-1.2"/>
        </c:scaling>
        <c:axPos val="r"/>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6655232"/>
        <c:crosses val="autoZero"/>
        <c:crossBetween val="midCat"/>
        <c:majorUnit val="1.5"/>
      </c:valAx>
      <c:serAx>
        <c:axId val="96610944"/>
        <c:scaling>
          <c:orientation val="maxMin"/>
        </c:scaling>
        <c:axPos val="b"/>
        <c:title>
          <c:tx>
            <c:rich>
              <a:bodyPr/>
              <a:lstStyle/>
              <a:p>
                <a:pPr>
                  <a:defRPr sz="950" b="1" i="0" u="none" strike="noStrike" baseline="0">
                    <a:solidFill>
                      <a:srgbClr val="000000"/>
                    </a:solidFill>
                    <a:latin typeface="Arial"/>
                    <a:ea typeface="Arial"/>
                    <a:cs typeface="Arial"/>
                  </a:defRPr>
                </a:pPr>
                <a:r>
                  <a:rPr lang="en-US"/>
                  <a:t>Load</a:t>
                </a:r>
              </a:p>
            </c:rich>
          </c:tx>
          <c:layout>
            <c:manualLayout>
              <c:xMode val="edge"/>
              <c:yMode val="edge"/>
              <c:x val="0.44968021435390981"/>
              <c:y val="0.91104474745534869"/>
            </c:manualLayout>
          </c:layout>
          <c:spPr>
            <a:noFill/>
            <a:ln w="25400">
              <a:noFill/>
            </a:ln>
          </c:spPr>
        </c:title>
        <c:numFmt formatCode="General" sourceLinked="1"/>
        <c:tickLblPos val="low"/>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6661504"/>
        <c:crosses val="autoZero"/>
        <c:tickLblSkip val="1"/>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6.8663749579266242E-2"/>
          <c:y val="3.1391986782321371E-2"/>
          <c:w val="0.81184786267250131"/>
          <c:h val="0.84758364312267653"/>
        </c:manualLayout>
      </c:layout>
      <c:surface3DChart>
        <c:ser>
          <c:idx val="0"/>
          <c:order val="0"/>
          <c:tx>
            <c:strRef>
              <c:f>'MIVEC - 19 Cell'!$W$5</c:f>
              <c:strCache>
                <c:ptCount val="1"/>
                <c:pt idx="0">
                  <c:v>0</c:v>
                </c:pt>
              </c:strCache>
            </c:strRef>
          </c:tx>
          <c:spPr>
            <a:solidFill>
              <a:srgbClr val="9999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Cell'!$W$6:$W$21</c:f>
              <c:numCache>
                <c:formatCode>0.0</c:formatCode>
                <c:ptCount val="16"/>
                <c:pt idx="0">
                  <c:v>0</c:v>
                </c:pt>
                <c:pt idx="1">
                  <c:v>0</c:v>
                </c:pt>
                <c:pt idx="2">
                  <c:v>1.2000000000000028</c:v>
                </c:pt>
                <c:pt idx="3">
                  <c:v>3.6000000000000085</c:v>
                </c:pt>
                <c:pt idx="4">
                  <c:v>4.7999999999999972</c:v>
                </c:pt>
                <c:pt idx="5">
                  <c:v>6</c:v>
                </c:pt>
                <c:pt idx="6">
                  <c:v>8.4000000000000057</c:v>
                </c:pt>
                <c:pt idx="7">
                  <c:v>9.6000000000000014</c:v>
                </c:pt>
                <c:pt idx="8">
                  <c:v>9.6000000000000014</c:v>
                </c:pt>
                <c:pt idx="9">
                  <c:v>9.6000000000000014</c:v>
                </c:pt>
                <c:pt idx="10">
                  <c:v>8.4000000000000057</c:v>
                </c:pt>
                <c:pt idx="11">
                  <c:v>6</c:v>
                </c:pt>
                <c:pt idx="12">
                  <c:v>4.7999999999999972</c:v>
                </c:pt>
                <c:pt idx="13">
                  <c:v>3.6000000000000085</c:v>
                </c:pt>
                <c:pt idx="14">
                  <c:v>1.2000000000000028</c:v>
                </c:pt>
                <c:pt idx="15">
                  <c:v>0</c:v>
                </c:pt>
              </c:numCache>
            </c:numRef>
          </c:val>
        </c:ser>
        <c:ser>
          <c:idx val="1"/>
          <c:order val="1"/>
          <c:tx>
            <c:strRef>
              <c:f>'MIVEC - 19 Cell'!$X$5</c:f>
              <c:strCache>
                <c:ptCount val="1"/>
                <c:pt idx="0">
                  <c:v>10</c:v>
                </c:pt>
              </c:strCache>
            </c:strRef>
          </c:tx>
          <c:spPr>
            <a:solidFill>
              <a:srgbClr val="993366"/>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Cell'!$X$6:$X$21</c:f>
              <c:numCache>
                <c:formatCode>0.0</c:formatCode>
                <c:ptCount val="16"/>
                <c:pt idx="0">
                  <c:v>0</c:v>
                </c:pt>
                <c:pt idx="1">
                  <c:v>0</c:v>
                </c:pt>
                <c:pt idx="2">
                  <c:v>1.2000000000000028</c:v>
                </c:pt>
                <c:pt idx="3">
                  <c:v>4.2000000000000028</c:v>
                </c:pt>
                <c:pt idx="4">
                  <c:v>6</c:v>
                </c:pt>
                <c:pt idx="5">
                  <c:v>7.2000000000000028</c:v>
                </c:pt>
                <c:pt idx="6">
                  <c:v>10.200000000000003</c:v>
                </c:pt>
                <c:pt idx="7">
                  <c:v>10.200000000000003</c:v>
                </c:pt>
                <c:pt idx="8">
                  <c:v>10.200000000000003</c:v>
                </c:pt>
                <c:pt idx="9">
                  <c:v>9.6000000000000014</c:v>
                </c:pt>
                <c:pt idx="10">
                  <c:v>8.4000000000000057</c:v>
                </c:pt>
                <c:pt idx="11">
                  <c:v>6</c:v>
                </c:pt>
                <c:pt idx="12">
                  <c:v>4.7999999999999972</c:v>
                </c:pt>
                <c:pt idx="13">
                  <c:v>3.6000000000000085</c:v>
                </c:pt>
                <c:pt idx="14">
                  <c:v>1.2000000000000028</c:v>
                </c:pt>
                <c:pt idx="15">
                  <c:v>0</c:v>
                </c:pt>
              </c:numCache>
            </c:numRef>
          </c:val>
        </c:ser>
        <c:ser>
          <c:idx val="2"/>
          <c:order val="2"/>
          <c:tx>
            <c:strRef>
              <c:f>'MIVEC - 19 Cell'!$Y$5</c:f>
              <c:strCache>
                <c:ptCount val="1"/>
                <c:pt idx="0">
                  <c:v>20</c:v>
                </c:pt>
              </c:strCache>
            </c:strRef>
          </c:tx>
          <c:spPr>
            <a:solidFill>
              <a:srgbClr val="FFFFCC"/>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Cell'!$Y$6:$Y$21</c:f>
              <c:numCache>
                <c:formatCode>0.0</c:formatCode>
                <c:ptCount val="16"/>
                <c:pt idx="0">
                  <c:v>0</c:v>
                </c:pt>
                <c:pt idx="1">
                  <c:v>0</c:v>
                </c:pt>
                <c:pt idx="2">
                  <c:v>1.7999999999999972</c:v>
                </c:pt>
                <c:pt idx="3">
                  <c:v>6.6000000000000085</c:v>
                </c:pt>
                <c:pt idx="4">
                  <c:v>9</c:v>
                </c:pt>
                <c:pt idx="5">
                  <c:v>12</c:v>
                </c:pt>
                <c:pt idx="6">
                  <c:v>13.200000000000003</c:v>
                </c:pt>
                <c:pt idx="7">
                  <c:v>12.600000000000001</c:v>
                </c:pt>
                <c:pt idx="8">
                  <c:v>10.200000000000003</c:v>
                </c:pt>
                <c:pt idx="9">
                  <c:v>9.6000000000000014</c:v>
                </c:pt>
                <c:pt idx="10">
                  <c:v>8.4000000000000057</c:v>
                </c:pt>
                <c:pt idx="11">
                  <c:v>6</c:v>
                </c:pt>
                <c:pt idx="12">
                  <c:v>4.7999999999999972</c:v>
                </c:pt>
                <c:pt idx="13">
                  <c:v>3.6000000000000085</c:v>
                </c:pt>
                <c:pt idx="14">
                  <c:v>1.2000000000000028</c:v>
                </c:pt>
                <c:pt idx="15">
                  <c:v>0</c:v>
                </c:pt>
              </c:numCache>
            </c:numRef>
          </c:val>
        </c:ser>
        <c:ser>
          <c:idx val="3"/>
          <c:order val="3"/>
          <c:tx>
            <c:strRef>
              <c:f>'MIVEC - 19 Cell'!$Z$5</c:f>
              <c:strCache>
                <c:ptCount val="1"/>
                <c:pt idx="0">
                  <c:v>30</c:v>
                </c:pt>
              </c:strCache>
            </c:strRef>
          </c:tx>
          <c:spPr>
            <a:solidFill>
              <a:srgbClr val="CCFF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Cell'!$Z$6:$Z$21</c:f>
              <c:numCache>
                <c:formatCode>0.0</c:formatCode>
                <c:ptCount val="16"/>
                <c:pt idx="0">
                  <c:v>0</c:v>
                </c:pt>
                <c:pt idx="1">
                  <c:v>0.60000000000000853</c:v>
                </c:pt>
                <c:pt idx="2">
                  <c:v>2.4000000000000057</c:v>
                </c:pt>
                <c:pt idx="3">
                  <c:v>7.7999999999999972</c:v>
                </c:pt>
                <c:pt idx="4">
                  <c:v>10.800000000000004</c:v>
                </c:pt>
                <c:pt idx="5">
                  <c:v>13.200000000000003</c:v>
                </c:pt>
                <c:pt idx="6">
                  <c:v>14.400000000000006</c:v>
                </c:pt>
                <c:pt idx="7">
                  <c:v>13.800000000000004</c:v>
                </c:pt>
                <c:pt idx="8">
                  <c:v>12</c:v>
                </c:pt>
                <c:pt idx="9">
                  <c:v>11.400000000000006</c:v>
                </c:pt>
                <c:pt idx="10">
                  <c:v>9.6000000000000014</c:v>
                </c:pt>
                <c:pt idx="11">
                  <c:v>6</c:v>
                </c:pt>
                <c:pt idx="12">
                  <c:v>4.7999999999999972</c:v>
                </c:pt>
                <c:pt idx="13">
                  <c:v>3.6000000000000085</c:v>
                </c:pt>
                <c:pt idx="14">
                  <c:v>1.2000000000000028</c:v>
                </c:pt>
                <c:pt idx="15">
                  <c:v>0</c:v>
                </c:pt>
              </c:numCache>
            </c:numRef>
          </c:val>
        </c:ser>
        <c:ser>
          <c:idx val="4"/>
          <c:order val="4"/>
          <c:tx>
            <c:strRef>
              <c:f>'MIVEC - 19 Cell'!$AA$5</c:f>
              <c:strCache>
                <c:ptCount val="1"/>
                <c:pt idx="0">
                  <c:v>40</c:v>
                </c:pt>
              </c:strCache>
            </c:strRef>
          </c:tx>
          <c:spPr>
            <a:solidFill>
              <a:srgbClr val="660066"/>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Cell'!$AA$6:$AA$21</c:f>
              <c:numCache>
                <c:formatCode>0.0</c:formatCode>
                <c:ptCount val="16"/>
                <c:pt idx="0">
                  <c:v>0</c:v>
                </c:pt>
                <c:pt idx="1">
                  <c:v>0.60000000000000853</c:v>
                </c:pt>
                <c:pt idx="2">
                  <c:v>4.7999999999999972</c:v>
                </c:pt>
                <c:pt idx="3">
                  <c:v>9</c:v>
                </c:pt>
                <c:pt idx="4">
                  <c:v>12</c:v>
                </c:pt>
                <c:pt idx="5">
                  <c:v>14.400000000000006</c:v>
                </c:pt>
                <c:pt idx="6">
                  <c:v>15.600000000000001</c:v>
                </c:pt>
                <c:pt idx="7">
                  <c:v>15.600000000000001</c:v>
                </c:pt>
                <c:pt idx="8">
                  <c:v>16.800000000000004</c:v>
                </c:pt>
                <c:pt idx="9">
                  <c:v>16.200000000000003</c:v>
                </c:pt>
                <c:pt idx="10">
                  <c:v>13.200000000000003</c:v>
                </c:pt>
                <c:pt idx="11">
                  <c:v>7.7999999999999972</c:v>
                </c:pt>
                <c:pt idx="12">
                  <c:v>6</c:v>
                </c:pt>
                <c:pt idx="13">
                  <c:v>4.2000000000000028</c:v>
                </c:pt>
                <c:pt idx="14">
                  <c:v>1.2000000000000028</c:v>
                </c:pt>
                <c:pt idx="15">
                  <c:v>0</c:v>
                </c:pt>
              </c:numCache>
            </c:numRef>
          </c:val>
        </c:ser>
        <c:ser>
          <c:idx val="5"/>
          <c:order val="5"/>
          <c:tx>
            <c:strRef>
              <c:f>'MIVEC - 19 Cell'!$AB$5</c:f>
              <c:strCache>
                <c:ptCount val="1"/>
                <c:pt idx="0">
                  <c:v>50</c:v>
                </c:pt>
              </c:strCache>
            </c:strRef>
          </c:tx>
          <c:spPr>
            <a:solidFill>
              <a:srgbClr val="FF808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Cell'!$AB$6:$AB$21</c:f>
              <c:numCache>
                <c:formatCode>0.0</c:formatCode>
                <c:ptCount val="16"/>
                <c:pt idx="0">
                  <c:v>1.2000000000000028</c:v>
                </c:pt>
                <c:pt idx="1">
                  <c:v>2.4000000000000057</c:v>
                </c:pt>
                <c:pt idx="2">
                  <c:v>6.6000000000000085</c:v>
                </c:pt>
                <c:pt idx="3">
                  <c:v>12</c:v>
                </c:pt>
                <c:pt idx="4">
                  <c:v>15</c:v>
                </c:pt>
                <c:pt idx="5">
                  <c:v>17.399999999999999</c:v>
                </c:pt>
                <c:pt idx="6">
                  <c:v>18</c:v>
                </c:pt>
                <c:pt idx="7">
                  <c:v>18.600000000000001</c:v>
                </c:pt>
                <c:pt idx="8">
                  <c:v>18.600000000000001</c:v>
                </c:pt>
                <c:pt idx="9">
                  <c:v>18.600000000000001</c:v>
                </c:pt>
                <c:pt idx="10">
                  <c:v>15</c:v>
                </c:pt>
                <c:pt idx="11">
                  <c:v>12.600000000000001</c:v>
                </c:pt>
                <c:pt idx="12">
                  <c:v>8.4000000000000057</c:v>
                </c:pt>
                <c:pt idx="13">
                  <c:v>4.2000000000000028</c:v>
                </c:pt>
                <c:pt idx="14">
                  <c:v>1.2000000000000028</c:v>
                </c:pt>
                <c:pt idx="15">
                  <c:v>0</c:v>
                </c:pt>
              </c:numCache>
            </c:numRef>
          </c:val>
        </c:ser>
        <c:ser>
          <c:idx val="6"/>
          <c:order val="6"/>
          <c:tx>
            <c:strRef>
              <c:f>'MIVEC - 19 Cell'!$AC$5</c:f>
              <c:strCache>
                <c:ptCount val="1"/>
                <c:pt idx="0">
                  <c:v>60</c:v>
                </c:pt>
              </c:strCache>
            </c:strRef>
          </c:tx>
          <c:spPr>
            <a:solidFill>
              <a:srgbClr val="0066CC"/>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Cell'!$AC$6:$AC$21</c:f>
              <c:numCache>
                <c:formatCode>0.0</c:formatCode>
                <c:ptCount val="16"/>
                <c:pt idx="0">
                  <c:v>1.7999999999999972</c:v>
                </c:pt>
                <c:pt idx="1">
                  <c:v>7.2000000000000028</c:v>
                </c:pt>
                <c:pt idx="2">
                  <c:v>10.800000000000004</c:v>
                </c:pt>
                <c:pt idx="3">
                  <c:v>15</c:v>
                </c:pt>
                <c:pt idx="4">
                  <c:v>18</c:v>
                </c:pt>
                <c:pt idx="5">
                  <c:v>18.600000000000001</c:v>
                </c:pt>
                <c:pt idx="6">
                  <c:v>19.200000000000003</c:v>
                </c:pt>
                <c:pt idx="7">
                  <c:v>19.200000000000003</c:v>
                </c:pt>
                <c:pt idx="8">
                  <c:v>19.200000000000003</c:v>
                </c:pt>
                <c:pt idx="9">
                  <c:v>18.600000000000001</c:v>
                </c:pt>
                <c:pt idx="10">
                  <c:v>18</c:v>
                </c:pt>
                <c:pt idx="11">
                  <c:v>13.800000000000004</c:v>
                </c:pt>
                <c:pt idx="12">
                  <c:v>9.6000000000000014</c:v>
                </c:pt>
                <c:pt idx="13">
                  <c:v>4.7999999999999972</c:v>
                </c:pt>
                <c:pt idx="14">
                  <c:v>1.2000000000000028</c:v>
                </c:pt>
                <c:pt idx="15">
                  <c:v>0</c:v>
                </c:pt>
              </c:numCache>
            </c:numRef>
          </c:val>
        </c:ser>
        <c:ser>
          <c:idx val="7"/>
          <c:order val="7"/>
          <c:tx>
            <c:strRef>
              <c:f>'MIVEC - 19 Cell'!$AD$5</c:f>
              <c:strCache>
                <c:ptCount val="1"/>
                <c:pt idx="0">
                  <c:v>70</c:v>
                </c:pt>
              </c:strCache>
            </c:strRef>
          </c:tx>
          <c:spPr>
            <a:solidFill>
              <a:srgbClr val="CCCC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Cell'!$AD$6:$AD$21</c:f>
              <c:numCache>
                <c:formatCode>0.0</c:formatCode>
                <c:ptCount val="16"/>
                <c:pt idx="0">
                  <c:v>3</c:v>
                </c:pt>
                <c:pt idx="1">
                  <c:v>9</c:v>
                </c:pt>
                <c:pt idx="2">
                  <c:v>15.600000000000001</c:v>
                </c:pt>
                <c:pt idx="3">
                  <c:v>18</c:v>
                </c:pt>
                <c:pt idx="4">
                  <c:v>18.600000000000001</c:v>
                </c:pt>
                <c:pt idx="5">
                  <c:v>19.200000000000003</c:v>
                </c:pt>
                <c:pt idx="6">
                  <c:v>19.200000000000003</c:v>
                </c:pt>
                <c:pt idx="7">
                  <c:v>19.200000000000003</c:v>
                </c:pt>
                <c:pt idx="8">
                  <c:v>19.200000000000003</c:v>
                </c:pt>
                <c:pt idx="9">
                  <c:v>19.200000000000003</c:v>
                </c:pt>
                <c:pt idx="10">
                  <c:v>18</c:v>
                </c:pt>
                <c:pt idx="11">
                  <c:v>14.400000000000006</c:v>
                </c:pt>
                <c:pt idx="12">
                  <c:v>9.6000000000000014</c:v>
                </c:pt>
                <c:pt idx="13">
                  <c:v>4.7999999999999972</c:v>
                </c:pt>
                <c:pt idx="14">
                  <c:v>1.2000000000000028</c:v>
                </c:pt>
                <c:pt idx="15">
                  <c:v>0</c:v>
                </c:pt>
              </c:numCache>
            </c:numRef>
          </c:val>
        </c:ser>
        <c:ser>
          <c:idx val="8"/>
          <c:order val="8"/>
          <c:tx>
            <c:strRef>
              <c:f>'MIVEC - 19 Cell'!$AE$5</c:f>
              <c:strCache>
                <c:ptCount val="1"/>
                <c:pt idx="0">
                  <c:v>80</c:v>
                </c:pt>
              </c:strCache>
            </c:strRef>
          </c:tx>
          <c:spPr>
            <a:solidFill>
              <a:srgbClr val="00008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Cell'!$AE$6:$AE$21</c:f>
              <c:numCache>
                <c:formatCode>0.0</c:formatCode>
                <c:ptCount val="16"/>
                <c:pt idx="0">
                  <c:v>3</c:v>
                </c:pt>
                <c:pt idx="1">
                  <c:v>9.6000000000000014</c:v>
                </c:pt>
                <c:pt idx="2">
                  <c:v>16.800000000000004</c:v>
                </c:pt>
                <c:pt idx="3">
                  <c:v>19.200000000000003</c:v>
                </c:pt>
                <c:pt idx="4">
                  <c:v>19.200000000000003</c:v>
                </c:pt>
                <c:pt idx="5">
                  <c:v>19.200000000000003</c:v>
                </c:pt>
                <c:pt idx="6">
                  <c:v>18.600000000000001</c:v>
                </c:pt>
                <c:pt idx="7">
                  <c:v>18.600000000000001</c:v>
                </c:pt>
                <c:pt idx="8">
                  <c:v>18.600000000000001</c:v>
                </c:pt>
                <c:pt idx="9">
                  <c:v>18.600000000000001</c:v>
                </c:pt>
                <c:pt idx="10">
                  <c:v>17.399999999999999</c:v>
                </c:pt>
                <c:pt idx="11">
                  <c:v>13.800000000000004</c:v>
                </c:pt>
                <c:pt idx="12">
                  <c:v>9.6000000000000014</c:v>
                </c:pt>
                <c:pt idx="13">
                  <c:v>4.7999999999999972</c:v>
                </c:pt>
                <c:pt idx="14">
                  <c:v>1.2000000000000028</c:v>
                </c:pt>
                <c:pt idx="15">
                  <c:v>0</c:v>
                </c:pt>
              </c:numCache>
            </c:numRef>
          </c:val>
        </c:ser>
        <c:ser>
          <c:idx val="9"/>
          <c:order val="9"/>
          <c:tx>
            <c:strRef>
              <c:f>'MIVEC - 19 Cell'!$AF$5</c:f>
              <c:strCache>
                <c:ptCount val="1"/>
                <c:pt idx="0">
                  <c:v>90</c:v>
                </c:pt>
              </c:strCache>
            </c:strRef>
          </c:tx>
          <c:spPr>
            <a:solidFill>
              <a:srgbClr val="FF00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Cell'!$AF$6:$AF$21</c:f>
              <c:numCache>
                <c:formatCode>0.0</c:formatCode>
                <c:ptCount val="16"/>
                <c:pt idx="0">
                  <c:v>3</c:v>
                </c:pt>
                <c:pt idx="1">
                  <c:v>9.6000000000000014</c:v>
                </c:pt>
                <c:pt idx="2">
                  <c:v>16.800000000000004</c:v>
                </c:pt>
                <c:pt idx="3">
                  <c:v>19.200000000000003</c:v>
                </c:pt>
                <c:pt idx="4">
                  <c:v>18.600000000000001</c:v>
                </c:pt>
                <c:pt idx="5">
                  <c:v>18.600000000000001</c:v>
                </c:pt>
                <c:pt idx="6">
                  <c:v>18</c:v>
                </c:pt>
                <c:pt idx="7">
                  <c:v>16.800000000000004</c:v>
                </c:pt>
                <c:pt idx="8">
                  <c:v>18</c:v>
                </c:pt>
                <c:pt idx="9">
                  <c:v>16.200000000000003</c:v>
                </c:pt>
                <c:pt idx="10">
                  <c:v>15</c:v>
                </c:pt>
                <c:pt idx="11">
                  <c:v>13.800000000000004</c:v>
                </c:pt>
                <c:pt idx="12">
                  <c:v>10.200000000000003</c:v>
                </c:pt>
                <c:pt idx="13">
                  <c:v>5.4000000000000057</c:v>
                </c:pt>
                <c:pt idx="14">
                  <c:v>1.2000000000000028</c:v>
                </c:pt>
                <c:pt idx="15">
                  <c:v>0</c:v>
                </c:pt>
              </c:numCache>
            </c:numRef>
          </c:val>
        </c:ser>
        <c:ser>
          <c:idx val="10"/>
          <c:order val="10"/>
          <c:tx>
            <c:strRef>
              <c:f>'MIVEC - 19 Cell'!$AG$5</c:f>
              <c:strCache>
                <c:ptCount val="1"/>
                <c:pt idx="0">
                  <c:v>100</c:v>
                </c:pt>
              </c:strCache>
            </c:strRef>
          </c:tx>
          <c:spPr>
            <a:solidFill>
              <a:srgbClr val="FFFF0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Cell'!$AG$6:$AG$21</c:f>
              <c:numCache>
                <c:formatCode>0.0</c:formatCode>
                <c:ptCount val="16"/>
                <c:pt idx="0">
                  <c:v>3</c:v>
                </c:pt>
                <c:pt idx="1">
                  <c:v>9.6000000000000014</c:v>
                </c:pt>
                <c:pt idx="2">
                  <c:v>16.800000000000004</c:v>
                </c:pt>
                <c:pt idx="3">
                  <c:v>19.200000000000003</c:v>
                </c:pt>
                <c:pt idx="4">
                  <c:v>18.600000000000001</c:v>
                </c:pt>
                <c:pt idx="5">
                  <c:v>16.200000000000003</c:v>
                </c:pt>
                <c:pt idx="6">
                  <c:v>15</c:v>
                </c:pt>
                <c:pt idx="7">
                  <c:v>15.600000000000001</c:v>
                </c:pt>
                <c:pt idx="8">
                  <c:v>16.800000000000004</c:v>
                </c:pt>
                <c:pt idx="9">
                  <c:v>15.600000000000001</c:v>
                </c:pt>
                <c:pt idx="10">
                  <c:v>14.400000000000006</c:v>
                </c:pt>
                <c:pt idx="11">
                  <c:v>13.200000000000003</c:v>
                </c:pt>
                <c:pt idx="12">
                  <c:v>10.200000000000003</c:v>
                </c:pt>
                <c:pt idx="13">
                  <c:v>7.2000000000000028</c:v>
                </c:pt>
                <c:pt idx="14">
                  <c:v>1.7999999999999972</c:v>
                </c:pt>
                <c:pt idx="15">
                  <c:v>0</c:v>
                </c:pt>
              </c:numCache>
            </c:numRef>
          </c:val>
        </c:ser>
        <c:ser>
          <c:idx val="11"/>
          <c:order val="11"/>
          <c:tx>
            <c:strRef>
              <c:f>'MIVEC - 19 Cell'!$AH$5</c:f>
              <c:strCache>
                <c:ptCount val="1"/>
                <c:pt idx="0">
                  <c:v>120</c:v>
                </c:pt>
              </c:strCache>
            </c:strRef>
          </c:tx>
          <c:spPr>
            <a:solidFill>
              <a:srgbClr val="00FF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Cell'!$AH$6:$AH$21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16.800000000000004</c:v>
                </c:pt>
                <c:pt idx="9">
                  <c:v>15.600000000000001</c:v>
                </c:pt>
                <c:pt idx="10">
                  <c:v>14.400000000000006</c:v>
                </c:pt>
                <c:pt idx="11">
                  <c:v>13.200000000000003</c:v>
                </c:pt>
                <c:pt idx="12">
                  <c:v>10.800000000000004</c:v>
                </c:pt>
                <c:pt idx="13">
                  <c:v>7.2000000000000028</c:v>
                </c:pt>
                <c:pt idx="14">
                  <c:v>2.4000000000000057</c:v>
                </c:pt>
                <c:pt idx="15">
                  <c:v>0</c:v>
                </c:pt>
              </c:numCache>
            </c:numRef>
          </c:val>
        </c:ser>
        <c:ser>
          <c:idx val="12"/>
          <c:order val="12"/>
          <c:tx>
            <c:strRef>
              <c:f>'MIVEC - 19 Cell'!$AI$5</c:f>
              <c:strCache>
                <c:ptCount val="1"/>
                <c:pt idx="0">
                  <c:v>140</c:v>
                </c:pt>
              </c:strCache>
            </c:strRef>
          </c:tx>
          <c:spPr>
            <a:solidFill>
              <a:srgbClr val="80008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Cell'!$AI$6:$AI$21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16.800000000000004</c:v>
                </c:pt>
                <c:pt idx="9">
                  <c:v>15.600000000000001</c:v>
                </c:pt>
                <c:pt idx="10">
                  <c:v>14.400000000000006</c:v>
                </c:pt>
                <c:pt idx="11">
                  <c:v>13.800000000000004</c:v>
                </c:pt>
                <c:pt idx="12">
                  <c:v>10.800000000000004</c:v>
                </c:pt>
                <c:pt idx="13">
                  <c:v>7.7999999999999972</c:v>
                </c:pt>
                <c:pt idx="14">
                  <c:v>2.4000000000000057</c:v>
                </c:pt>
                <c:pt idx="15">
                  <c:v>0</c:v>
                </c:pt>
              </c:numCache>
            </c:numRef>
          </c:val>
        </c:ser>
        <c:ser>
          <c:idx val="13"/>
          <c:order val="13"/>
          <c:tx>
            <c:strRef>
              <c:f>'MIVEC - 19 Cell'!$AJ$5</c:f>
              <c:strCache>
                <c:ptCount val="1"/>
                <c:pt idx="0">
                  <c:v>160</c:v>
                </c:pt>
              </c:strCache>
            </c:strRef>
          </c:tx>
          <c:spPr>
            <a:solidFill>
              <a:srgbClr val="80000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Cell'!$AJ$6:$AJ$21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18</c:v>
                </c:pt>
                <c:pt idx="9">
                  <c:v>16.800000000000004</c:v>
                </c:pt>
                <c:pt idx="10">
                  <c:v>16.800000000000004</c:v>
                </c:pt>
                <c:pt idx="11">
                  <c:v>15.600000000000001</c:v>
                </c:pt>
                <c:pt idx="12">
                  <c:v>13.800000000000004</c:v>
                </c:pt>
                <c:pt idx="13">
                  <c:v>8.4000000000000057</c:v>
                </c:pt>
                <c:pt idx="14">
                  <c:v>2.4000000000000057</c:v>
                </c:pt>
                <c:pt idx="15">
                  <c:v>0</c:v>
                </c:pt>
              </c:numCache>
            </c:numRef>
          </c:val>
        </c:ser>
        <c:ser>
          <c:idx val="14"/>
          <c:order val="14"/>
          <c:tx>
            <c:strRef>
              <c:f>'MIVEC - 19 Cell'!$AK$5</c:f>
              <c:strCache>
                <c:ptCount val="1"/>
                <c:pt idx="0">
                  <c:v>180</c:v>
                </c:pt>
              </c:strCache>
            </c:strRef>
          </c:tx>
          <c:spPr>
            <a:solidFill>
              <a:srgbClr val="00808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Cell'!$AK$6:$AK$21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18.600000000000001</c:v>
                </c:pt>
                <c:pt idx="9">
                  <c:v>21.6</c:v>
                </c:pt>
                <c:pt idx="10">
                  <c:v>21.6</c:v>
                </c:pt>
                <c:pt idx="11">
                  <c:v>21</c:v>
                </c:pt>
                <c:pt idx="12">
                  <c:v>16.800000000000004</c:v>
                </c:pt>
                <c:pt idx="13">
                  <c:v>9</c:v>
                </c:pt>
                <c:pt idx="14">
                  <c:v>2.4000000000000057</c:v>
                </c:pt>
                <c:pt idx="15">
                  <c:v>0</c:v>
                </c:pt>
              </c:numCache>
            </c:numRef>
          </c:val>
        </c:ser>
        <c:ser>
          <c:idx val="15"/>
          <c:order val="15"/>
          <c:tx>
            <c:strRef>
              <c:f>'MIVEC - 19 Cell'!$AL$5</c:f>
              <c:strCache>
                <c:ptCount val="1"/>
                <c:pt idx="0">
                  <c:v>200</c:v>
                </c:pt>
              </c:strCache>
            </c:strRef>
          </c:tx>
          <c:spPr>
            <a:solidFill>
              <a:srgbClr val="0000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Cell'!$AL$6:$AL$21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6"/>
          <c:order val="16"/>
          <c:tx>
            <c:strRef>
              <c:f>'MIVEC - 19 Cell'!$AM$5</c:f>
              <c:strCache>
                <c:ptCount val="1"/>
                <c:pt idx="0">
                  <c:v>220</c:v>
                </c:pt>
              </c:strCache>
            </c:strRef>
          </c:tx>
          <c:spPr>
            <a:solidFill>
              <a:srgbClr val="00CC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Cell'!$AM$6:$AM$21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7"/>
          <c:order val="17"/>
          <c:tx>
            <c:strRef>
              <c:f>'MIVEC - 19 Cell'!$AN$5</c:f>
              <c:strCache>
                <c:ptCount val="1"/>
                <c:pt idx="0">
                  <c:v>240</c:v>
                </c:pt>
              </c:strCache>
            </c:strRef>
          </c:tx>
          <c:spPr>
            <a:solidFill>
              <a:srgbClr val="CCFF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Cell'!$AN$6:$AN$21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8"/>
          <c:order val="18"/>
          <c:tx>
            <c:strRef>
              <c:f>'MIVEC - 19 Cell'!$AO$5</c:f>
              <c:strCache>
                <c:ptCount val="1"/>
                <c:pt idx="0">
                  <c:v>260</c:v>
                </c:pt>
              </c:strCache>
            </c:strRef>
          </c:tx>
          <c:spPr>
            <a:solidFill>
              <a:srgbClr val="CCFFCC"/>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Cell'!$AO$6:$AO$21</c:f>
              <c:numCache>
                <c:formatCode>0.0</c:formatCode>
                <c:ptCount val="16"/>
                <c:pt idx="0">
                  <c:v>2.4000000000000057</c:v>
                </c:pt>
                <c:pt idx="1">
                  <c:v>9.6000000000000014</c:v>
                </c:pt>
                <c:pt idx="2">
                  <c:v>17.399999999999999</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1.7999999999999972</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97034240"/>
        <c:axId val="97036160"/>
        <c:axId val="96915904"/>
      </c:surface3DChart>
      <c:catAx>
        <c:axId val="97034240"/>
        <c:scaling>
          <c:orientation val="maxMin"/>
        </c:scaling>
        <c:axPos val="b"/>
        <c:title>
          <c:tx>
            <c:rich>
              <a:bodyPr rot="5400000" vert="horz"/>
              <a:lstStyle/>
              <a:p>
                <a:pPr algn="ctr">
                  <a:defRPr sz="950" b="1" i="0" u="none" strike="noStrike" baseline="0">
                    <a:solidFill>
                      <a:srgbClr val="000000"/>
                    </a:solidFill>
                    <a:latin typeface="Arial"/>
                    <a:ea typeface="Arial"/>
                    <a:cs typeface="Arial"/>
                  </a:defRPr>
                </a:pPr>
                <a:r>
                  <a:rPr lang="en-US"/>
                  <a:t>RPM</a:t>
                </a:r>
              </a:p>
            </c:rich>
          </c:tx>
          <c:layout>
            <c:manualLayout>
              <c:xMode val="edge"/>
              <c:yMode val="edge"/>
              <c:x val="0.94109727668956911"/>
              <c:y val="0.42131342053317716"/>
            </c:manualLayout>
          </c:layout>
          <c:spPr>
            <a:noFill/>
            <a:ln w="25400">
              <a:noFill/>
            </a:ln>
          </c:spPr>
        </c:title>
        <c:numFmt formatCode="General" sourceLinked="1"/>
        <c:tickLblPos val="low"/>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7036160"/>
        <c:crosses val="autoZero"/>
        <c:auto val="1"/>
        <c:lblAlgn val="ctr"/>
        <c:lblOffset val="100"/>
        <c:tickLblSkip val="1"/>
        <c:tickMarkSkip val="1"/>
        <c:noMultiLvlLbl val="1"/>
      </c:catAx>
      <c:valAx>
        <c:axId val="97036160"/>
        <c:scaling>
          <c:orientation val="minMax"/>
          <c:max val="28.8"/>
          <c:min val="-1.2"/>
        </c:scaling>
        <c:axPos val="r"/>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7034240"/>
        <c:crosses val="autoZero"/>
        <c:crossBetween val="midCat"/>
        <c:majorUnit val="1.5"/>
      </c:valAx>
      <c:serAx>
        <c:axId val="96915904"/>
        <c:scaling>
          <c:orientation val="maxMin"/>
        </c:scaling>
        <c:axPos val="b"/>
        <c:title>
          <c:tx>
            <c:rich>
              <a:bodyPr/>
              <a:lstStyle/>
              <a:p>
                <a:pPr>
                  <a:defRPr sz="950" b="1" i="0" u="none" strike="noStrike" baseline="0">
                    <a:solidFill>
                      <a:srgbClr val="000000"/>
                    </a:solidFill>
                    <a:latin typeface="Arial"/>
                    <a:ea typeface="Arial"/>
                    <a:cs typeface="Arial"/>
                  </a:defRPr>
                </a:pPr>
                <a:r>
                  <a:rPr lang="en-US"/>
                  <a:t>Load</a:t>
                </a:r>
              </a:p>
            </c:rich>
          </c:tx>
          <c:layout>
            <c:manualLayout>
              <c:xMode val="edge"/>
              <c:yMode val="edge"/>
              <c:x val="0.44564113328486737"/>
              <c:y val="0.91862866315264313"/>
            </c:manualLayout>
          </c:layout>
          <c:spPr>
            <a:noFill/>
            <a:ln w="25400">
              <a:noFill/>
            </a:ln>
          </c:spPr>
        </c:title>
        <c:numFmt formatCode="General" sourceLinked="1"/>
        <c:tickLblPos val="low"/>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7036160"/>
        <c:crosses val="autoZero"/>
        <c:tickLblSkip val="1"/>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n-US"/>
  <c:chart>
    <c:view3D>
      <c:rotX val="50"/>
      <c:hPercent val="100"/>
      <c:rotY val="198"/>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0.11341149689667944"/>
          <c:y val="1.0253123998718364E-2"/>
          <c:w val="0.79928102574802651"/>
          <c:h val="0.9112463953860942"/>
        </c:manualLayout>
      </c:layout>
      <c:surface3DChart>
        <c:ser>
          <c:idx val="0"/>
          <c:order val="0"/>
          <c:tx>
            <c:strRef>
              <c:f>'MIVEC - 19 Cell'!$W$5</c:f>
              <c:strCache>
                <c:ptCount val="1"/>
                <c:pt idx="0">
                  <c:v>0</c:v>
                </c:pt>
              </c:strCache>
            </c:strRef>
          </c:tx>
          <c:spPr>
            <a:solidFill>
              <a:srgbClr val="9999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Cell'!$W$6:$W$21</c:f>
              <c:numCache>
                <c:formatCode>0.0</c:formatCode>
                <c:ptCount val="16"/>
                <c:pt idx="0">
                  <c:v>0</c:v>
                </c:pt>
                <c:pt idx="1">
                  <c:v>0</c:v>
                </c:pt>
                <c:pt idx="2">
                  <c:v>1.2000000000000028</c:v>
                </c:pt>
                <c:pt idx="3">
                  <c:v>3.6000000000000085</c:v>
                </c:pt>
                <c:pt idx="4">
                  <c:v>4.7999999999999972</c:v>
                </c:pt>
                <c:pt idx="5">
                  <c:v>6</c:v>
                </c:pt>
                <c:pt idx="6">
                  <c:v>8.4000000000000057</c:v>
                </c:pt>
                <c:pt idx="7">
                  <c:v>9.6000000000000014</c:v>
                </c:pt>
                <c:pt idx="8">
                  <c:v>9.6000000000000014</c:v>
                </c:pt>
                <c:pt idx="9">
                  <c:v>9.6000000000000014</c:v>
                </c:pt>
                <c:pt idx="10">
                  <c:v>8.4000000000000057</c:v>
                </c:pt>
                <c:pt idx="11">
                  <c:v>6</c:v>
                </c:pt>
                <c:pt idx="12">
                  <c:v>4.7999999999999972</c:v>
                </c:pt>
                <c:pt idx="13">
                  <c:v>3.6000000000000085</c:v>
                </c:pt>
                <c:pt idx="14">
                  <c:v>1.2000000000000028</c:v>
                </c:pt>
                <c:pt idx="15">
                  <c:v>0</c:v>
                </c:pt>
              </c:numCache>
            </c:numRef>
          </c:val>
        </c:ser>
        <c:ser>
          <c:idx val="1"/>
          <c:order val="1"/>
          <c:tx>
            <c:strRef>
              <c:f>'MIVEC - 19 Cell'!$X$5</c:f>
              <c:strCache>
                <c:ptCount val="1"/>
                <c:pt idx="0">
                  <c:v>10</c:v>
                </c:pt>
              </c:strCache>
            </c:strRef>
          </c:tx>
          <c:spPr>
            <a:solidFill>
              <a:srgbClr val="993366"/>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Cell'!$X$6:$X$21</c:f>
              <c:numCache>
                <c:formatCode>0.0</c:formatCode>
                <c:ptCount val="16"/>
                <c:pt idx="0">
                  <c:v>0</c:v>
                </c:pt>
                <c:pt idx="1">
                  <c:v>0</c:v>
                </c:pt>
                <c:pt idx="2">
                  <c:v>1.2000000000000028</c:v>
                </c:pt>
                <c:pt idx="3">
                  <c:v>4.2000000000000028</c:v>
                </c:pt>
                <c:pt idx="4">
                  <c:v>6</c:v>
                </c:pt>
                <c:pt idx="5">
                  <c:v>7.2000000000000028</c:v>
                </c:pt>
                <c:pt idx="6">
                  <c:v>10.200000000000003</c:v>
                </c:pt>
                <c:pt idx="7">
                  <c:v>10.200000000000003</c:v>
                </c:pt>
                <c:pt idx="8">
                  <c:v>10.200000000000003</c:v>
                </c:pt>
                <c:pt idx="9">
                  <c:v>9.6000000000000014</c:v>
                </c:pt>
                <c:pt idx="10">
                  <c:v>8.4000000000000057</c:v>
                </c:pt>
                <c:pt idx="11">
                  <c:v>6</c:v>
                </c:pt>
                <c:pt idx="12">
                  <c:v>4.7999999999999972</c:v>
                </c:pt>
                <c:pt idx="13">
                  <c:v>3.6000000000000085</c:v>
                </c:pt>
                <c:pt idx="14">
                  <c:v>1.2000000000000028</c:v>
                </c:pt>
                <c:pt idx="15">
                  <c:v>0</c:v>
                </c:pt>
              </c:numCache>
            </c:numRef>
          </c:val>
        </c:ser>
        <c:ser>
          <c:idx val="2"/>
          <c:order val="2"/>
          <c:tx>
            <c:strRef>
              <c:f>'MIVEC - 19 Cell'!$Y$5</c:f>
              <c:strCache>
                <c:ptCount val="1"/>
                <c:pt idx="0">
                  <c:v>20</c:v>
                </c:pt>
              </c:strCache>
            </c:strRef>
          </c:tx>
          <c:spPr>
            <a:solidFill>
              <a:srgbClr val="FFFFCC"/>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Cell'!$Y$6:$Y$21</c:f>
              <c:numCache>
                <c:formatCode>0.0</c:formatCode>
                <c:ptCount val="16"/>
                <c:pt idx="0">
                  <c:v>0</c:v>
                </c:pt>
                <c:pt idx="1">
                  <c:v>0</c:v>
                </c:pt>
                <c:pt idx="2">
                  <c:v>1.7999999999999972</c:v>
                </c:pt>
                <c:pt idx="3">
                  <c:v>6.6000000000000085</c:v>
                </c:pt>
                <c:pt idx="4">
                  <c:v>9</c:v>
                </c:pt>
                <c:pt idx="5">
                  <c:v>12</c:v>
                </c:pt>
                <c:pt idx="6">
                  <c:v>13.200000000000003</c:v>
                </c:pt>
                <c:pt idx="7">
                  <c:v>12.600000000000001</c:v>
                </c:pt>
                <c:pt idx="8">
                  <c:v>10.200000000000003</c:v>
                </c:pt>
                <c:pt idx="9">
                  <c:v>9.6000000000000014</c:v>
                </c:pt>
                <c:pt idx="10">
                  <c:v>8.4000000000000057</c:v>
                </c:pt>
                <c:pt idx="11">
                  <c:v>6</c:v>
                </c:pt>
                <c:pt idx="12">
                  <c:v>4.7999999999999972</c:v>
                </c:pt>
                <c:pt idx="13">
                  <c:v>3.6000000000000085</c:v>
                </c:pt>
                <c:pt idx="14">
                  <c:v>1.2000000000000028</c:v>
                </c:pt>
                <c:pt idx="15">
                  <c:v>0</c:v>
                </c:pt>
              </c:numCache>
            </c:numRef>
          </c:val>
        </c:ser>
        <c:ser>
          <c:idx val="3"/>
          <c:order val="3"/>
          <c:tx>
            <c:strRef>
              <c:f>'MIVEC - 19 Cell'!$Z$5</c:f>
              <c:strCache>
                <c:ptCount val="1"/>
                <c:pt idx="0">
                  <c:v>30</c:v>
                </c:pt>
              </c:strCache>
            </c:strRef>
          </c:tx>
          <c:spPr>
            <a:solidFill>
              <a:srgbClr val="CCFF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Cell'!$Z$6:$Z$21</c:f>
              <c:numCache>
                <c:formatCode>0.0</c:formatCode>
                <c:ptCount val="16"/>
                <c:pt idx="0">
                  <c:v>0</c:v>
                </c:pt>
                <c:pt idx="1">
                  <c:v>0.60000000000000853</c:v>
                </c:pt>
                <c:pt idx="2">
                  <c:v>2.4000000000000057</c:v>
                </c:pt>
                <c:pt idx="3">
                  <c:v>7.7999999999999972</c:v>
                </c:pt>
                <c:pt idx="4">
                  <c:v>10.800000000000004</c:v>
                </c:pt>
                <c:pt idx="5">
                  <c:v>13.200000000000003</c:v>
                </c:pt>
                <c:pt idx="6">
                  <c:v>14.400000000000006</c:v>
                </c:pt>
                <c:pt idx="7">
                  <c:v>13.800000000000004</c:v>
                </c:pt>
                <c:pt idx="8">
                  <c:v>12</c:v>
                </c:pt>
                <c:pt idx="9">
                  <c:v>11.400000000000006</c:v>
                </c:pt>
                <c:pt idx="10">
                  <c:v>9.6000000000000014</c:v>
                </c:pt>
                <c:pt idx="11">
                  <c:v>6</c:v>
                </c:pt>
                <c:pt idx="12">
                  <c:v>4.7999999999999972</c:v>
                </c:pt>
                <c:pt idx="13">
                  <c:v>3.6000000000000085</c:v>
                </c:pt>
                <c:pt idx="14">
                  <c:v>1.2000000000000028</c:v>
                </c:pt>
                <c:pt idx="15">
                  <c:v>0</c:v>
                </c:pt>
              </c:numCache>
            </c:numRef>
          </c:val>
        </c:ser>
        <c:ser>
          <c:idx val="4"/>
          <c:order val="4"/>
          <c:tx>
            <c:strRef>
              <c:f>'MIVEC - 19 Cell'!$AA$5</c:f>
              <c:strCache>
                <c:ptCount val="1"/>
                <c:pt idx="0">
                  <c:v>40</c:v>
                </c:pt>
              </c:strCache>
            </c:strRef>
          </c:tx>
          <c:spPr>
            <a:solidFill>
              <a:srgbClr val="660066"/>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Cell'!$AA$6:$AA$21</c:f>
              <c:numCache>
                <c:formatCode>0.0</c:formatCode>
                <c:ptCount val="16"/>
                <c:pt idx="0">
                  <c:v>0</c:v>
                </c:pt>
                <c:pt idx="1">
                  <c:v>0.60000000000000853</c:v>
                </c:pt>
                <c:pt idx="2">
                  <c:v>4.7999999999999972</c:v>
                </c:pt>
                <c:pt idx="3">
                  <c:v>9</c:v>
                </c:pt>
                <c:pt idx="4">
                  <c:v>12</c:v>
                </c:pt>
                <c:pt idx="5">
                  <c:v>14.400000000000006</c:v>
                </c:pt>
                <c:pt idx="6">
                  <c:v>15.600000000000001</c:v>
                </c:pt>
                <c:pt idx="7">
                  <c:v>15.600000000000001</c:v>
                </c:pt>
                <c:pt idx="8">
                  <c:v>16.800000000000004</c:v>
                </c:pt>
                <c:pt idx="9">
                  <c:v>16.200000000000003</c:v>
                </c:pt>
                <c:pt idx="10">
                  <c:v>13.200000000000003</c:v>
                </c:pt>
                <c:pt idx="11">
                  <c:v>7.7999999999999972</c:v>
                </c:pt>
                <c:pt idx="12">
                  <c:v>6</c:v>
                </c:pt>
                <c:pt idx="13">
                  <c:v>4.2000000000000028</c:v>
                </c:pt>
                <c:pt idx="14">
                  <c:v>1.2000000000000028</c:v>
                </c:pt>
                <c:pt idx="15">
                  <c:v>0</c:v>
                </c:pt>
              </c:numCache>
            </c:numRef>
          </c:val>
        </c:ser>
        <c:ser>
          <c:idx val="5"/>
          <c:order val="5"/>
          <c:tx>
            <c:strRef>
              <c:f>'MIVEC - 19 Cell'!$AB$5</c:f>
              <c:strCache>
                <c:ptCount val="1"/>
                <c:pt idx="0">
                  <c:v>50</c:v>
                </c:pt>
              </c:strCache>
            </c:strRef>
          </c:tx>
          <c:spPr>
            <a:solidFill>
              <a:srgbClr val="FF808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Cell'!$AB$6:$AB$21</c:f>
              <c:numCache>
                <c:formatCode>0.0</c:formatCode>
                <c:ptCount val="16"/>
                <c:pt idx="0">
                  <c:v>1.2000000000000028</c:v>
                </c:pt>
                <c:pt idx="1">
                  <c:v>2.4000000000000057</c:v>
                </c:pt>
                <c:pt idx="2">
                  <c:v>6.6000000000000085</c:v>
                </c:pt>
                <c:pt idx="3">
                  <c:v>12</c:v>
                </c:pt>
                <c:pt idx="4">
                  <c:v>15</c:v>
                </c:pt>
                <c:pt idx="5">
                  <c:v>17.399999999999999</c:v>
                </c:pt>
                <c:pt idx="6">
                  <c:v>18</c:v>
                </c:pt>
                <c:pt idx="7">
                  <c:v>18.600000000000001</c:v>
                </c:pt>
                <c:pt idx="8">
                  <c:v>18.600000000000001</c:v>
                </c:pt>
                <c:pt idx="9">
                  <c:v>18.600000000000001</c:v>
                </c:pt>
                <c:pt idx="10">
                  <c:v>15</c:v>
                </c:pt>
                <c:pt idx="11">
                  <c:v>12.600000000000001</c:v>
                </c:pt>
                <c:pt idx="12">
                  <c:v>8.4000000000000057</c:v>
                </c:pt>
                <c:pt idx="13">
                  <c:v>4.2000000000000028</c:v>
                </c:pt>
                <c:pt idx="14">
                  <c:v>1.2000000000000028</c:v>
                </c:pt>
                <c:pt idx="15">
                  <c:v>0</c:v>
                </c:pt>
              </c:numCache>
            </c:numRef>
          </c:val>
        </c:ser>
        <c:ser>
          <c:idx val="6"/>
          <c:order val="6"/>
          <c:tx>
            <c:strRef>
              <c:f>'MIVEC - 19 Cell'!$AC$5</c:f>
              <c:strCache>
                <c:ptCount val="1"/>
                <c:pt idx="0">
                  <c:v>60</c:v>
                </c:pt>
              </c:strCache>
            </c:strRef>
          </c:tx>
          <c:spPr>
            <a:solidFill>
              <a:srgbClr val="0066CC"/>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Cell'!$AC$6:$AC$21</c:f>
              <c:numCache>
                <c:formatCode>0.0</c:formatCode>
                <c:ptCount val="16"/>
                <c:pt idx="0">
                  <c:v>1.7999999999999972</c:v>
                </c:pt>
                <c:pt idx="1">
                  <c:v>7.2000000000000028</c:v>
                </c:pt>
                <c:pt idx="2">
                  <c:v>10.800000000000004</c:v>
                </c:pt>
                <c:pt idx="3">
                  <c:v>15</c:v>
                </c:pt>
                <c:pt idx="4">
                  <c:v>18</c:v>
                </c:pt>
                <c:pt idx="5">
                  <c:v>18.600000000000001</c:v>
                </c:pt>
                <c:pt idx="6">
                  <c:v>19.200000000000003</c:v>
                </c:pt>
                <c:pt idx="7">
                  <c:v>19.200000000000003</c:v>
                </c:pt>
                <c:pt idx="8">
                  <c:v>19.200000000000003</c:v>
                </c:pt>
                <c:pt idx="9">
                  <c:v>18.600000000000001</c:v>
                </c:pt>
                <c:pt idx="10">
                  <c:v>18</c:v>
                </c:pt>
                <c:pt idx="11">
                  <c:v>13.800000000000004</c:v>
                </c:pt>
                <c:pt idx="12">
                  <c:v>9.6000000000000014</c:v>
                </c:pt>
                <c:pt idx="13">
                  <c:v>4.7999999999999972</c:v>
                </c:pt>
                <c:pt idx="14">
                  <c:v>1.2000000000000028</c:v>
                </c:pt>
                <c:pt idx="15">
                  <c:v>0</c:v>
                </c:pt>
              </c:numCache>
            </c:numRef>
          </c:val>
        </c:ser>
        <c:ser>
          <c:idx val="7"/>
          <c:order val="7"/>
          <c:tx>
            <c:strRef>
              <c:f>'MIVEC - 19 Cell'!$AD$5</c:f>
              <c:strCache>
                <c:ptCount val="1"/>
                <c:pt idx="0">
                  <c:v>70</c:v>
                </c:pt>
              </c:strCache>
            </c:strRef>
          </c:tx>
          <c:spPr>
            <a:solidFill>
              <a:srgbClr val="CCCC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Cell'!$AD$6:$AD$21</c:f>
              <c:numCache>
                <c:formatCode>0.0</c:formatCode>
                <c:ptCount val="16"/>
                <c:pt idx="0">
                  <c:v>3</c:v>
                </c:pt>
                <c:pt idx="1">
                  <c:v>9</c:v>
                </c:pt>
                <c:pt idx="2">
                  <c:v>15.600000000000001</c:v>
                </c:pt>
                <c:pt idx="3">
                  <c:v>18</c:v>
                </c:pt>
                <c:pt idx="4">
                  <c:v>18.600000000000001</c:v>
                </c:pt>
                <c:pt idx="5">
                  <c:v>19.200000000000003</c:v>
                </c:pt>
                <c:pt idx="6">
                  <c:v>19.200000000000003</c:v>
                </c:pt>
                <c:pt idx="7">
                  <c:v>19.200000000000003</c:v>
                </c:pt>
                <c:pt idx="8">
                  <c:v>19.200000000000003</c:v>
                </c:pt>
                <c:pt idx="9">
                  <c:v>19.200000000000003</c:v>
                </c:pt>
                <c:pt idx="10">
                  <c:v>18</c:v>
                </c:pt>
                <c:pt idx="11">
                  <c:v>14.400000000000006</c:v>
                </c:pt>
                <c:pt idx="12">
                  <c:v>9.6000000000000014</c:v>
                </c:pt>
                <c:pt idx="13">
                  <c:v>4.7999999999999972</c:v>
                </c:pt>
                <c:pt idx="14">
                  <c:v>1.2000000000000028</c:v>
                </c:pt>
                <c:pt idx="15">
                  <c:v>0</c:v>
                </c:pt>
              </c:numCache>
            </c:numRef>
          </c:val>
        </c:ser>
        <c:ser>
          <c:idx val="8"/>
          <c:order val="8"/>
          <c:tx>
            <c:strRef>
              <c:f>'MIVEC - 19 Cell'!$AE$5</c:f>
              <c:strCache>
                <c:ptCount val="1"/>
                <c:pt idx="0">
                  <c:v>80</c:v>
                </c:pt>
              </c:strCache>
            </c:strRef>
          </c:tx>
          <c:spPr>
            <a:solidFill>
              <a:srgbClr val="00008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Cell'!$AE$6:$AE$21</c:f>
              <c:numCache>
                <c:formatCode>0.0</c:formatCode>
                <c:ptCount val="16"/>
                <c:pt idx="0">
                  <c:v>3</c:v>
                </c:pt>
                <c:pt idx="1">
                  <c:v>9.6000000000000014</c:v>
                </c:pt>
                <c:pt idx="2">
                  <c:v>16.800000000000004</c:v>
                </c:pt>
                <c:pt idx="3">
                  <c:v>19.200000000000003</c:v>
                </c:pt>
                <c:pt idx="4">
                  <c:v>19.200000000000003</c:v>
                </c:pt>
                <c:pt idx="5">
                  <c:v>19.200000000000003</c:v>
                </c:pt>
                <c:pt idx="6">
                  <c:v>18.600000000000001</c:v>
                </c:pt>
                <c:pt idx="7">
                  <c:v>18.600000000000001</c:v>
                </c:pt>
                <c:pt idx="8">
                  <c:v>18.600000000000001</c:v>
                </c:pt>
                <c:pt idx="9">
                  <c:v>18.600000000000001</c:v>
                </c:pt>
                <c:pt idx="10">
                  <c:v>17.399999999999999</c:v>
                </c:pt>
                <c:pt idx="11">
                  <c:v>13.800000000000004</c:v>
                </c:pt>
                <c:pt idx="12">
                  <c:v>9.6000000000000014</c:v>
                </c:pt>
                <c:pt idx="13">
                  <c:v>4.7999999999999972</c:v>
                </c:pt>
                <c:pt idx="14">
                  <c:v>1.2000000000000028</c:v>
                </c:pt>
                <c:pt idx="15">
                  <c:v>0</c:v>
                </c:pt>
              </c:numCache>
            </c:numRef>
          </c:val>
        </c:ser>
        <c:ser>
          <c:idx val="9"/>
          <c:order val="9"/>
          <c:tx>
            <c:strRef>
              <c:f>'MIVEC - 19 Cell'!$AF$5</c:f>
              <c:strCache>
                <c:ptCount val="1"/>
                <c:pt idx="0">
                  <c:v>90</c:v>
                </c:pt>
              </c:strCache>
            </c:strRef>
          </c:tx>
          <c:spPr>
            <a:solidFill>
              <a:srgbClr val="FF00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Cell'!$AF$6:$AF$21</c:f>
              <c:numCache>
                <c:formatCode>0.0</c:formatCode>
                <c:ptCount val="16"/>
                <c:pt idx="0">
                  <c:v>3</c:v>
                </c:pt>
                <c:pt idx="1">
                  <c:v>9.6000000000000014</c:v>
                </c:pt>
                <c:pt idx="2">
                  <c:v>16.800000000000004</c:v>
                </c:pt>
                <c:pt idx="3">
                  <c:v>19.200000000000003</c:v>
                </c:pt>
                <c:pt idx="4">
                  <c:v>18.600000000000001</c:v>
                </c:pt>
                <c:pt idx="5">
                  <c:v>18.600000000000001</c:v>
                </c:pt>
                <c:pt idx="6">
                  <c:v>18</c:v>
                </c:pt>
                <c:pt idx="7">
                  <c:v>16.800000000000004</c:v>
                </c:pt>
                <c:pt idx="8">
                  <c:v>18</c:v>
                </c:pt>
                <c:pt idx="9">
                  <c:v>16.200000000000003</c:v>
                </c:pt>
                <c:pt idx="10">
                  <c:v>15</c:v>
                </c:pt>
                <c:pt idx="11">
                  <c:v>13.800000000000004</c:v>
                </c:pt>
                <c:pt idx="12">
                  <c:v>10.200000000000003</c:v>
                </c:pt>
                <c:pt idx="13">
                  <c:v>5.4000000000000057</c:v>
                </c:pt>
                <c:pt idx="14">
                  <c:v>1.2000000000000028</c:v>
                </c:pt>
                <c:pt idx="15">
                  <c:v>0</c:v>
                </c:pt>
              </c:numCache>
            </c:numRef>
          </c:val>
        </c:ser>
        <c:ser>
          <c:idx val="10"/>
          <c:order val="10"/>
          <c:tx>
            <c:strRef>
              <c:f>'MIVEC - 19 Cell'!$AG$5</c:f>
              <c:strCache>
                <c:ptCount val="1"/>
                <c:pt idx="0">
                  <c:v>100</c:v>
                </c:pt>
              </c:strCache>
            </c:strRef>
          </c:tx>
          <c:spPr>
            <a:solidFill>
              <a:srgbClr val="FFFF0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Cell'!$AG$6:$AG$21</c:f>
              <c:numCache>
                <c:formatCode>0.0</c:formatCode>
                <c:ptCount val="16"/>
                <c:pt idx="0">
                  <c:v>3</c:v>
                </c:pt>
                <c:pt idx="1">
                  <c:v>9.6000000000000014</c:v>
                </c:pt>
                <c:pt idx="2">
                  <c:v>16.800000000000004</c:v>
                </c:pt>
                <c:pt idx="3">
                  <c:v>19.200000000000003</c:v>
                </c:pt>
                <c:pt idx="4">
                  <c:v>18.600000000000001</c:v>
                </c:pt>
                <c:pt idx="5">
                  <c:v>16.200000000000003</c:v>
                </c:pt>
                <c:pt idx="6">
                  <c:v>15</c:v>
                </c:pt>
                <c:pt idx="7">
                  <c:v>15.600000000000001</c:v>
                </c:pt>
                <c:pt idx="8">
                  <c:v>16.800000000000004</c:v>
                </c:pt>
                <c:pt idx="9">
                  <c:v>15.600000000000001</c:v>
                </c:pt>
                <c:pt idx="10">
                  <c:v>14.400000000000006</c:v>
                </c:pt>
                <c:pt idx="11">
                  <c:v>13.200000000000003</c:v>
                </c:pt>
                <c:pt idx="12">
                  <c:v>10.200000000000003</c:v>
                </c:pt>
                <c:pt idx="13">
                  <c:v>7.2000000000000028</c:v>
                </c:pt>
                <c:pt idx="14">
                  <c:v>1.7999999999999972</c:v>
                </c:pt>
                <c:pt idx="15">
                  <c:v>0</c:v>
                </c:pt>
              </c:numCache>
            </c:numRef>
          </c:val>
        </c:ser>
        <c:ser>
          <c:idx val="11"/>
          <c:order val="11"/>
          <c:tx>
            <c:strRef>
              <c:f>'MIVEC - 19 Cell'!$AH$5</c:f>
              <c:strCache>
                <c:ptCount val="1"/>
                <c:pt idx="0">
                  <c:v>120</c:v>
                </c:pt>
              </c:strCache>
            </c:strRef>
          </c:tx>
          <c:spPr>
            <a:solidFill>
              <a:srgbClr val="00FF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Cell'!$AH$6:$AH$21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16.800000000000004</c:v>
                </c:pt>
                <c:pt idx="9">
                  <c:v>15.600000000000001</c:v>
                </c:pt>
                <c:pt idx="10">
                  <c:v>14.400000000000006</c:v>
                </c:pt>
                <c:pt idx="11">
                  <c:v>13.200000000000003</c:v>
                </c:pt>
                <c:pt idx="12">
                  <c:v>10.800000000000004</c:v>
                </c:pt>
                <c:pt idx="13">
                  <c:v>7.2000000000000028</c:v>
                </c:pt>
                <c:pt idx="14">
                  <c:v>2.4000000000000057</c:v>
                </c:pt>
                <c:pt idx="15">
                  <c:v>0</c:v>
                </c:pt>
              </c:numCache>
            </c:numRef>
          </c:val>
        </c:ser>
        <c:ser>
          <c:idx val="12"/>
          <c:order val="12"/>
          <c:tx>
            <c:strRef>
              <c:f>'MIVEC - 19 Cell'!$AI$5</c:f>
              <c:strCache>
                <c:ptCount val="1"/>
                <c:pt idx="0">
                  <c:v>140</c:v>
                </c:pt>
              </c:strCache>
            </c:strRef>
          </c:tx>
          <c:spPr>
            <a:solidFill>
              <a:srgbClr val="80008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Cell'!$AI$6:$AI$21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16.800000000000004</c:v>
                </c:pt>
                <c:pt idx="9">
                  <c:v>15.600000000000001</c:v>
                </c:pt>
                <c:pt idx="10">
                  <c:v>14.400000000000006</c:v>
                </c:pt>
                <c:pt idx="11">
                  <c:v>13.800000000000004</c:v>
                </c:pt>
                <c:pt idx="12">
                  <c:v>10.800000000000004</c:v>
                </c:pt>
                <c:pt idx="13">
                  <c:v>7.7999999999999972</c:v>
                </c:pt>
                <c:pt idx="14">
                  <c:v>2.4000000000000057</c:v>
                </c:pt>
                <c:pt idx="15">
                  <c:v>0</c:v>
                </c:pt>
              </c:numCache>
            </c:numRef>
          </c:val>
        </c:ser>
        <c:ser>
          <c:idx val="13"/>
          <c:order val="13"/>
          <c:tx>
            <c:strRef>
              <c:f>'MIVEC - 19 Cell'!$AJ$5</c:f>
              <c:strCache>
                <c:ptCount val="1"/>
                <c:pt idx="0">
                  <c:v>160</c:v>
                </c:pt>
              </c:strCache>
            </c:strRef>
          </c:tx>
          <c:spPr>
            <a:solidFill>
              <a:srgbClr val="80000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Cell'!$AJ$6:$AJ$21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18</c:v>
                </c:pt>
                <c:pt idx="9">
                  <c:v>16.800000000000004</c:v>
                </c:pt>
                <c:pt idx="10">
                  <c:v>16.800000000000004</c:v>
                </c:pt>
                <c:pt idx="11">
                  <c:v>15.600000000000001</c:v>
                </c:pt>
                <c:pt idx="12">
                  <c:v>13.800000000000004</c:v>
                </c:pt>
                <c:pt idx="13">
                  <c:v>8.4000000000000057</c:v>
                </c:pt>
                <c:pt idx="14">
                  <c:v>2.4000000000000057</c:v>
                </c:pt>
                <c:pt idx="15">
                  <c:v>0</c:v>
                </c:pt>
              </c:numCache>
            </c:numRef>
          </c:val>
        </c:ser>
        <c:ser>
          <c:idx val="14"/>
          <c:order val="14"/>
          <c:tx>
            <c:strRef>
              <c:f>'MIVEC - 19 Cell'!$AK$5</c:f>
              <c:strCache>
                <c:ptCount val="1"/>
                <c:pt idx="0">
                  <c:v>180</c:v>
                </c:pt>
              </c:strCache>
            </c:strRef>
          </c:tx>
          <c:spPr>
            <a:solidFill>
              <a:srgbClr val="008080"/>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Cell'!$AK$6:$AK$21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18.600000000000001</c:v>
                </c:pt>
                <c:pt idx="9">
                  <c:v>21.6</c:v>
                </c:pt>
                <c:pt idx="10">
                  <c:v>21.6</c:v>
                </c:pt>
                <c:pt idx="11">
                  <c:v>21</c:v>
                </c:pt>
                <c:pt idx="12">
                  <c:v>16.800000000000004</c:v>
                </c:pt>
                <c:pt idx="13">
                  <c:v>9</c:v>
                </c:pt>
                <c:pt idx="14">
                  <c:v>2.4000000000000057</c:v>
                </c:pt>
                <c:pt idx="15">
                  <c:v>0</c:v>
                </c:pt>
              </c:numCache>
            </c:numRef>
          </c:val>
        </c:ser>
        <c:ser>
          <c:idx val="15"/>
          <c:order val="15"/>
          <c:tx>
            <c:strRef>
              <c:f>'MIVEC - 19 Cell'!$AL$5</c:f>
              <c:strCache>
                <c:ptCount val="1"/>
                <c:pt idx="0">
                  <c:v>200</c:v>
                </c:pt>
              </c:strCache>
            </c:strRef>
          </c:tx>
          <c:spPr>
            <a:solidFill>
              <a:srgbClr val="0000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Cell'!$AL$6:$AL$21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6"/>
          <c:order val="16"/>
          <c:tx>
            <c:strRef>
              <c:f>'MIVEC - 19 Cell'!$AM$5</c:f>
              <c:strCache>
                <c:ptCount val="1"/>
                <c:pt idx="0">
                  <c:v>220</c:v>
                </c:pt>
              </c:strCache>
            </c:strRef>
          </c:tx>
          <c:spPr>
            <a:solidFill>
              <a:srgbClr val="00CC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Cell'!$AM$6:$AM$21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7"/>
          <c:order val="17"/>
          <c:tx>
            <c:strRef>
              <c:f>'MIVEC - 19 Cell'!$AN$5</c:f>
              <c:strCache>
                <c:ptCount val="1"/>
                <c:pt idx="0">
                  <c:v>240</c:v>
                </c:pt>
              </c:strCache>
            </c:strRef>
          </c:tx>
          <c:spPr>
            <a:solidFill>
              <a:srgbClr val="CCFFFF"/>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Cell'!$AN$6:$AN$21</c:f>
              <c:numCache>
                <c:formatCode>0.0</c:formatCode>
                <c:ptCount val="16"/>
                <c:pt idx="0">
                  <c:v>3</c:v>
                </c:pt>
                <c:pt idx="1">
                  <c:v>9.6000000000000014</c:v>
                </c:pt>
                <c:pt idx="2">
                  <c:v>16.800000000000004</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2.4000000000000057</c:v>
                </c:pt>
                <c:pt idx="15">
                  <c:v>0</c:v>
                </c:pt>
              </c:numCache>
            </c:numRef>
          </c:val>
        </c:ser>
        <c:ser>
          <c:idx val="18"/>
          <c:order val="18"/>
          <c:tx>
            <c:strRef>
              <c:f>'MIVEC - 19 Cell'!$AO$5</c:f>
              <c:strCache>
                <c:ptCount val="1"/>
                <c:pt idx="0">
                  <c:v>260</c:v>
                </c:pt>
              </c:strCache>
            </c:strRef>
          </c:tx>
          <c:spPr>
            <a:solidFill>
              <a:srgbClr val="CCFFCC"/>
            </a:solidFill>
            <a:ln w="12700">
              <a:solidFill>
                <a:srgbClr val="000000"/>
              </a:solidFill>
              <a:prstDash val="solid"/>
            </a:ln>
            <a:sp3d prstMaterial="flat"/>
          </c:spPr>
          <c:cat>
            <c:numRef>
              <c:f>'MIVEC - 19 Cell'!$V$6:$V$21</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Cell'!$AO$6:$AO$21</c:f>
              <c:numCache>
                <c:formatCode>0.0</c:formatCode>
                <c:ptCount val="16"/>
                <c:pt idx="0">
                  <c:v>2.4000000000000057</c:v>
                </c:pt>
                <c:pt idx="1">
                  <c:v>9.6000000000000014</c:v>
                </c:pt>
                <c:pt idx="2">
                  <c:v>17.399999999999999</c:v>
                </c:pt>
                <c:pt idx="3">
                  <c:v>19.200000000000003</c:v>
                </c:pt>
                <c:pt idx="4">
                  <c:v>18</c:v>
                </c:pt>
                <c:pt idx="5">
                  <c:v>15.600000000000001</c:v>
                </c:pt>
                <c:pt idx="6">
                  <c:v>14.400000000000006</c:v>
                </c:pt>
                <c:pt idx="7">
                  <c:v>15.600000000000001</c:v>
                </c:pt>
                <c:pt idx="8">
                  <c:v>19.200000000000003</c:v>
                </c:pt>
                <c:pt idx="9">
                  <c:v>22.800000000000004</c:v>
                </c:pt>
                <c:pt idx="10">
                  <c:v>24</c:v>
                </c:pt>
                <c:pt idx="11">
                  <c:v>22.800000000000004</c:v>
                </c:pt>
                <c:pt idx="12">
                  <c:v>18</c:v>
                </c:pt>
                <c:pt idx="13">
                  <c:v>9.6000000000000014</c:v>
                </c:pt>
                <c:pt idx="14">
                  <c:v>1.7999999999999972</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97121792"/>
        <c:axId val="97123712"/>
        <c:axId val="97077440"/>
      </c:surface3DChart>
      <c:catAx>
        <c:axId val="97121792"/>
        <c:scaling>
          <c:orientation val="maxMin"/>
        </c:scaling>
        <c:axPos val="b"/>
        <c:title>
          <c:tx>
            <c:rich>
              <a:bodyPr/>
              <a:lstStyle/>
              <a:p>
                <a:pPr>
                  <a:defRPr sz="950" b="1" i="0" u="none" strike="noStrike" baseline="0">
                    <a:solidFill>
                      <a:srgbClr val="000000"/>
                    </a:solidFill>
                    <a:latin typeface="Arial"/>
                    <a:ea typeface="Arial"/>
                    <a:cs typeface="Arial"/>
                  </a:defRPr>
                </a:pPr>
                <a:r>
                  <a:rPr lang="en-US"/>
                  <a:t>RPM</a:t>
                </a:r>
              </a:p>
            </c:rich>
          </c:tx>
          <c:layout>
            <c:manualLayout>
              <c:xMode val="edge"/>
              <c:yMode val="edge"/>
              <c:x val="0.34698525348805082"/>
              <c:y val="0.9253443623255535"/>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97123712"/>
        <c:crosses val="autoZero"/>
        <c:auto val="1"/>
        <c:lblAlgn val="ctr"/>
        <c:lblOffset val="100"/>
        <c:tickLblSkip val="2"/>
        <c:tickMarkSkip val="1"/>
        <c:noMultiLvlLbl val="1"/>
      </c:catAx>
      <c:valAx>
        <c:axId val="97123712"/>
        <c:scaling>
          <c:orientation val="minMax"/>
          <c:max val="28.8"/>
          <c:min val="-1.2"/>
        </c:scaling>
        <c:axPos val="l"/>
        <c:majorGridlines>
          <c:spPr>
            <a:ln w="3175">
              <a:solidFill>
                <a:srgbClr val="000000"/>
              </a:solidFill>
              <a:prstDash val="solid"/>
            </a:ln>
          </c:spPr>
        </c:majorGridlines>
        <c:title>
          <c:tx>
            <c:rich>
              <a:bodyPr rot="0" vert="horz"/>
              <a:lstStyle/>
              <a:p>
                <a:pPr algn="ctr">
                  <a:defRPr sz="950" b="1" i="0" u="none" strike="noStrike" baseline="0">
                    <a:solidFill>
                      <a:srgbClr val="000000"/>
                    </a:solidFill>
                    <a:latin typeface="Arial"/>
                    <a:ea typeface="Arial"/>
                    <a:cs typeface="Arial"/>
                  </a:defRPr>
                </a:pPr>
                <a:r>
                  <a:rPr lang="en-US"/>
                  <a:t>Trim</a:t>
                </a:r>
              </a:p>
            </c:rich>
          </c:tx>
          <c:layout>
            <c:manualLayout>
              <c:xMode val="edge"/>
              <c:yMode val="edge"/>
              <c:x val="5.8055843348528806E-2"/>
              <c:y val="0.61006085076961292"/>
            </c:manualLayout>
          </c:layout>
          <c:spPr>
            <a:noFill/>
            <a:ln w="25400">
              <a:noFill/>
            </a:ln>
          </c:spPr>
        </c:title>
        <c:numFmt formatCode="0" sourceLinked="0"/>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7121792"/>
        <c:crosses val="autoZero"/>
        <c:crossBetween val="midCat"/>
        <c:majorUnit val="1.5"/>
      </c:valAx>
      <c:serAx>
        <c:axId val="97077440"/>
        <c:scaling>
          <c:orientation val="maxMin"/>
        </c:scaling>
        <c:axPos val="b"/>
        <c:title>
          <c:tx>
            <c:rich>
              <a:bodyPr/>
              <a:lstStyle/>
              <a:p>
                <a:pPr>
                  <a:defRPr sz="950" b="1" i="0" u="none" strike="noStrike" baseline="0">
                    <a:solidFill>
                      <a:srgbClr val="000000"/>
                    </a:solidFill>
                    <a:latin typeface="Arial"/>
                    <a:ea typeface="Arial"/>
                    <a:cs typeface="Arial"/>
                  </a:defRPr>
                </a:pPr>
                <a:r>
                  <a:rPr lang="en-US"/>
                  <a:t>Load</a:t>
                </a:r>
              </a:p>
            </c:rich>
          </c:tx>
          <c:layout>
            <c:manualLayout>
              <c:xMode val="edge"/>
              <c:yMode val="edge"/>
              <c:x val="0.83168427959662961"/>
              <c:y val="0.7023390458545623"/>
            </c:manualLayout>
          </c:layout>
          <c:spPr>
            <a:noFill/>
            <a:ln w="25400">
              <a:noFill/>
            </a:ln>
          </c:spPr>
        </c:title>
        <c:numFmt formatCode="General" sourceLinked="1"/>
        <c:tickLblPos val="low"/>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7123712"/>
        <c:crosses val="autoZero"/>
        <c:tickLblSkip val="2"/>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n-US"/>
  <c:chart>
    <c:view3D>
      <c:rotX val="50"/>
      <c:hPercent val="100"/>
      <c:rotY val="198"/>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0.11982497475597448"/>
          <c:y val="7.4511021421918714E-3"/>
          <c:w val="0.79030629417704457"/>
          <c:h val="0.91648556348959964"/>
        </c:manualLayout>
      </c:layout>
      <c:surface3DChart>
        <c:ser>
          <c:idx val="0"/>
          <c:order val="0"/>
          <c:tx>
            <c:strRef>
              <c:f>'MIVEC - 19 Cell'!$W$29</c:f>
              <c:strCache>
                <c:ptCount val="1"/>
                <c:pt idx="0">
                  <c:v>0</c:v>
                </c:pt>
              </c:strCache>
            </c:strRef>
          </c:tx>
          <c:spPr>
            <a:solidFill>
              <a:srgbClr val="9999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Cell'!$W$30:$W$45</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1"/>
          <c:order val="1"/>
          <c:tx>
            <c:strRef>
              <c:f>'MIVEC - 19 Cell'!$X$29</c:f>
              <c:strCache>
                <c:ptCount val="1"/>
                <c:pt idx="0">
                  <c:v>10</c:v>
                </c:pt>
              </c:strCache>
            </c:strRef>
          </c:tx>
          <c:spPr>
            <a:solidFill>
              <a:srgbClr val="993366"/>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Cell'!$X$30:$X$45</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2"/>
          <c:order val="2"/>
          <c:tx>
            <c:strRef>
              <c:f>'MIVEC - 19 Cell'!$Y$29</c:f>
              <c:strCache>
                <c:ptCount val="1"/>
                <c:pt idx="0">
                  <c:v>20</c:v>
                </c:pt>
              </c:strCache>
            </c:strRef>
          </c:tx>
          <c:spPr>
            <a:solidFill>
              <a:srgbClr val="FFFFCC"/>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Cell'!$Y$30:$Y$45</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3"/>
          <c:order val="3"/>
          <c:tx>
            <c:strRef>
              <c:f>'MIVEC - 19 Cell'!$Z$29</c:f>
              <c:strCache>
                <c:ptCount val="1"/>
                <c:pt idx="0">
                  <c:v>30</c:v>
                </c:pt>
              </c:strCache>
            </c:strRef>
          </c:tx>
          <c:spPr>
            <a:solidFill>
              <a:srgbClr val="CCFF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Cell'!$Z$30:$Z$45</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4"/>
          <c:order val="4"/>
          <c:tx>
            <c:strRef>
              <c:f>'MIVEC - 19 Cell'!$AA$29</c:f>
              <c:strCache>
                <c:ptCount val="1"/>
                <c:pt idx="0">
                  <c:v>40</c:v>
                </c:pt>
              </c:strCache>
            </c:strRef>
          </c:tx>
          <c:spPr>
            <a:solidFill>
              <a:srgbClr val="660066"/>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Cell'!$AA$30:$AA$45</c:f>
              <c:numCache>
                <c:formatCode>0.0</c:formatCode>
                <c:ptCount val="16"/>
                <c:pt idx="0">
                  <c:v>0</c:v>
                </c:pt>
                <c:pt idx="1">
                  <c:v>0</c:v>
                </c:pt>
                <c:pt idx="2">
                  <c:v>4.8</c:v>
                </c:pt>
                <c:pt idx="3">
                  <c:v>9.6</c:v>
                </c:pt>
                <c:pt idx="4">
                  <c:v>9.6</c:v>
                </c:pt>
                <c:pt idx="5">
                  <c:v>14.4</c:v>
                </c:pt>
                <c:pt idx="6">
                  <c:v>14.4</c:v>
                </c:pt>
                <c:pt idx="7">
                  <c:v>14.4</c:v>
                </c:pt>
                <c:pt idx="8">
                  <c:v>19.2</c:v>
                </c:pt>
                <c:pt idx="9">
                  <c:v>19.2</c:v>
                </c:pt>
                <c:pt idx="10">
                  <c:v>14.4</c:v>
                </c:pt>
                <c:pt idx="11">
                  <c:v>4.8</c:v>
                </c:pt>
                <c:pt idx="12">
                  <c:v>4.8</c:v>
                </c:pt>
                <c:pt idx="13">
                  <c:v>4.8</c:v>
                </c:pt>
                <c:pt idx="14">
                  <c:v>0</c:v>
                </c:pt>
                <c:pt idx="15">
                  <c:v>0</c:v>
                </c:pt>
              </c:numCache>
            </c:numRef>
          </c:val>
        </c:ser>
        <c:ser>
          <c:idx val="5"/>
          <c:order val="5"/>
          <c:tx>
            <c:strRef>
              <c:f>'MIVEC - 19 Cell'!$AB$29</c:f>
              <c:strCache>
                <c:ptCount val="1"/>
                <c:pt idx="0">
                  <c:v>50</c:v>
                </c:pt>
              </c:strCache>
            </c:strRef>
          </c:tx>
          <c:spPr>
            <a:solidFill>
              <a:srgbClr val="FF808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Cell'!$AB$30:$AB$45</c:f>
              <c:numCache>
                <c:formatCode>0.0</c:formatCode>
                <c:ptCount val="16"/>
                <c:pt idx="0">
                  <c:v>0</c:v>
                </c:pt>
                <c:pt idx="1">
                  <c:v>0</c:v>
                </c:pt>
                <c:pt idx="2">
                  <c:v>4.8</c:v>
                </c:pt>
                <c:pt idx="3">
                  <c:v>14.4</c:v>
                </c:pt>
                <c:pt idx="4">
                  <c:v>14.4</c:v>
                </c:pt>
                <c:pt idx="5">
                  <c:v>19.2</c:v>
                </c:pt>
                <c:pt idx="6">
                  <c:v>19.2</c:v>
                </c:pt>
                <c:pt idx="7">
                  <c:v>19.2</c:v>
                </c:pt>
                <c:pt idx="8">
                  <c:v>19.2</c:v>
                </c:pt>
                <c:pt idx="9">
                  <c:v>19.2</c:v>
                </c:pt>
                <c:pt idx="10">
                  <c:v>14.4</c:v>
                </c:pt>
                <c:pt idx="11">
                  <c:v>14.4</c:v>
                </c:pt>
                <c:pt idx="12">
                  <c:v>9.6</c:v>
                </c:pt>
                <c:pt idx="13">
                  <c:v>4.8</c:v>
                </c:pt>
                <c:pt idx="14">
                  <c:v>0</c:v>
                </c:pt>
                <c:pt idx="15">
                  <c:v>0</c:v>
                </c:pt>
              </c:numCache>
            </c:numRef>
          </c:val>
        </c:ser>
        <c:ser>
          <c:idx val="6"/>
          <c:order val="6"/>
          <c:tx>
            <c:strRef>
              <c:f>'MIVEC - 19 Cell'!$AC$29</c:f>
              <c:strCache>
                <c:ptCount val="1"/>
                <c:pt idx="0">
                  <c:v>60</c:v>
                </c:pt>
              </c:strCache>
            </c:strRef>
          </c:tx>
          <c:spPr>
            <a:solidFill>
              <a:srgbClr val="0066CC"/>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Cell'!$AC$30:$AC$45</c:f>
              <c:numCache>
                <c:formatCode>0.0</c:formatCode>
                <c:ptCount val="16"/>
                <c:pt idx="0">
                  <c:v>0</c:v>
                </c:pt>
                <c:pt idx="1">
                  <c:v>9.6</c:v>
                </c:pt>
                <c:pt idx="2">
                  <c:v>9.6</c:v>
                </c:pt>
                <c:pt idx="3">
                  <c:v>14.4</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7"/>
          <c:order val="7"/>
          <c:tx>
            <c:strRef>
              <c:f>'MIVEC - 19 Cell'!$AD$29</c:f>
              <c:strCache>
                <c:ptCount val="1"/>
                <c:pt idx="0">
                  <c:v>70</c:v>
                </c:pt>
              </c:strCache>
            </c:strRef>
          </c:tx>
          <c:spPr>
            <a:solidFill>
              <a:srgbClr val="CCCC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Cell'!$AD$30:$AD$45</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8"/>
          <c:order val="8"/>
          <c:tx>
            <c:strRef>
              <c:f>'MIVEC - 19 Cell'!$AE$29</c:f>
              <c:strCache>
                <c:ptCount val="1"/>
                <c:pt idx="0">
                  <c:v>80</c:v>
                </c:pt>
              </c:strCache>
            </c:strRef>
          </c:tx>
          <c:spPr>
            <a:solidFill>
              <a:srgbClr val="00008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Cell'!$AE$30:$AE$45</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9"/>
          <c:order val="9"/>
          <c:tx>
            <c:strRef>
              <c:f>'MIVEC - 19 Cell'!$AF$29</c:f>
              <c:strCache>
                <c:ptCount val="1"/>
                <c:pt idx="0">
                  <c:v>90</c:v>
                </c:pt>
              </c:strCache>
            </c:strRef>
          </c:tx>
          <c:spPr>
            <a:solidFill>
              <a:srgbClr val="FF00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Cell'!$AF$30:$AF$45</c:f>
              <c:numCache>
                <c:formatCode>0.0</c:formatCode>
                <c:ptCount val="16"/>
                <c:pt idx="0">
                  <c:v>0</c:v>
                </c:pt>
                <c:pt idx="1">
                  <c:v>9.6</c:v>
                </c:pt>
                <c:pt idx="2">
                  <c:v>19.2</c:v>
                </c:pt>
                <c:pt idx="3">
                  <c:v>19.2</c:v>
                </c:pt>
                <c:pt idx="4">
                  <c:v>19.2</c:v>
                </c:pt>
                <c:pt idx="5">
                  <c:v>19.2</c:v>
                </c:pt>
                <c:pt idx="6">
                  <c:v>19.2</c:v>
                </c:pt>
                <c:pt idx="7">
                  <c:v>14.4</c:v>
                </c:pt>
                <c:pt idx="8">
                  <c:v>19.2</c:v>
                </c:pt>
                <c:pt idx="9">
                  <c:v>14.4</c:v>
                </c:pt>
                <c:pt idx="10">
                  <c:v>14.4</c:v>
                </c:pt>
                <c:pt idx="11">
                  <c:v>14.4</c:v>
                </c:pt>
                <c:pt idx="12">
                  <c:v>9.6</c:v>
                </c:pt>
                <c:pt idx="13">
                  <c:v>4.8</c:v>
                </c:pt>
                <c:pt idx="14">
                  <c:v>0</c:v>
                </c:pt>
                <c:pt idx="15">
                  <c:v>0</c:v>
                </c:pt>
              </c:numCache>
            </c:numRef>
          </c:val>
        </c:ser>
        <c:ser>
          <c:idx val="10"/>
          <c:order val="10"/>
          <c:tx>
            <c:strRef>
              <c:f>'MIVEC - 19 Cell'!$AG$29</c:f>
              <c:strCache>
                <c:ptCount val="1"/>
                <c:pt idx="0">
                  <c:v>100</c:v>
                </c:pt>
              </c:strCache>
            </c:strRef>
          </c:tx>
          <c:spPr>
            <a:solidFill>
              <a:srgbClr val="FFFF0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Cell'!$AG$30:$AG$45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1"/>
          <c:order val="11"/>
          <c:tx>
            <c:strRef>
              <c:f>'MIVEC - 19 Cell'!$AH$29</c:f>
              <c:strCache>
                <c:ptCount val="1"/>
                <c:pt idx="0">
                  <c:v>120</c:v>
                </c:pt>
              </c:strCache>
            </c:strRef>
          </c:tx>
          <c:spPr>
            <a:solidFill>
              <a:srgbClr val="00FF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Cell'!$AH$30:$AH$45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2"/>
          <c:order val="12"/>
          <c:tx>
            <c:strRef>
              <c:f>'MIVEC - 19 Cell'!$AI$29</c:f>
              <c:strCache>
                <c:ptCount val="1"/>
                <c:pt idx="0">
                  <c:v>140</c:v>
                </c:pt>
              </c:strCache>
            </c:strRef>
          </c:tx>
          <c:spPr>
            <a:solidFill>
              <a:srgbClr val="80008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Cell'!$AI$30:$AI$45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3"/>
          <c:order val="13"/>
          <c:tx>
            <c:strRef>
              <c:f>'MIVEC - 19 Cell'!$AJ$29</c:f>
              <c:strCache>
                <c:ptCount val="1"/>
                <c:pt idx="0">
                  <c:v>160</c:v>
                </c:pt>
              </c:strCache>
            </c:strRef>
          </c:tx>
          <c:spPr>
            <a:solidFill>
              <a:srgbClr val="80000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Cell'!$AJ$30:$AJ$45</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14.4</c:v>
                </c:pt>
                <c:pt idx="13">
                  <c:v>9.6</c:v>
                </c:pt>
                <c:pt idx="14">
                  <c:v>0</c:v>
                </c:pt>
                <c:pt idx="15">
                  <c:v>0</c:v>
                </c:pt>
              </c:numCache>
            </c:numRef>
          </c:val>
        </c:ser>
        <c:ser>
          <c:idx val="14"/>
          <c:order val="14"/>
          <c:tx>
            <c:strRef>
              <c:f>'MIVEC - 19 Cell'!$AK$29</c:f>
              <c:strCache>
                <c:ptCount val="1"/>
                <c:pt idx="0">
                  <c:v>180</c:v>
                </c:pt>
              </c:strCache>
            </c:strRef>
          </c:tx>
          <c:spPr>
            <a:solidFill>
              <a:srgbClr val="008080"/>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Cell'!$AK$30:$AK$45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5"/>
          <c:order val="15"/>
          <c:tx>
            <c:strRef>
              <c:f>'MIVEC - 19 Cell'!$AL$29</c:f>
              <c:strCache>
                <c:ptCount val="1"/>
                <c:pt idx="0">
                  <c:v>200</c:v>
                </c:pt>
              </c:strCache>
            </c:strRef>
          </c:tx>
          <c:spPr>
            <a:solidFill>
              <a:srgbClr val="0000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Cell'!$AL$30:$AL$45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6"/>
          <c:order val="16"/>
          <c:tx>
            <c:strRef>
              <c:f>'MIVEC - 19 Cell'!$AM$29</c:f>
              <c:strCache>
                <c:ptCount val="1"/>
                <c:pt idx="0">
                  <c:v>220</c:v>
                </c:pt>
              </c:strCache>
            </c:strRef>
          </c:tx>
          <c:spPr>
            <a:solidFill>
              <a:srgbClr val="00CC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Cell'!$AM$30:$AM$45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7"/>
          <c:order val="17"/>
          <c:tx>
            <c:strRef>
              <c:f>'MIVEC - 19 Cell'!$AN$29</c:f>
              <c:strCache>
                <c:ptCount val="1"/>
                <c:pt idx="0">
                  <c:v>240</c:v>
                </c:pt>
              </c:strCache>
            </c:strRef>
          </c:tx>
          <c:spPr>
            <a:solidFill>
              <a:srgbClr val="CCFFFF"/>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Cell'!$AN$30:$AN$45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8"/>
          <c:order val="18"/>
          <c:tx>
            <c:strRef>
              <c:f>'MIVEC - 19 Cell'!$AO$29</c:f>
              <c:strCache>
                <c:ptCount val="1"/>
                <c:pt idx="0">
                  <c:v>260</c:v>
                </c:pt>
              </c:strCache>
            </c:strRef>
          </c:tx>
          <c:spPr>
            <a:solidFill>
              <a:srgbClr val="CCFFCC"/>
            </a:solidFill>
            <a:ln w="12700">
              <a:solidFill>
                <a:srgbClr val="000000"/>
              </a:solidFill>
              <a:prstDash val="solid"/>
            </a:ln>
            <a:sp3d prstMaterial="flat"/>
          </c:spPr>
          <c:cat>
            <c:numRef>
              <c:f>'MIVEC - 19 Cell'!$V$30:$V$45</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Cell'!$AO$30:$AO$45</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97348224"/>
        <c:axId val="97350400"/>
        <c:axId val="97300480"/>
      </c:surface3DChart>
      <c:catAx>
        <c:axId val="97348224"/>
        <c:scaling>
          <c:orientation val="maxMin"/>
        </c:scaling>
        <c:axPos val="b"/>
        <c:title>
          <c:tx>
            <c:rich>
              <a:bodyPr/>
              <a:lstStyle/>
              <a:p>
                <a:pPr>
                  <a:defRPr sz="975" b="1" i="0" u="none" strike="noStrike" baseline="0">
                    <a:solidFill>
                      <a:srgbClr val="000000"/>
                    </a:solidFill>
                    <a:latin typeface="Arial"/>
                    <a:ea typeface="Arial"/>
                    <a:cs typeface="Arial"/>
                  </a:defRPr>
                </a:pPr>
                <a:r>
                  <a:rPr lang="en-US"/>
                  <a:t>RPM</a:t>
                </a:r>
              </a:p>
            </c:rich>
          </c:tx>
          <c:layout>
            <c:manualLayout>
              <c:xMode val="edge"/>
              <c:yMode val="edge"/>
              <c:x val="0.34735778440538967"/>
              <c:y val="0.92642034881274826"/>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975" b="0" i="0" u="none" strike="noStrike" baseline="0">
                <a:solidFill>
                  <a:srgbClr val="000000"/>
                </a:solidFill>
                <a:latin typeface="Arial"/>
                <a:ea typeface="Arial"/>
                <a:cs typeface="Arial"/>
              </a:defRPr>
            </a:pPr>
            <a:endParaRPr lang="en-US"/>
          </a:p>
        </c:txPr>
        <c:crossAx val="97350400"/>
        <c:crosses val="autoZero"/>
        <c:auto val="1"/>
        <c:lblAlgn val="ctr"/>
        <c:lblOffset val="100"/>
        <c:tickLblSkip val="2"/>
        <c:tickMarkSkip val="1"/>
        <c:noMultiLvlLbl val="1"/>
      </c:catAx>
      <c:valAx>
        <c:axId val="97350400"/>
        <c:scaling>
          <c:orientation val="minMax"/>
          <c:max val="28.8"/>
          <c:min val="-1.2"/>
        </c:scaling>
        <c:axPos val="l"/>
        <c:majorGridlines>
          <c:spPr>
            <a:ln w="3175">
              <a:solidFill>
                <a:srgbClr val="000000"/>
              </a:solidFill>
              <a:prstDash val="solid"/>
            </a:ln>
          </c:spPr>
        </c:majorGridlines>
        <c:title>
          <c:tx>
            <c:rich>
              <a:bodyPr rot="0" vert="horz"/>
              <a:lstStyle/>
              <a:p>
                <a:pPr algn="ctr">
                  <a:defRPr sz="975" b="1" i="0" u="none" strike="noStrike" baseline="0">
                    <a:solidFill>
                      <a:srgbClr val="000000"/>
                    </a:solidFill>
                    <a:latin typeface="Arial"/>
                    <a:ea typeface="Arial"/>
                    <a:cs typeface="Arial"/>
                  </a:defRPr>
                </a:pPr>
                <a:r>
                  <a:rPr lang="en-US"/>
                  <a:t>Trim</a:t>
                </a:r>
              </a:p>
            </c:rich>
          </c:tx>
          <c:layout>
            <c:manualLayout>
              <c:xMode val="edge"/>
              <c:yMode val="edge"/>
              <c:x val="4.7122148722235406E-2"/>
              <c:y val="0.6109904495600198"/>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97348224"/>
        <c:crosses val="autoZero"/>
        <c:crossBetween val="midCat"/>
        <c:majorUnit val="1.5"/>
      </c:valAx>
      <c:serAx>
        <c:axId val="97300480"/>
        <c:scaling>
          <c:orientation val="maxMin"/>
        </c:scaling>
        <c:axPos val="b"/>
        <c:title>
          <c:tx>
            <c:rich>
              <a:bodyPr/>
              <a:lstStyle/>
              <a:p>
                <a:pPr>
                  <a:defRPr sz="975" b="1" i="0" u="none" strike="noStrike" baseline="0">
                    <a:solidFill>
                      <a:srgbClr val="000000"/>
                    </a:solidFill>
                    <a:latin typeface="Arial"/>
                    <a:ea typeface="Arial"/>
                    <a:cs typeface="Arial"/>
                  </a:defRPr>
                </a:pPr>
                <a:r>
                  <a:rPr lang="en-US"/>
                  <a:t>Load</a:t>
                </a:r>
              </a:p>
            </c:rich>
          </c:tx>
          <c:layout>
            <c:manualLayout>
              <c:xMode val="edge"/>
              <c:yMode val="edge"/>
              <c:x val="0.84146758031392832"/>
              <c:y val="0.70412908466589674"/>
            </c:manualLayout>
          </c:layout>
          <c:spPr>
            <a:noFill/>
            <a:ln w="25400">
              <a:noFill/>
            </a:ln>
          </c:spPr>
        </c:title>
        <c:numFmt formatCode="General" sourceLinked="1"/>
        <c:tickLblPos val="low"/>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97350400"/>
        <c:crosses val="autoZero"/>
        <c:tickLblSkip val="2"/>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n-US"/>
  <c:chart>
    <c:view3D>
      <c:rotX val="90"/>
      <c:hPercent val="100"/>
      <c:rotY val="270"/>
      <c:depthPercent val="100"/>
      <c:perspective val="0"/>
    </c:view3D>
    <c:floor>
      <c:spPr>
        <a:solidFill>
          <a:srgbClr val="C0C0C0"/>
        </a:solidFill>
        <a:ln w="3175">
          <a:solidFill>
            <a:srgbClr val="000000"/>
          </a:solidFill>
          <a:prstDash val="solid"/>
        </a:ln>
      </c:spPr>
    </c:floor>
    <c:sideWall>
      <c:spPr>
        <a:solidFill>
          <a:srgbClr val="C0C0C0"/>
        </a:solidFill>
        <a:ln w="12700">
          <a:solidFill>
            <a:srgbClr val="808080"/>
          </a:solidFill>
          <a:prstDash val="solid"/>
        </a:ln>
      </c:spPr>
    </c:sideWall>
    <c:backWall>
      <c:spPr>
        <a:solidFill>
          <a:srgbClr val="C0C0C0"/>
        </a:solidFill>
        <a:ln w="12700">
          <a:solidFill>
            <a:srgbClr val="808080"/>
          </a:solidFill>
          <a:prstDash val="solid"/>
        </a:ln>
      </c:spPr>
    </c:backWall>
    <c:plotArea>
      <c:layout>
        <c:manualLayout>
          <c:layoutTarget val="inner"/>
          <c:xMode val="edge"/>
          <c:yMode val="edge"/>
          <c:x val="7.6957801465603909E-2"/>
          <c:y val="3.1284407763376307E-2"/>
          <c:w val="0.80333143635147974"/>
          <c:h val="0.8364462707260607"/>
        </c:manualLayout>
      </c:layout>
      <c:surface3DChart>
        <c:ser>
          <c:idx val="0"/>
          <c:order val="0"/>
          <c:tx>
            <c:strRef>
              <c:f>'MIVEC - 19 Cell'!$W$54</c:f>
              <c:strCache>
                <c:ptCount val="1"/>
                <c:pt idx="0">
                  <c:v>0</c:v>
                </c:pt>
              </c:strCache>
            </c:strRef>
          </c:tx>
          <c:spPr>
            <a:solidFill>
              <a:srgbClr val="9999FF"/>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Cell'!$W$55:$W$70</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1"/>
          <c:order val="1"/>
          <c:tx>
            <c:strRef>
              <c:f>'MIVEC - 19 Cell'!$X$54</c:f>
              <c:strCache>
                <c:ptCount val="1"/>
                <c:pt idx="0">
                  <c:v>10</c:v>
                </c:pt>
              </c:strCache>
            </c:strRef>
          </c:tx>
          <c:spPr>
            <a:solidFill>
              <a:srgbClr val="993366"/>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Cell'!$X$55:$X$70</c:f>
              <c:numCache>
                <c:formatCode>0.0</c:formatCode>
                <c:ptCount val="16"/>
                <c:pt idx="0">
                  <c:v>0</c:v>
                </c:pt>
                <c:pt idx="1">
                  <c:v>0</c:v>
                </c:pt>
                <c:pt idx="2">
                  <c:v>0</c:v>
                </c:pt>
                <c:pt idx="3">
                  <c:v>4.8</c:v>
                </c:pt>
                <c:pt idx="4">
                  <c:v>4.8</c:v>
                </c:pt>
                <c:pt idx="5">
                  <c:v>4.8</c:v>
                </c:pt>
                <c:pt idx="6">
                  <c:v>9.6</c:v>
                </c:pt>
                <c:pt idx="7">
                  <c:v>9.6</c:v>
                </c:pt>
                <c:pt idx="8">
                  <c:v>9.6</c:v>
                </c:pt>
                <c:pt idx="9">
                  <c:v>9.6</c:v>
                </c:pt>
                <c:pt idx="10">
                  <c:v>9.6</c:v>
                </c:pt>
                <c:pt idx="11">
                  <c:v>4.8</c:v>
                </c:pt>
                <c:pt idx="12">
                  <c:v>4.8</c:v>
                </c:pt>
                <c:pt idx="13">
                  <c:v>4.8</c:v>
                </c:pt>
                <c:pt idx="14">
                  <c:v>0</c:v>
                </c:pt>
                <c:pt idx="15">
                  <c:v>0</c:v>
                </c:pt>
              </c:numCache>
            </c:numRef>
          </c:val>
        </c:ser>
        <c:ser>
          <c:idx val="2"/>
          <c:order val="2"/>
          <c:tx>
            <c:strRef>
              <c:f>'MIVEC - 19 Cell'!$Y$54</c:f>
              <c:strCache>
                <c:ptCount val="1"/>
                <c:pt idx="0">
                  <c:v>20</c:v>
                </c:pt>
              </c:strCache>
            </c:strRef>
          </c:tx>
          <c:spPr>
            <a:solidFill>
              <a:srgbClr val="FFFFCC"/>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Cell'!$Y$55:$Y$70</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3"/>
          <c:order val="3"/>
          <c:tx>
            <c:strRef>
              <c:f>'MIVEC - 19 Cell'!$Z$54</c:f>
              <c:strCache>
                <c:ptCount val="1"/>
                <c:pt idx="0">
                  <c:v>30</c:v>
                </c:pt>
              </c:strCache>
            </c:strRef>
          </c:tx>
          <c:spPr>
            <a:solidFill>
              <a:srgbClr val="CCFFFF"/>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Cell'!$Z$55:$Z$70</c:f>
              <c:numCache>
                <c:formatCode>0.0</c:formatCode>
                <c:ptCount val="16"/>
                <c:pt idx="0">
                  <c:v>0</c:v>
                </c:pt>
                <c:pt idx="1">
                  <c:v>0</c:v>
                </c:pt>
                <c:pt idx="2">
                  <c:v>0</c:v>
                </c:pt>
                <c:pt idx="3">
                  <c:v>9.6</c:v>
                </c:pt>
                <c:pt idx="4">
                  <c:v>9.6</c:v>
                </c:pt>
                <c:pt idx="5">
                  <c:v>14.4</c:v>
                </c:pt>
                <c:pt idx="6">
                  <c:v>14.4</c:v>
                </c:pt>
                <c:pt idx="7">
                  <c:v>14.4</c:v>
                </c:pt>
                <c:pt idx="8">
                  <c:v>9.6</c:v>
                </c:pt>
                <c:pt idx="9">
                  <c:v>9.6</c:v>
                </c:pt>
                <c:pt idx="10">
                  <c:v>9.6</c:v>
                </c:pt>
                <c:pt idx="11">
                  <c:v>4.8</c:v>
                </c:pt>
                <c:pt idx="12">
                  <c:v>4.8</c:v>
                </c:pt>
                <c:pt idx="13">
                  <c:v>4.8</c:v>
                </c:pt>
                <c:pt idx="14">
                  <c:v>0</c:v>
                </c:pt>
                <c:pt idx="15">
                  <c:v>0</c:v>
                </c:pt>
              </c:numCache>
            </c:numRef>
          </c:val>
        </c:ser>
        <c:ser>
          <c:idx val="4"/>
          <c:order val="4"/>
          <c:tx>
            <c:strRef>
              <c:f>'MIVEC - 19 Cell'!$AA$54</c:f>
              <c:strCache>
                <c:ptCount val="1"/>
                <c:pt idx="0">
                  <c:v>40</c:v>
                </c:pt>
              </c:strCache>
            </c:strRef>
          </c:tx>
          <c:spPr>
            <a:solidFill>
              <a:srgbClr val="660066"/>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Cell'!$AA$55:$AA$70</c:f>
              <c:numCache>
                <c:formatCode>0.0</c:formatCode>
                <c:ptCount val="16"/>
                <c:pt idx="0">
                  <c:v>0</c:v>
                </c:pt>
                <c:pt idx="1">
                  <c:v>0</c:v>
                </c:pt>
                <c:pt idx="2">
                  <c:v>4.8</c:v>
                </c:pt>
                <c:pt idx="3">
                  <c:v>9.6</c:v>
                </c:pt>
                <c:pt idx="4">
                  <c:v>9.6</c:v>
                </c:pt>
                <c:pt idx="5">
                  <c:v>14.4</c:v>
                </c:pt>
                <c:pt idx="6">
                  <c:v>14.4</c:v>
                </c:pt>
                <c:pt idx="7">
                  <c:v>14.4</c:v>
                </c:pt>
                <c:pt idx="8">
                  <c:v>19.2</c:v>
                </c:pt>
                <c:pt idx="9">
                  <c:v>19.2</c:v>
                </c:pt>
                <c:pt idx="10">
                  <c:v>14.4</c:v>
                </c:pt>
                <c:pt idx="11">
                  <c:v>4.8</c:v>
                </c:pt>
                <c:pt idx="12">
                  <c:v>4.8</c:v>
                </c:pt>
                <c:pt idx="13">
                  <c:v>4.8</c:v>
                </c:pt>
                <c:pt idx="14">
                  <c:v>0</c:v>
                </c:pt>
                <c:pt idx="15">
                  <c:v>0</c:v>
                </c:pt>
              </c:numCache>
            </c:numRef>
          </c:val>
        </c:ser>
        <c:ser>
          <c:idx val="5"/>
          <c:order val="5"/>
          <c:tx>
            <c:strRef>
              <c:f>'MIVEC - 19 Cell'!$AB$54</c:f>
              <c:strCache>
                <c:ptCount val="1"/>
                <c:pt idx="0">
                  <c:v>50</c:v>
                </c:pt>
              </c:strCache>
            </c:strRef>
          </c:tx>
          <c:spPr>
            <a:solidFill>
              <a:srgbClr val="FF8080"/>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Cell'!$AB$55:$AB$70</c:f>
              <c:numCache>
                <c:formatCode>0.0</c:formatCode>
                <c:ptCount val="16"/>
                <c:pt idx="0">
                  <c:v>0</c:v>
                </c:pt>
                <c:pt idx="1">
                  <c:v>0</c:v>
                </c:pt>
                <c:pt idx="2">
                  <c:v>4.8</c:v>
                </c:pt>
                <c:pt idx="3">
                  <c:v>14.4</c:v>
                </c:pt>
                <c:pt idx="4">
                  <c:v>14.4</c:v>
                </c:pt>
                <c:pt idx="5">
                  <c:v>19.2</c:v>
                </c:pt>
                <c:pt idx="6">
                  <c:v>19.2</c:v>
                </c:pt>
                <c:pt idx="7">
                  <c:v>19.2</c:v>
                </c:pt>
                <c:pt idx="8">
                  <c:v>19.2</c:v>
                </c:pt>
                <c:pt idx="9">
                  <c:v>19.2</c:v>
                </c:pt>
                <c:pt idx="10">
                  <c:v>14.4</c:v>
                </c:pt>
                <c:pt idx="11">
                  <c:v>14.4</c:v>
                </c:pt>
                <c:pt idx="12">
                  <c:v>9.6</c:v>
                </c:pt>
                <c:pt idx="13">
                  <c:v>4.8</c:v>
                </c:pt>
                <c:pt idx="14">
                  <c:v>0</c:v>
                </c:pt>
                <c:pt idx="15">
                  <c:v>0</c:v>
                </c:pt>
              </c:numCache>
            </c:numRef>
          </c:val>
        </c:ser>
        <c:ser>
          <c:idx val="6"/>
          <c:order val="6"/>
          <c:tx>
            <c:strRef>
              <c:f>'MIVEC - 19 Cell'!$AC$54</c:f>
              <c:strCache>
                <c:ptCount val="1"/>
                <c:pt idx="0">
                  <c:v>60</c:v>
                </c:pt>
              </c:strCache>
            </c:strRef>
          </c:tx>
          <c:spPr>
            <a:solidFill>
              <a:srgbClr val="0066CC"/>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Cell'!$AC$55:$AC$70</c:f>
              <c:numCache>
                <c:formatCode>0.0</c:formatCode>
                <c:ptCount val="16"/>
                <c:pt idx="0">
                  <c:v>0</c:v>
                </c:pt>
                <c:pt idx="1">
                  <c:v>9.6</c:v>
                </c:pt>
                <c:pt idx="2">
                  <c:v>9.6</c:v>
                </c:pt>
                <c:pt idx="3">
                  <c:v>14.4</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7"/>
          <c:order val="7"/>
          <c:tx>
            <c:strRef>
              <c:f>'MIVEC - 19 Cell'!$AD$54</c:f>
              <c:strCache>
                <c:ptCount val="1"/>
                <c:pt idx="0">
                  <c:v>70</c:v>
                </c:pt>
              </c:strCache>
            </c:strRef>
          </c:tx>
          <c:spPr>
            <a:solidFill>
              <a:srgbClr val="CCCCFF"/>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Cell'!$AD$55:$AD$70</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8"/>
          <c:order val="8"/>
          <c:tx>
            <c:strRef>
              <c:f>'MIVEC - 19 Cell'!$AE$54</c:f>
              <c:strCache>
                <c:ptCount val="1"/>
                <c:pt idx="0">
                  <c:v>80</c:v>
                </c:pt>
              </c:strCache>
            </c:strRef>
          </c:tx>
          <c:spPr>
            <a:solidFill>
              <a:srgbClr val="000080"/>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Cell'!$AE$55:$AE$70</c:f>
              <c:numCache>
                <c:formatCode>0.0</c:formatCode>
                <c:ptCount val="16"/>
                <c:pt idx="0">
                  <c:v>0</c:v>
                </c:pt>
                <c:pt idx="1">
                  <c:v>9.6</c:v>
                </c:pt>
                <c:pt idx="2">
                  <c:v>19.2</c:v>
                </c:pt>
                <c:pt idx="3">
                  <c:v>19.2</c:v>
                </c:pt>
                <c:pt idx="4">
                  <c:v>19.2</c:v>
                </c:pt>
                <c:pt idx="5">
                  <c:v>19.2</c:v>
                </c:pt>
                <c:pt idx="6">
                  <c:v>19.2</c:v>
                </c:pt>
                <c:pt idx="7">
                  <c:v>19.2</c:v>
                </c:pt>
                <c:pt idx="8">
                  <c:v>19.2</c:v>
                </c:pt>
                <c:pt idx="9">
                  <c:v>19.2</c:v>
                </c:pt>
                <c:pt idx="10">
                  <c:v>19.2</c:v>
                </c:pt>
                <c:pt idx="11">
                  <c:v>14.4</c:v>
                </c:pt>
                <c:pt idx="12">
                  <c:v>9.6</c:v>
                </c:pt>
                <c:pt idx="13">
                  <c:v>4.8</c:v>
                </c:pt>
                <c:pt idx="14">
                  <c:v>0</c:v>
                </c:pt>
                <c:pt idx="15">
                  <c:v>0</c:v>
                </c:pt>
              </c:numCache>
            </c:numRef>
          </c:val>
        </c:ser>
        <c:ser>
          <c:idx val="9"/>
          <c:order val="9"/>
          <c:tx>
            <c:strRef>
              <c:f>'MIVEC - 19 Cell'!$AF$54</c:f>
              <c:strCache>
                <c:ptCount val="1"/>
                <c:pt idx="0">
                  <c:v>90</c:v>
                </c:pt>
              </c:strCache>
            </c:strRef>
          </c:tx>
          <c:spPr>
            <a:solidFill>
              <a:srgbClr val="FF00FF"/>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Cell'!$AF$55:$AF$70</c:f>
              <c:numCache>
                <c:formatCode>0.0</c:formatCode>
                <c:ptCount val="16"/>
                <c:pt idx="0">
                  <c:v>0</c:v>
                </c:pt>
                <c:pt idx="1">
                  <c:v>9.6</c:v>
                </c:pt>
                <c:pt idx="2">
                  <c:v>19.2</c:v>
                </c:pt>
                <c:pt idx="3">
                  <c:v>19.2</c:v>
                </c:pt>
                <c:pt idx="4">
                  <c:v>19.2</c:v>
                </c:pt>
                <c:pt idx="5">
                  <c:v>19.2</c:v>
                </c:pt>
                <c:pt idx="6">
                  <c:v>19.2</c:v>
                </c:pt>
                <c:pt idx="7">
                  <c:v>14.4</c:v>
                </c:pt>
                <c:pt idx="8">
                  <c:v>19.2</c:v>
                </c:pt>
                <c:pt idx="9">
                  <c:v>14.4</c:v>
                </c:pt>
                <c:pt idx="10">
                  <c:v>14.4</c:v>
                </c:pt>
                <c:pt idx="11">
                  <c:v>14.4</c:v>
                </c:pt>
                <c:pt idx="12">
                  <c:v>9.6</c:v>
                </c:pt>
                <c:pt idx="13">
                  <c:v>4.8</c:v>
                </c:pt>
                <c:pt idx="14">
                  <c:v>0</c:v>
                </c:pt>
                <c:pt idx="15">
                  <c:v>0</c:v>
                </c:pt>
              </c:numCache>
            </c:numRef>
          </c:val>
        </c:ser>
        <c:ser>
          <c:idx val="10"/>
          <c:order val="10"/>
          <c:tx>
            <c:strRef>
              <c:f>'MIVEC - 19 Cell'!$AG$54</c:f>
              <c:strCache>
                <c:ptCount val="1"/>
                <c:pt idx="0">
                  <c:v>100</c:v>
                </c:pt>
              </c:strCache>
            </c:strRef>
          </c:tx>
          <c:spPr>
            <a:solidFill>
              <a:srgbClr val="FFFF00"/>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Cell'!$AG$55:$AG$70</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1"/>
          <c:order val="11"/>
          <c:tx>
            <c:strRef>
              <c:f>'MIVEC - 19 Cell'!$AH$54</c:f>
              <c:strCache>
                <c:ptCount val="1"/>
                <c:pt idx="0">
                  <c:v>120</c:v>
                </c:pt>
              </c:strCache>
            </c:strRef>
          </c:tx>
          <c:spPr>
            <a:solidFill>
              <a:srgbClr val="00FFFF"/>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Cell'!$AH$55:$AH$70</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2"/>
          <c:order val="12"/>
          <c:tx>
            <c:strRef>
              <c:f>'MIVEC - 19 Cell'!$AI$54</c:f>
              <c:strCache>
                <c:ptCount val="1"/>
                <c:pt idx="0">
                  <c:v>140</c:v>
                </c:pt>
              </c:strCache>
            </c:strRef>
          </c:tx>
          <c:spPr>
            <a:solidFill>
              <a:srgbClr val="800080"/>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Cell'!$AI$55:$AI$70</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9.6</c:v>
                </c:pt>
                <c:pt idx="13">
                  <c:v>9.6</c:v>
                </c:pt>
                <c:pt idx="14">
                  <c:v>0</c:v>
                </c:pt>
                <c:pt idx="15">
                  <c:v>0</c:v>
                </c:pt>
              </c:numCache>
            </c:numRef>
          </c:val>
        </c:ser>
        <c:ser>
          <c:idx val="13"/>
          <c:order val="13"/>
          <c:tx>
            <c:strRef>
              <c:f>'MIVEC - 19 Cell'!$AJ$54</c:f>
              <c:strCache>
                <c:ptCount val="1"/>
                <c:pt idx="0">
                  <c:v>160</c:v>
                </c:pt>
              </c:strCache>
            </c:strRef>
          </c:tx>
          <c:spPr>
            <a:solidFill>
              <a:srgbClr val="800000"/>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Cell'!$AJ$55:$AJ$70</c:f>
              <c:numCache>
                <c:formatCode>0.0</c:formatCode>
                <c:ptCount val="16"/>
                <c:pt idx="0">
                  <c:v>0</c:v>
                </c:pt>
                <c:pt idx="1">
                  <c:v>9.6</c:v>
                </c:pt>
                <c:pt idx="2">
                  <c:v>19.2</c:v>
                </c:pt>
                <c:pt idx="3">
                  <c:v>19.2</c:v>
                </c:pt>
                <c:pt idx="4">
                  <c:v>19.2</c:v>
                </c:pt>
                <c:pt idx="5">
                  <c:v>14.4</c:v>
                </c:pt>
                <c:pt idx="6">
                  <c:v>14.4</c:v>
                </c:pt>
                <c:pt idx="7">
                  <c:v>14.4</c:v>
                </c:pt>
                <c:pt idx="8">
                  <c:v>19.2</c:v>
                </c:pt>
                <c:pt idx="9">
                  <c:v>14.4</c:v>
                </c:pt>
                <c:pt idx="10">
                  <c:v>14.4</c:v>
                </c:pt>
                <c:pt idx="11">
                  <c:v>14.4</c:v>
                </c:pt>
                <c:pt idx="12">
                  <c:v>14.4</c:v>
                </c:pt>
                <c:pt idx="13">
                  <c:v>9.6</c:v>
                </c:pt>
                <c:pt idx="14">
                  <c:v>0</c:v>
                </c:pt>
                <c:pt idx="15">
                  <c:v>0</c:v>
                </c:pt>
              </c:numCache>
            </c:numRef>
          </c:val>
        </c:ser>
        <c:ser>
          <c:idx val="14"/>
          <c:order val="14"/>
          <c:tx>
            <c:strRef>
              <c:f>'MIVEC - 19 Cell'!$AK$54</c:f>
              <c:strCache>
                <c:ptCount val="1"/>
                <c:pt idx="0">
                  <c:v>180</c:v>
                </c:pt>
              </c:strCache>
            </c:strRef>
          </c:tx>
          <c:spPr>
            <a:solidFill>
              <a:srgbClr val="008080"/>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Cell'!$AK$55:$AK$70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5"/>
          <c:order val="15"/>
          <c:tx>
            <c:strRef>
              <c:f>'MIVEC - 19 Cell'!$AL$54</c:f>
              <c:strCache>
                <c:ptCount val="1"/>
                <c:pt idx="0">
                  <c:v>200</c:v>
                </c:pt>
              </c:strCache>
            </c:strRef>
          </c:tx>
          <c:spPr>
            <a:solidFill>
              <a:srgbClr val="0000FF"/>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Cell'!$AL$55:$AL$70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6"/>
          <c:order val="16"/>
          <c:tx>
            <c:strRef>
              <c:f>'MIVEC - 19 Cell'!$AM$54</c:f>
              <c:strCache>
                <c:ptCount val="1"/>
                <c:pt idx="0">
                  <c:v>220</c:v>
                </c:pt>
              </c:strCache>
            </c:strRef>
          </c:tx>
          <c:spPr>
            <a:solidFill>
              <a:srgbClr val="00CCFF"/>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Cell'!$AM$55:$AM$70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7"/>
          <c:order val="17"/>
          <c:tx>
            <c:strRef>
              <c:f>'MIVEC - 19 Cell'!$AN$54</c:f>
              <c:strCache>
                <c:ptCount val="1"/>
                <c:pt idx="0">
                  <c:v>240</c:v>
                </c:pt>
              </c:strCache>
            </c:strRef>
          </c:tx>
          <c:spPr>
            <a:solidFill>
              <a:srgbClr val="CCFFFF"/>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Cell'!$AN$55:$AN$70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ser>
          <c:idx val="18"/>
          <c:order val="18"/>
          <c:tx>
            <c:strRef>
              <c:f>'MIVEC - 19 Cell'!$AO$54</c:f>
              <c:strCache>
                <c:ptCount val="1"/>
                <c:pt idx="0">
                  <c:v>260</c:v>
                </c:pt>
              </c:strCache>
            </c:strRef>
          </c:tx>
          <c:spPr>
            <a:solidFill>
              <a:srgbClr val="CCFFCC"/>
            </a:solidFill>
            <a:ln w="12700">
              <a:solidFill>
                <a:srgbClr val="000000"/>
              </a:solidFill>
              <a:prstDash val="solid"/>
            </a:ln>
            <a:sp3d prstMaterial="flat"/>
          </c:spPr>
          <c:cat>
            <c:numRef>
              <c:f>'MIVEC - 19 Cell'!$V$55:$V$70</c:f>
              <c:numCache>
                <c:formatCode>General</c:formatCode>
                <c:ptCount val="16"/>
                <c:pt idx="0">
                  <c:v>500</c:v>
                </c:pt>
                <c:pt idx="1">
                  <c:v>750</c:v>
                </c:pt>
                <c:pt idx="2">
                  <c:v>1000</c:v>
                </c:pt>
                <c:pt idx="3">
                  <c:v>1250</c:v>
                </c:pt>
                <c:pt idx="4">
                  <c:v>1500</c:v>
                </c:pt>
                <c:pt idx="5">
                  <c:v>2000</c:v>
                </c:pt>
                <c:pt idx="6">
                  <c:v>2500</c:v>
                </c:pt>
                <c:pt idx="7">
                  <c:v>3000</c:v>
                </c:pt>
                <c:pt idx="8">
                  <c:v>3500</c:v>
                </c:pt>
                <c:pt idx="9">
                  <c:v>4000</c:v>
                </c:pt>
                <c:pt idx="10">
                  <c:v>4500</c:v>
                </c:pt>
                <c:pt idx="11">
                  <c:v>5000</c:v>
                </c:pt>
                <c:pt idx="12">
                  <c:v>5500</c:v>
                </c:pt>
                <c:pt idx="13">
                  <c:v>6000</c:v>
                </c:pt>
                <c:pt idx="14">
                  <c:v>6500</c:v>
                </c:pt>
                <c:pt idx="15">
                  <c:v>7000</c:v>
                </c:pt>
              </c:numCache>
            </c:numRef>
          </c:cat>
          <c:val>
            <c:numRef>
              <c:f>'MIVEC - 19 Cell'!$AO$55:$AO$70</c:f>
              <c:numCache>
                <c:formatCode>0.0</c:formatCode>
                <c:ptCount val="16"/>
                <c:pt idx="0">
                  <c:v>0</c:v>
                </c:pt>
                <c:pt idx="1">
                  <c:v>9.6</c:v>
                </c:pt>
                <c:pt idx="2">
                  <c:v>19.2</c:v>
                </c:pt>
                <c:pt idx="3">
                  <c:v>19.2</c:v>
                </c:pt>
                <c:pt idx="4">
                  <c:v>19.2</c:v>
                </c:pt>
                <c:pt idx="5">
                  <c:v>14.4</c:v>
                </c:pt>
                <c:pt idx="6">
                  <c:v>14.4</c:v>
                </c:pt>
                <c:pt idx="7">
                  <c:v>14.4</c:v>
                </c:pt>
                <c:pt idx="8">
                  <c:v>19.2</c:v>
                </c:pt>
                <c:pt idx="9">
                  <c:v>24</c:v>
                </c:pt>
                <c:pt idx="10">
                  <c:v>24</c:v>
                </c:pt>
                <c:pt idx="11">
                  <c:v>24</c:v>
                </c:pt>
                <c:pt idx="12">
                  <c:v>19.2</c:v>
                </c:pt>
                <c:pt idx="13">
                  <c:v>9.6</c:v>
                </c:pt>
                <c:pt idx="14">
                  <c:v>0</c:v>
                </c:pt>
                <c:pt idx="15">
                  <c:v>0</c:v>
                </c:pt>
              </c:numCache>
            </c:numRef>
          </c:val>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
            <c:idx val="8"/>
            <c:spPr>
              <a:solidFill>
                <a:srgbClr val="000080"/>
              </a:solidFill>
              <a:ln w="12700">
                <a:solidFill>
                  <a:srgbClr val="000000"/>
                </a:solidFill>
                <a:prstDash val="solid"/>
              </a:ln>
              <a:sp3d prstMaterial="flat"/>
            </c:spPr>
          </c:bandFmt>
          <c:bandFmt>
            <c:idx val="9"/>
            <c:spPr>
              <a:solidFill>
                <a:srgbClr val="FF00FF"/>
              </a:solidFill>
              <a:ln w="12700">
                <a:solidFill>
                  <a:srgbClr val="000000"/>
                </a:solidFill>
                <a:prstDash val="solid"/>
              </a:ln>
              <a:sp3d prstMaterial="flat"/>
            </c:spPr>
          </c:bandFmt>
          <c:bandFmt>
            <c:idx val="10"/>
            <c:spPr>
              <a:solidFill>
                <a:srgbClr val="FFFF00"/>
              </a:solidFill>
              <a:ln w="12700">
                <a:solidFill>
                  <a:srgbClr val="000000"/>
                </a:solidFill>
                <a:prstDash val="solid"/>
              </a:ln>
              <a:sp3d prstMaterial="flat"/>
            </c:spPr>
          </c:bandFmt>
          <c:bandFmt>
            <c:idx val="11"/>
            <c:spPr>
              <a:solidFill>
                <a:srgbClr val="00FFFF"/>
              </a:solidFill>
              <a:ln w="12700">
                <a:solidFill>
                  <a:srgbClr val="000000"/>
                </a:solidFill>
                <a:prstDash val="solid"/>
              </a:ln>
              <a:sp3d prstMaterial="flat"/>
            </c:spPr>
          </c:bandFmt>
          <c:bandFmt>
            <c:idx val="12"/>
            <c:spPr>
              <a:solidFill>
                <a:srgbClr val="800080"/>
              </a:solidFill>
              <a:ln w="12700">
                <a:solidFill>
                  <a:srgbClr val="000000"/>
                </a:solidFill>
                <a:prstDash val="solid"/>
              </a:ln>
              <a:sp3d prstMaterial="flat"/>
            </c:spPr>
          </c:bandFmt>
          <c:bandFmt>
            <c:idx val="13"/>
            <c:spPr>
              <a:solidFill>
                <a:srgbClr val="800000"/>
              </a:solidFill>
              <a:ln w="12700">
                <a:solidFill>
                  <a:srgbClr val="000000"/>
                </a:solidFill>
                <a:prstDash val="solid"/>
              </a:ln>
              <a:sp3d prstMaterial="flat"/>
            </c:spPr>
          </c:bandFmt>
          <c:bandFmt>
            <c:idx val="14"/>
            <c:spPr>
              <a:solidFill>
                <a:srgbClr val="008080"/>
              </a:solidFill>
              <a:ln w="12700">
                <a:solidFill>
                  <a:srgbClr val="000000"/>
                </a:solidFill>
                <a:prstDash val="solid"/>
              </a:ln>
              <a:sp3d prstMaterial="flat"/>
            </c:spPr>
          </c:bandFmt>
          <c:bandFmt>
            <c:idx val="15"/>
            <c:spPr>
              <a:solidFill>
                <a:srgbClr val="0000FF"/>
              </a:solidFill>
              <a:ln w="12700">
                <a:solidFill>
                  <a:srgbClr val="000000"/>
                </a:solidFill>
                <a:prstDash val="solid"/>
              </a:ln>
              <a:sp3d prstMaterial="flat"/>
            </c:spPr>
          </c:bandFmt>
          <c:bandFmt>
            <c:idx val="16"/>
            <c:spPr>
              <a:solidFill>
                <a:srgbClr val="00CCFF"/>
              </a:solidFill>
              <a:ln w="12700">
                <a:solidFill>
                  <a:srgbClr val="000000"/>
                </a:solidFill>
                <a:prstDash val="solid"/>
              </a:ln>
              <a:sp3d prstMaterial="flat"/>
            </c:spPr>
          </c:bandFmt>
          <c:bandFmt>
            <c:idx val="17"/>
            <c:spPr>
              <a:solidFill>
                <a:srgbClr val="CCFFFF"/>
              </a:solidFill>
              <a:ln w="12700">
                <a:solidFill>
                  <a:srgbClr val="000000"/>
                </a:solidFill>
                <a:prstDash val="solid"/>
              </a:ln>
              <a:sp3d prstMaterial="flat"/>
            </c:spPr>
          </c:bandFmt>
          <c:bandFmt>
            <c:idx val="18"/>
            <c:spPr>
              <a:solidFill>
                <a:srgbClr val="CCFFCC"/>
              </a:solidFill>
              <a:ln w="12700">
                <a:solidFill>
                  <a:srgbClr val="000000"/>
                </a:solidFill>
                <a:prstDash val="solid"/>
              </a:ln>
              <a:sp3d prstMaterial="flat"/>
            </c:spPr>
          </c:bandFmt>
          <c:bandFmt>
            <c:idx val="19"/>
            <c:spPr>
              <a:solidFill>
                <a:srgbClr val="FFFF99"/>
              </a:solidFill>
              <a:ln w="12700">
                <a:solidFill>
                  <a:srgbClr val="000000"/>
                </a:solidFill>
                <a:prstDash val="solid"/>
              </a:ln>
              <a:sp3d prstMaterial="flat"/>
            </c:spPr>
          </c:bandFmt>
        </c:bandFmts>
        <c:axId val="97447936"/>
        <c:axId val="97449856"/>
        <c:axId val="97408768"/>
      </c:surface3DChart>
      <c:catAx>
        <c:axId val="97447936"/>
        <c:scaling>
          <c:orientation val="maxMin"/>
        </c:scaling>
        <c:axPos val="b"/>
        <c:title>
          <c:tx>
            <c:rich>
              <a:bodyPr rot="5400000" vert="horz"/>
              <a:lstStyle/>
              <a:p>
                <a:pPr algn="ctr">
                  <a:defRPr sz="950" b="1" i="0" u="none" strike="noStrike" baseline="0">
                    <a:solidFill>
                      <a:srgbClr val="000000"/>
                    </a:solidFill>
                    <a:latin typeface="Arial"/>
                    <a:ea typeface="Arial"/>
                    <a:cs typeface="Arial"/>
                  </a:defRPr>
                </a:pPr>
                <a:r>
                  <a:rPr lang="en-US"/>
                  <a:t>RPM</a:t>
                </a:r>
              </a:p>
            </c:rich>
          </c:tx>
          <c:layout>
            <c:manualLayout>
              <c:xMode val="edge"/>
              <c:yMode val="edge"/>
              <c:x val="0.94104544862701589"/>
              <c:y val="0.41657650939699964"/>
            </c:manualLayout>
          </c:layout>
          <c:spPr>
            <a:noFill/>
            <a:ln w="25400">
              <a:noFill/>
            </a:ln>
          </c:spPr>
        </c:title>
        <c:numFmt formatCode="General" sourceLinked="1"/>
        <c:tickLblPos val="low"/>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7449856"/>
        <c:crosses val="autoZero"/>
        <c:auto val="1"/>
        <c:lblAlgn val="ctr"/>
        <c:lblOffset val="100"/>
        <c:tickLblSkip val="1"/>
        <c:tickMarkSkip val="1"/>
        <c:noMultiLvlLbl val="1"/>
      </c:catAx>
      <c:valAx>
        <c:axId val="97449856"/>
        <c:scaling>
          <c:orientation val="minMax"/>
          <c:max val="28.8"/>
          <c:min val="-1.2"/>
        </c:scaling>
        <c:axPos val="r"/>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97447936"/>
        <c:crosses val="autoZero"/>
        <c:crossBetween val="midCat"/>
        <c:majorUnit val="1.5"/>
      </c:valAx>
      <c:serAx>
        <c:axId val="97408768"/>
        <c:scaling>
          <c:orientation val="maxMin"/>
        </c:scaling>
        <c:axPos val="b"/>
        <c:title>
          <c:tx>
            <c:rich>
              <a:bodyPr/>
              <a:lstStyle/>
              <a:p>
                <a:pPr>
                  <a:defRPr sz="950" b="1" i="0" u="none" strike="noStrike" baseline="0">
                    <a:solidFill>
                      <a:srgbClr val="000000"/>
                    </a:solidFill>
                    <a:latin typeface="Arial"/>
                    <a:ea typeface="Arial"/>
                    <a:cs typeface="Arial"/>
                  </a:defRPr>
                </a:pPr>
                <a:r>
                  <a:rPr lang="en-US"/>
                  <a:t>Load</a:t>
                </a:r>
              </a:p>
            </c:rich>
          </c:tx>
          <c:layout>
            <c:manualLayout>
              <c:xMode val="edge"/>
              <c:yMode val="edge"/>
              <c:x val="0.44959550584897512"/>
              <c:y val="0.9187735662255706"/>
            </c:manualLayout>
          </c:layout>
          <c:spPr>
            <a:noFill/>
            <a:ln w="25400">
              <a:noFill/>
            </a:ln>
          </c:spPr>
        </c:title>
        <c:numFmt formatCode="General" sourceLinked="1"/>
        <c:tickLblPos val="low"/>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97449856"/>
        <c:crosses val="autoZero"/>
        <c:tickLblSkip val="1"/>
        <c:tickMarkSkip val="1"/>
      </c:serAx>
      <c:spPr>
        <a:solidFill>
          <a:srgbClr val="FFFFFF"/>
        </a:solidFill>
        <a:ln w="25400">
          <a:noFill/>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5" Type="http://schemas.openxmlformats.org/officeDocument/2006/relationships/chart" Target="../charts/chart21.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2.xml"/><Relationship Id="rId2" Type="http://schemas.openxmlformats.org/officeDocument/2006/relationships/chart" Target="../charts/chart31.xml"/><Relationship Id="rId1" Type="http://schemas.openxmlformats.org/officeDocument/2006/relationships/chart" Target="../charts/chart30.xml"/><Relationship Id="rId5" Type="http://schemas.openxmlformats.org/officeDocument/2006/relationships/chart" Target="../charts/chart34.xml"/><Relationship Id="rId4" Type="http://schemas.openxmlformats.org/officeDocument/2006/relationships/chart" Target="../charts/chart3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6.emf"/><Relationship Id="rId1" Type="http://schemas.openxmlformats.org/officeDocument/2006/relationships/image" Target="../media/image1.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7.emf"/><Relationship Id="rId1" Type="http://schemas.openxmlformats.org/officeDocument/2006/relationships/image" Target="../media/image1.emf"/><Relationship Id="rId4"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198119</xdr:rowOff>
    </xdr:from>
    <xdr:to>
      <xdr:col>24</xdr:col>
      <xdr:colOff>60960</xdr:colOff>
      <xdr:row>24</xdr:row>
      <xdr:rowOff>198120</xdr:rowOff>
    </xdr:to>
    <xdr:graphicFrame macro="">
      <xdr:nvGraphicFramePr>
        <xdr:cNvPr id="604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25</xdr:row>
      <xdr:rowOff>190501</xdr:rowOff>
    </xdr:from>
    <xdr:to>
      <xdr:col>24</xdr:col>
      <xdr:colOff>60960</xdr:colOff>
      <xdr:row>49</xdr:row>
      <xdr:rowOff>0</xdr:rowOff>
    </xdr:to>
    <xdr:graphicFrame macro="">
      <xdr:nvGraphicFramePr>
        <xdr:cNvPr id="6043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49</xdr:row>
      <xdr:rowOff>203562</xdr:rowOff>
    </xdr:from>
    <xdr:to>
      <xdr:col>23</xdr:col>
      <xdr:colOff>251460</xdr:colOff>
      <xdr:row>73</xdr:row>
      <xdr:rowOff>15240</xdr:rowOff>
    </xdr:to>
    <xdr:graphicFrame macro="">
      <xdr:nvGraphicFramePr>
        <xdr:cNvPr id="6043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68580</xdr:colOff>
      <xdr:row>26</xdr:row>
      <xdr:rowOff>76894</xdr:rowOff>
    </xdr:from>
    <xdr:to>
      <xdr:col>11</xdr:col>
      <xdr:colOff>32558</xdr:colOff>
      <xdr:row>37</xdr:row>
      <xdr:rowOff>145473</xdr:rowOff>
    </xdr:to>
    <xdr:graphicFrame macro="">
      <xdr:nvGraphicFramePr>
        <xdr:cNvPr id="6455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65116</xdr:colOff>
      <xdr:row>13</xdr:row>
      <xdr:rowOff>155172</xdr:rowOff>
    </xdr:from>
    <xdr:to>
      <xdr:col>11</xdr:col>
      <xdr:colOff>40178</xdr:colOff>
      <xdr:row>25</xdr:row>
      <xdr:rowOff>95596</xdr:rowOff>
    </xdr:to>
    <xdr:graphicFrame macro="">
      <xdr:nvGraphicFramePr>
        <xdr:cNvPr id="6455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65116</xdr:colOff>
      <xdr:row>1</xdr:row>
      <xdr:rowOff>38794</xdr:rowOff>
    </xdr:from>
    <xdr:to>
      <xdr:col>11</xdr:col>
      <xdr:colOff>40178</xdr:colOff>
      <xdr:row>13</xdr:row>
      <xdr:rowOff>63732</xdr:rowOff>
    </xdr:to>
    <xdr:graphicFrame macro="">
      <xdr:nvGraphicFramePr>
        <xdr:cNvPr id="6455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105294</xdr:colOff>
      <xdr:row>0</xdr:row>
      <xdr:rowOff>151707</xdr:rowOff>
    </xdr:from>
    <xdr:to>
      <xdr:col>36</xdr:col>
      <xdr:colOff>51262</xdr:colOff>
      <xdr:row>16</xdr:row>
      <xdr:rowOff>182880</xdr:rowOff>
    </xdr:to>
    <xdr:graphicFrame macro="">
      <xdr:nvGraphicFramePr>
        <xdr:cNvPr id="6455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112914</xdr:colOff>
      <xdr:row>17</xdr:row>
      <xdr:rowOff>164176</xdr:rowOff>
    </xdr:from>
    <xdr:to>
      <xdr:col>36</xdr:col>
      <xdr:colOff>43642</xdr:colOff>
      <xdr:row>35</xdr:row>
      <xdr:rowOff>167640</xdr:rowOff>
    </xdr:to>
    <xdr:graphicFrame macro="">
      <xdr:nvGraphicFramePr>
        <xdr:cNvPr id="6455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114300</xdr:colOff>
      <xdr:row>2</xdr:row>
      <xdr:rowOff>0</xdr:rowOff>
    </xdr:from>
    <xdr:to>
      <xdr:col>23</xdr:col>
      <xdr:colOff>236220</xdr:colOff>
      <xdr:row>25</xdr:row>
      <xdr:rowOff>0</xdr:rowOff>
    </xdr:to>
    <xdr:graphicFrame macro="">
      <xdr:nvGraphicFramePr>
        <xdr:cNvPr id="1231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114300</xdr:colOff>
      <xdr:row>26</xdr:row>
      <xdr:rowOff>0</xdr:rowOff>
    </xdr:from>
    <xdr:to>
      <xdr:col>23</xdr:col>
      <xdr:colOff>243840</xdr:colOff>
      <xdr:row>49</xdr:row>
      <xdr:rowOff>0</xdr:rowOff>
    </xdr:to>
    <xdr:graphicFrame macro="">
      <xdr:nvGraphicFramePr>
        <xdr:cNvPr id="12314"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83820</xdr:colOff>
      <xdr:row>50</xdr:row>
      <xdr:rowOff>0</xdr:rowOff>
    </xdr:from>
    <xdr:to>
      <xdr:col>23</xdr:col>
      <xdr:colOff>228600</xdr:colOff>
      <xdr:row>73</xdr:row>
      <xdr:rowOff>76200</xdr:rowOff>
    </xdr:to>
    <xdr:graphicFrame macro="">
      <xdr:nvGraphicFramePr>
        <xdr:cNvPr id="1231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41564</xdr:colOff>
      <xdr:row>48</xdr:row>
      <xdr:rowOff>162791</xdr:rowOff>
    </xdr:from>
    <xdr:to>
      <xdr:col>19</xdr:col>
      <xdr:colOff>215439</xdr:colOff>
      <xdr:row>73</xdr:row>
      <xdr:rowOff>83128</xdr:rowOff>
    </xdr:to>
    <xdr:graphicFrame macro="">
      <xdr:nvGraphicFramePr>
        <xdr:cNvPr id="1029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55418</xdr:colOff>
      <xdr:row>24</xdr:row>
      <xdr:rowOff>180108</xdr:rowOff>
    </xdr:from>
    <xdr:to>
      <xdr:col>19</xdr:col>
      <xdr:colOff>235527</xdr:colOff>
      <xdr:row>45</xdr:row>
      <xdr:rowOff>166254</xdr:rowOff>
    </xdr:to>
    <xdr:graphicFrame macro="">
      <xdr:nvGraphicFramePr>
        <xdr:cNvPr id="1029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55419</xdr:colOff>
      <xdr:row>1</xdr:row>
      <xdr:rowOff>239684</xdr:rowOff>
    </xdr:from>
    <xdr:to>
      <xdr:col>19</xdr:col>
      <xdr:colOff>235529</xdr:colOff>
      <xdr:row>22</xdr:row>
      <xdr:rowOff>41564</xdr:rowOff>
    </xdr:to>
    <xdr:graphicFrame macro="">
      <xdr:nvGraphicFramePr>
        <xdr:cNvPr id="1029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43</xdr:col>
      <xdr:colOff>22860</xdr:colOff>
      <xdr:row>1</xdr:row>
      <xdr:rowOff>96982</xdr:rowOff>
    </xdr:from>
    <xdr:to>
      <xdr:col>63</xdr:col>
      <xdr:colOff>0</xdr:colOff>
      <xdr:row>30</xdr:row>
      <xdr:rowOff>68580</xdr:rowOff>
    </xdr:to>
    <xdr:graphicFrame macro="">
      <xdr:nvGraphicFramePr>
        <xdr:cNvPr id="10298"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43</xdr:col>
      <xdr:colOff>0</xdr:colOff>
      <xdr:row>32</xdr:row>
      <xdr:rowOff>124690</xdr:rowOff>
    </xdr:from>
    <xdr:to>
      <xdr:col>63</xdr:col>
      <xdr:colOff>13854</xdr:colOff>
      <xdr:row>64</xdr:row>
      <xdr:rowOff>68579</xdr:rowOff>
    </xdr:to>
    <xdr:graphicFrame macro="">
      <xdr:nvGraphicFramePr>
        <xdr:cNvPr id="10299"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103215</xdr:colOff>
      <xdr:row>65</xdr:row>
      <xdr:rowOff>0</xdr:rowOff>
    </xdr:from>
    <xdr:to>
      <xdr:col>19</xdr:col>
      <xdr:colOff>249382</xdr:colOff>
      <xdr:row>93</xdr:row>
      <xdr:rowOff>0</xdr:rowOff>
    </xdr:to>
    <xdr:graphicFrame macro="">
      <xdr:nvGraphicFramePr>
        <xdr:cNvPr id="23450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34</xdr:row>
      <xdr:rowOff>180108</xdr:rowOff>
    </xdr:from>
    <xdr:to>
      <xdr:col>19</xdr:col>
      <xdr:colOff>235527</xdr:colOff>
      <xdr:row>63</xdr:row>
      <xdr:rowOff>-1</xdr:rowOff>
    </xdr:to>
    <xdr:graphicFrame macro="">
      <xdr:nvGraphicFramePr>
        <xdr:cNvPr id="23450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xdr:row>
      <xdr:rowOff>235527</xdr:rowOff>
    </xdr:from>
    <xdr:to>
      <xdr:col>19</xdr:col>
      <xdr:colOff>235527</xdr:colOff>
      <xdr:row>29</xdr:row>
      <xdr:rowOff>166254</xdr:rowOff>
    </xdr:to>
    <xdr:graphicFrame macro="">
      <xdr:nvGraphicFramePr>
        <xdr:cNvPr id="234506"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52</xdr:col>
      <xdr:colOff>193963</xdr:colOff>
      <xdr:row>1</xdr:row>
      <xdr:rowOff>27710</xdr:rowOff>
    </xdr:from>
    <xdr:to>
      <xdr:col>75</xdr:col>
      <xdr:colOff>457199</xdr:colOff>
      <xdr:row>49</xdr:row>
      <xdr:rowOff>180111</xdr:rowOff>
    </xdr:to>
    <xdr:graphicFrame macro="">
      <xdr:nvGraphicFramePr>
        <xdr:cNvPr id="234507"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193964</xdr:colOff>
      <xdr:row>52</xdr:row>
      <xdr:rowOff>13854</xdr:rowOff>
    </xdr:from>
    <xdr:to>
      <xdr:col>76</xdr:col>
      <xdr:colOff>0</xdr:colOff>
      <xdr:row>106</xdr:row>
      <xdr:rowOff>27710</xdr:rowOff>
    </xdr:to>
    <xdr:graphicFrame macro="">
      <xdr:nvGraphicFramePr>
        <xdr:cNvPr id="234508"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99060</xdr:colOff>
      <xdr:row>2</xdr:row>
      <xdr:rowOff>12700</xdr:rowOff>
    </xdr:from>
    <xdr:to>
      <xdr:col>24</xdr:col>
      <xdr:colOff>45720</xdr:colOff>
      <xdr:row>29</xdr:row>
      <xdr:rowOff>190500</xdr:rowOff>
    </xdr:to>
    <xdr:graphicFrame macro="">
      <xdr:nvGraphicFramePr>
        <xdr:cNvPr id="11470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76200</xdr:colOff>
      <xdr:row>31</xdr:row>
      <xdr:rowOff>25400</xdr:rowOff>
    </xdr:from>
    <xdr:to>
      <xdr:col>24</xdr:col>
      <xdr:colOff>60960</xdr:colOff>
      <xdr:row>58</xdr:row>
      <xdr:rowOff>190500</xdr:rowOff>
    </xdr:to>
    <xdr:graphicFrame macro="">
      <xdr:nvGraphicFramePr>
        <xdr:cNvPr id="11470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83820</xdr:colOff>
      <xdr:row>59</xdr:row>
      <xdr:rowOff>190500</xdr:rowOff>
    </xdr:from>
    <xdr:to>
      <xdr:col>24</xdr:col>
      <xdr:colOff>50800</xdr:colOff>
      <xdr:row>88</xdr:row>
      <xdr:rowOff>0</xdr:rowOff>
    </xdr:to>
    <xdr:graphicFrame macro="">
      <xdr:nvGraphicFramePr>
        <xdr:cNvPr id="114703"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88900</xdr:colOff>
      <xdr:row>51</xdr:row>
      <xdr:rowOff>0</xdr:rowOff>
    </xdr:from>
    <xdr:to>
      <xdr:col>19</xdr:col>
      <xdr:colOff>223520</xdr:colOff>
      <xdr:row>76</xdr:row>
      <xdr:rowOff>208280</xdr:rowOff>
    </xdr:to>
    <xdr:graphicFrame macro="">
      <xdr:nvGraphicFramePr>
        <xdr:cNvPr id="655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88900</xdr:colOff>
      <xdr:row>26</xdr:row>
      <xdr:rowOff>25400</xdr:rowOff>
    </xdr:from>
    <xdr:to>
      <xdr:col>19</xdr:col>
      <xdr:colOff>208280</xdr:colOff>
      <xdr:row>50</xdr:row>
      <xdr:rowOff>139700</xdr:rowOff>
    </xdr:to>
    <xdr:graphicFrame macro="">
      <xdr:nvGraphicFramePr>
        <xdr:cNvPr id="6557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xdr:row>
      <xdr:rowOff>241300</xdr:rowOff>
    </xdr:from>
    <xdr:to>
      <xdr:col>19</xdr:col>
      <xdr:colOff>236220</xdr:colOff>
      <xdr:row>25</xdr:row>
      <xdr:rowOff>104140</xdr:rowOff>
    </xdr:to>
    <xdr:graphicFrame macro="">
      <xdr:nvGraphicFramePr>
        <xdr:cNvPr id="6557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42</xdr:col>
      <xdr:colOff>213360</xdr:colOff>
      <xdr:row>1</xdr:row>
      <xdr:rowOff>88900</xdr:rowOff>
    </xdr:from>
    <xdr:to>
      <xdr:col>57</xdr:col>
      <xdr:colOff>431800</xdr:colOff>
      <xdr:row>36</xdr:row>
      <xdr:rowOff>12700</xdr:rowOff>
    </xdr:to>
    <xdr:graphicFrame macro="">
      <xdr:nvGraphicFramePr>
        <xdr:cNvPr id="6557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43</xdr:col>
      <xdr:colOff>25400</xdr:colOff>
      <xdr:row>39</xdr:row>
      <xdr:rowOff>101600</xdr:rowOff>
    </xdr:from>
    <xdr:to>
      <xdr:col>58</xdr:col>
      <xdr:colOff>12700</xdr:colOff>
      <xdr:row>76</xdr:row>
      <xdr:rowOff>38100</xdr:rowOff>
    </xdr:to>
    <xdr:graphicFrame macro="">
      <xdr:nvGraphicFramePr>
        <xdr:cNvPr id="65578"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25</xdr:row>
      <xdr:rowOff>165100</xdr:rowOff>
    </xdr:from>
    <xdr:to>
      <xdr:col>19</xdr:col>
      <xdr:colOff>220980</xdr:colOff>
      <xdr:row>50</xdr:row>
      <xdr:rowOff>88900</xdr:rowOff>
    </xdr:to>
    <xdr:graphicFrame macro="">
      <xdr:nvGraphicFramePr>
        <xdr:cNvPr id="6659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19</xdr:col>
      <xdr:colOff>236220</xdr:colOff>
      <xdr:row>25</xdr:row>
      <xdr:rowOff>116840</xdr:rowOff>
    </xdr:to>
    <xdr:graphicFrame macro="">
      <xdr:nvGraphicFramePr>
        <xdr:cNvPr id="665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22860</xdr:colOff>
      <xdr:row>1</xdr:row>
      <xdr:rowOff>50800</xdr:rowOff>
    </xdr:from>
    <xdr:to>
      <xdr:col>57</xdr:col>
      <xdr:colOff>0</xdr:colOff>
      <xdr:row>31</xdr:row>
      <xdr:rowOff>68580</xdr:rowOff>
    </xdr:to>
    <xdr:graphicFrame macro="">
      <xdr:nvGraphicFramePr>
        <xdr:cNvPr id="666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42</xdr:col>
      <xdr:colOff>0</xdr:colOff>
      <xdr:row>33</xdr:row>
      <xdr:rowOff>38100</xdr:rowOff>
    </xdr:from>
    <xdr:to>
      <xdr:col>57</xdr:col>
      <xdr:colOff>12700</xdr:colOff>
      <xdr:row>66</xdr:row>
      <xdr:rowOff>68580</xdr:rowOff>
    </xdr:to>
    <xdr:graphicFrame macro="">
      <xdr:nvGraphicFramePr>
        <xdr:cNvPr id="6660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88900</xdr:colOff>
      <xdr:row>51</xdr:row>
      <xdr:rowOff>5080</xdr:rowOff>
    </xdr:from>
    <xdr:to>
      <xdr:col>19</xdr:col>
      <xdr:colOff>200660</xdr:colOff>
      <xdr:row>77</xdr:row>
      <xdr:rowOff>48260</xdr:rowOff>
    </xdr:to>
    <xdr:graphicFrame macro="">
      <xdr:nvGraphicFramePr>
        <xdr:cNvPr id="66602"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control" Target="../activeX/activeX2.xml"/><Relationship Id="rId10" Type="http://schemas.openxmlformats.org/officeDocument/2006/relationships/control" Target="../activeX/activeX7.xml"/><Relationship Id="rId4" Type="http://schemas.openxmlformats.org/officeDocument/2006/relationships/control" Target="../activeX/activeX1.xml"/><Relationship Id="rId9"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2.vml"/><Relationship Id="rId7"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0.xml"/><Relationship Id="rId5" Type="http://schemas.openxmlformats.org/officeDocument/2006/relationships/control" Target="../activeX/activeX9.xml"/><Relationship Id="rId10" Type="http://schemas.openxmlformats.org/officeDocument/2006/relationships/control" Target="../activeX/activeX14.xml"/><Relationship Id="rId4" Type="http://schemas.openxmlformats.org/officeDocument/2006/relationships/control" Target="../activeX/activeX8.xml"/><Relationship Id="rId9" Type="http://schemas.openxmlformats.org/officeDocument/2006/relationships/control" Target="../activeX/activeX1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3.vml"/><Relationship Id="rId7" Type="http://schemas.openxmlformats.org/officeDocument/2006/relationships/control" Target="../activeX/activeX1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7.xml"/><Relationship Id="rId5" Type="http://schemas.openxmlformats.org/officeDocument/2006/relationships/control" Target="../activeX/activeX16.xml"/><Relationship Id="rId10" Type="http://schemas.openxmlformats.org/officeDocument/2006/relationships/control" Target="../activeX/activeX21.xml"/><Relationship Id="rId4" Type="http://schemas.openxmlformats.org/officeDocument/2006/relationships/control" Target="../activeX/activeX15.xml"/><Relationship Id="rId9" Type="http://schemas.openxmlformats.org/officeDocument/2006/relationships/control" Target="../activeX/activeX2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4.vml"/><Relationship Id="rId7" Type="http://schemas.openxmlformats.org/officeDocument/2006/relationships/control" Target="../activeX/activeX2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24.xml"/><Relationship Id="rId5" Type="http://schemas.openxmlformats.org/officeDocument/2006/relationships/control" Target="../activeX/activeX23.xml"/><Relationship Id="rId4" Type="http://schemas.openxmlformats.org/officeDocument/2006/relationships/control" Target="../activeX/activeX22.xml"/><Relationship Id="rId9" Type="http://schemas.openxmlformats.org/officeDocument/2006/relationships/control" Target="../activeX/activeX27.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2.xml"/><Relationship Id="rId3" Type="http://schemas.openxmlformats.org/officeDocument/2006/relationships/vmlDrawing" Target="../drawings/vmlDrawing5.vml"/><Relationship Id="rId7" Type="http://schemas.openxmlformats.org/officeDocument/2006/relationships/control" Target="../activeX/activeX3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0.xml"/><Relationship Id="rId5" Type="http://schemas.openxmlformats.org/officeDocument/2006/relationships/control" Target="../activeX/activeX29.xml"/><Relationship Id="rId4" Type="http://schemas.openxmlformats.org/officeDocument/2006/relationships/control" Target="../activeX/activeX28.xml"/><Relationship Id="rId9"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sheetPr codeName="Sheet4"/>
  <dimension ref="A1:B13"/>
  <sheetViews>
    <sheetView workbookViewId="0">
      <selection activeCell="A2" sqref="A2"/>
    </sheetView>
  </sheetViews>
  <sheetFormatPr defaultRowHeight="12.75"/>
  <cols>
    <col min="1" max="1" width="9.140625" style="1" customWidth="1"/>
    <col min="2" max="2" width="146.140625" style="110" customWidth="1"/>
  </cols>
  <sheetData>
    <row r="1" spans="1:2">
      <c r="A1" s="1" t="s">
        <v>46</v>
      </c>
      <c r="B1" s="108" t="s">
        <v>47</v>
      </c>
    </row>
    <row r="3" spans="1:2">
      <c r="A3" s="1" t="s">
        <v>32</v>
      </c>
      <c r="B3" s="108" t="s">
        <v>33</v>
      </c>
    </row>
    <row r="5" spans="1:2" ht="25.5">
      <c r="A5" s="109" t="s">
        <v>31</v>
      </c>
      <c r="B5" s="108" t="s">
        <v>40</v>
      </c>
    </row>
    <row r="7" spans="1:2" ht="26.25" customHeight="1">
      <c r="A7" s="109" t="s">
        <v>30</v>
      </c>
      <c r="B7" s="108" t="s">
        <v>36</v>
      </c>
    </row>
    <row r="9" spans="1:2">
      <c r="A9" s="1" t="s">
        <v>35</v>
      </c>
      <c r="B9" s="108" t="s">
        <v>37</v>
      </c>
    </row>
    <row r="10" spans="1:2">
      <c r="B10" s="110" t="s">
        <v>38</v>
      </c>
    </row>
    <row r="11" spans="1:2">
      <c r="B11" s="110" t="s">
        <v>39</v>
      </c>
    </row>
    <row r="13" spans="1:2" ht="51">
      <c r="A13" s="109" t="s">
        <v>34</v>
      </c>
      <c r="B13" s="108" t="s">
        <v>41</v>
      </c>
    </row>
  </sheetData>
  <phoneticPr fontId="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sheetPr codeName="Sheet16"/>
  <dimension ref="A1:BS73"/>
  <sheetViews>
    <sheetView zoomScale="50" zoomScaleNormal="50" workbookViewId="0">
      <selection activeCell="BZ24" sqref="BZ24"/>
    </sheetView>
  </sheetViews>
  <sheetFormatPr defaultColWidth="9.140625" defaultRowHeight="15"/>
  <cols>
    <col min="1" max="1" width="1.5703125" style="3" customWidth="1"/>
    <col min="2" max="24" width="4" style="3" customWidth="1"/>
    <col min="25" max="25" width="2" style="3" customWidth="1"/>
    <col min="26" max="26" width="3.28515625" style="3" customWidth="1"/>
    <col min="27" max="27" width="7" style="3" bestFit="1" customWidth="1"/>
    <col min="28" max="47" width="4.28515625" style="3" customWidth="1"/>
    <col min="48" max="48" width="6.7109375" style="3" bestFit="1" customWidth="1"/>
    <col min="49" max="67" width="4.28515625" style="3" customWidth="1"/>
    <col min="68" max="69" width="4" style="3" customWidth="1"/>
    <col min="70" max="71" width="13.42578125" style="3" customWidth="1"/>
    <col min="72" max="175" width="4" style="3" customWidth="1"/>
    <col min="176" max="16384" width="9.140625" style="3"/>
  </cols>
  <sheetData>
    <row r="1" spans="1:71" ht="17.25" customHeight="1">
      <c r="A1" s="2" t="s">
        <v>5</v>
      </c>
      <c r="AD1" s="34"/>
      <c r="AE1" s="35" t="s">
        <v>7</v>
      </c>
    </row>
    <row r="2" spans="1:71" ht="16.5" customHeight="1" thickBot="1"/>
    <row r="3" spans="1:71" s="4" customFormat="1" ht="16.5" customHeight="1" thickBot="1">
      <c r="Z3" s="278">
        <v>1</v>
      </c>
      <c r="AA3" s="279"/>
      <c r="AB3" s="271" t="s">
        <v>27</v>
      </c>
      <c r="AC3" s="272"/>
      <c r="AD3" s="272"/>
      <c r="AE3" s="272"/>
      <c r="AF3" s="272"/>
      <c r="AG3" s="272"/>
      <c r="AH3" s="272"/>
      <c r="AI3" s="272"/>
      <c r="AJ3" s="272"/>
      <c r="AK3" s="272"/>
      <c r="AL3" s="272"/>
      <c r="AM3" s="272"/>
      <c r="AN3" s="272"/>
      <c r="AO3" s="272"/>
      <c r="AP3" s="272"/>
      <c r="AQ3" s="272"/>
      <c r="AR3" s="272"/>
      <c r="AS3" s="272"/>
      <c r="AT3" s="273"/>
    </row>
    <row r="4" spans="1:71" s="4" customFormat="1" ht="16.5" customHeight="1" thickBot="1">
      <c r="Z4" s="280"/>
      <c r="AA4" s="281"/>
      <c r="AB4" s="274" t="s">
        <v>0</v>
      </c>
      <c r="AC4" s="275"/>
      <c r="AD4" s="276"/>
      <c r="AE4" s="276"/>
      <c r="AF4" s="276"/>
      <c r="AG4" s="276"/>
      <c r="AH4" s="276"/>
      <c r="AI4" s="276"/>
      <c r="AJ4" s="276"/>
      <c r="AK4" s="276"/>
      <c r="AL4" s="276"/>
      <c r="AM4" s="276"/>
      <c r="AN4" s="276"/>
      <c r="AO4" s="276"/>
      <c r="AP4" s="276"/>
      <c r="AQ4" s="276"/>
      <c r="AR4" s="276"/>
      <c r="AS4" s="276"/>
      <c r="AT4" s="277"/>
      <c r="BR4" s="29" t="s">
        <v>4</v>
      </c>
      <c r="BS4" s="29" t="s">
        <v>4</v>
      </c>
    </row>
    <row r="5" spans="1:71" s="4" customFormat="1" ht="16.5" customHeight="1" thickBot="1">
      <c r="Z5" s="282"/>
      <c r="AA5" s="283"/>
      <c r="AB5" s="235">
        <v>0</v>
      </c>
      <c r="AC5" s="236">
        <v>10</v>
      </c>
      <c r="AD5" s="236">
        <v>20</v>
      </c>
      <c r="AE5" s="236">
        <v>30</v>
      </c>
      <c r="AF5" s="236">
        <v>40</v>
      </c>
      <c r="AG5" s="237">
        <v>50</v>
      </c>
      <c r="AH5" s="237">
        <v>60</v>
      </c>
      <c r="AI5" s="237">
        <v>70</v>
      </c>
      <c r="AJ5" s="237">
        <v>80</v>
      </c>
      <c r="AK5" s="237">
        <v>90</v>
      </c>
      <c r="AL5" s="237">
        <v>100</v>
      </c>
      <c r="AM5" s="237">
        <v>120</v>
      </c>
      <c r="AN5" s="237">
        <v>140</v>
      </c>
      <c r="AO5" s="238">
        <v>160</v>
      </c>
      <c r="AP5" s="238">
        <v>180</v>
      </c>
      <c r="AQ5" s="238">
        <v>200</v>
      </c>
      <c r="AR5" s="238">
        <v>220</v>
      </c>
      <c r="AS5" s="238">
        <v>240</v>
      </c>
      <c r="AT5" s="239">
        <v>260</v>
      </c>
      <c r="BR5" s="30" t="s">
        <v>2</v>
      </c>
      <c r="BS5" s="31" t="s">
        <v>3</v>
      </c>
    </row>
    <row r="6" spans="1:71" s="4" customFormat="1" ht="16.5" customHeight="1">
      <c r="Z6" s="265" t="s">
        <v>1</v>
      </c>
      <c r="AA6" s="235">
        <v>0</v>
      </c>
      <c r="AB6" s="261">
        <f t="shared" ref="AB6:AT6" si="0">AB30</f>
        <v>5</v>
      </c>
      <c r="AC6" s="259">
        <f t="shared" si="0"/>
        <v>5</v>
      </c>
      <c r="AD6" s="259">
        <f t="shared" si="0"/>
        <v>5</v>
      </c>
      <c r="AE6" s="259">
        <f t="shared" si="0"/>
        <v>5</v>
      </c>
      <c r="AF6" s="259">
        <f t="shared" si="0"/>
        <v>5</v>
      </c>
      <c r="AG6" s="259">
        <f t="shared" si="0"/>
        <v>11</v>
      </c>
      <c r="AH6" s="259">
        <f t="shared" si="0"/>
        <v>15</v>
      </c>
      <c r="AI6" s="259">
        <f t="shared" si="0"/>
        <v>6</v>
      </c>
      <c r="AJ6" s="259">
        <f t="shared" si="0"/>
        <v>3</v>
      </c>
      <c r="AK6" s="259">
        <f t="shared" si="0"/>
        <v>2</v>
      </c>
      <c r="AL6" s="259">
        <f t="shared" si="0"/>
        <v>-1</v>
      </c>
      <c r="AM6" s="259">
        <f t="shared" si="0"/>
        <v>-2</v>
      </c>
      <c r="AN6" s="259">
        <f t="shared" si="0"/>
        <v>-5</v>
      </c>
      <c r="AO6" s="259">
        <f t="shared" si="0"/>
        <v>-8</v>
      </c>
      <c r="AP6" s="259">
        <f t="shared" si="0"/>
        <v>-10</v>
      </c>
      <c r="AQ6" s="259">
        <f t="shared" si="0"/>
        <v>-10</v>
      </c>
      <c r="AR6" s="259">
        <f t="shared" si="0"/>
        <v>-10</v>
      </c>
      <c r="AS6" s="259">
        <f t="shared" si="0"/>
        <v>-10</v>
      </c>
      <c r="AT6" s="260">
        <f t="shared" si="0"/>
        <v>-10</v>
      </c>
      <c r="BR6" s="24">
        <v>0</v>
      </c>
      <c r="BS6" s="28">
        <v>500</v>
      </c>
    </row>
    <row r="7" spans="1:71" s="4" customFormat="1" ht="16.5" customHeight="1">
      <c r="Z7" s="266"/>
      <c r="AA7" s="254">
        <v>500</v>
      </c>
      <c r="AB7" s="240">
        <f t="shared" ref="AB7:AG7" si="1">AB31</f>
        <v>5</v>
      </c>
      <c r="AC7" s="32">
        <f t="shared" si="1"/>
        <v>5</v>
      </c>
      <c r="AD7" s="32">
        <f t="shared" si="1"/>
        <v>5</v>
      </c>
      <c r="AE7" s="32">
        <f t="shared" si="1"/>
        <v>5</v>
      </c>
      <c r="AF7" s="32">
        <f t="shared" si="1"/>
        <v>5</v>
      </c>
      <c r="AG7" s="32">
        <f t="shared" si="1"/>
        <v>8</v>
      </c>
      <c r="AH7" s="32">
        <f t="shared" ref="AH7:AT7" si="2">AH31</f>
        <v>13</v>
      </c>
      <c r="AI7" s="32">
        <f t="shared" si="2"/>
        <v>6</v>
      </c>
      <c r="AJ7" s="32">
        <f t="shared" si="2"/>
        <v>3</v>
      </c>
      <c r="AK7" s="32">
        <f t="shared" si="2"/>
        <v>2</v>
      </c>
      <c r="AL7" s="32">
        <f t="shared" si="2"/>
        <v>-1</v>
      </c>
      <c r="AM7" s="32">
        <f t="shared" si="2"/>
        <v>-2</v>
      </c>
      <c r="AN7" s="32">
        <f t="shared" si="2"/>
        <v>-5</v>
      </c>
      <c r="AO7" s="32">
        <f t="shared" si="2"/>
        <v>-8</v>
      </c>
      <c r="AP7" s="32">
        <f t="shared" si="2"/>
        <v>-10</v>
      </c>
      <c r="AQ7" s="32">
        <f t="shared" si="2"/>
        <v>-10</v>
      </c>
      <c r="AR7" s="32">
        <f t="shared" si="2"/>
        <v>-10</v>
      </c>
      <c r="AS7" s="32">
        <f t="shared" si="2"/>
        <v>-10</v>
      </c>
      <c r="AT7" s="33">
        <f t="shared" si="2"/>
        <v>-10</v>
      </c>
      <c r="BR7" s="25">
        <v>421.875</v>
      </c>
      <c r="BS7" s="26">
        <v>1035.1600000000001</v>
      </c>
    </row>
    <row r="8" spans="1:71" s="4" customFormat="1" ht="16.5" customHeight="1">
      <c r="Z8" s="266"/>
      <c r="AA8" s="254">
        <v>750</v>
      </c>
      <c r="AB8" s="240">
        <f t="shared" ref="AB8:AG8" si="3">AB32</f>
        <v>5</v>
      </c>
      <c r="AC8" s="32">
        <f t="shared" si="3"/>
        <v>5</v>
      </c>
      <c r="AD8" s="32">
        <f t="shared" si="3"/>
        <v>5</v>
      </c>
      <c r="AE8" s="32">
        <f t="shared" si="3"/>
        <v>5</v>
      </c>
      <c r="AF8" s="32">
        <f t="shared" si="3"/>
        <v>5</v>
      </c>
      <c r="AG8" s="32">
        <f t="shared" si="3"/>
        <v>9</v>
      </c>
      <c r="AH8" s="32">
        <f>AH32</f>
        <v>13</v>
      </c>
      <c r="AI8" s="32">
        <f>AI32</f>
        <v>10</v>
      </c>
      <c r="AJ8" s="5">
        <f t="shared" ref="AJ8:AO8" si="4">ROUND(AVERAGE(AJ32,AJ32,AI31:AK33),0)</f>
        <v>6</v>
      </c>
      <c r="AK8" s="5">
        <f t="shared" si="4"/>
        <v>4</v>
      </c>
      <c r="AL8" s="5">
        <f t="shared" si="4"/>
        <v>2</v>
      </c>
      <c r="AM8" s="5">
        <f t="shared" si="4"/>
        <v>-1</v>
      </c>
      <c r="AN8" s="5">
        <f t="shared" si="4"/>
        <v>-3</v>
      </c>
      <c r="AO8" s="5">
        <f t="shared" si="4"/>
        <v>-6</v>
      </c>
      <c r="AP8" s="32">
        <f>AP32</f>
        <v>-9</v>
      </c>
      <c r="AQ8" s="32">
        <f>AQ32</f>
        <v>-10</v>
      </c>
      <c r="AR8" s="32">
        <f>AR32</f>
        <v>-10</v>
      </c>
      <c r="AS8" s="32">
        <f>AS32</f>
        <v>-10</v>
      </c>
      <c r="AT8" s="33">
        <f>AT32</f>
        <v>-10</v>
      </c>
      <c r="BR8" s="25">
        <v>843.75</v>
      </c>
      <c r="BS8" s="26">
        <v>1570.31</v>
      </c>
    </row>
    <row r="9" spans="1:71" s="4" customFormat="1" ht="16.5" customHeight="1">
      <c r="Z9" s="266"/>
      <c r="AA9" s="242">
        <v>1000</v>
      </c>
      <c r="AB9" s="240">
        <f t="shared" ref="AB9:AG9" si="5">AB33</f>
        <v>5</v>
      </c>
      <c r="AC9" s="32">
        <f t="shared" si="5"/>
        <v>5</v>
      </c>
      <c r="AD9" s="32">
        <f t="shared" si="5"/>
        <v>5</v>
      </c>
      <c r="AE9" s="32">
        <f t="shared" si="5"/>
        <v>5</v>
      </c>
      <c r="AF9" s="32">
        <f t="shared" si="5"/>
        <v>9</v>
      </c>
      <c r="AG9" s="32">
        <f t="shared" si="5"/>
        <v>13</v>
      </c>
      <c r="AH9" s="32">
        <f>AH33</f>
        <v>18</v>
      </c>
      <c r="AI9" s="32">
        <v>12</v>
      </c>
      <c r="AJ9" s="5">
        <f>ROUND(AVERAGE(AJ33,AJ33,AI32:AK34),0)</f>
        <v>10</v>
      </c>
      <c r="AK9" s="5">
        <f t="shared" ref="AK9:AR24" si="6">ROUND(AVERAGE(AK33,AK33,AJ32:AL34),0)</f>
        <v>7</v>
      </c>
      <c r="AL9" s="5">
        <f>ROUND(AVERAGE(AL33,AL33,AK32:AM34),0)</f>
        <v>5</v>
      </c>
      <c r="AM9" s="5">
        <f>ROUND(AVERAGE(AM33,AM33,AL32:AN34),0)</f>
        <v>2</v>
      </c>
      <c r="AN9" s="5">
        <f>ROUND(AVERAGE(AN33,AN33,AM32:AO34),0)</f>
        <v>-1</v>
      </c>
      <c r="AO9" s="5">
        <f>ROUND(AVERAGE(AO33,AO33,AN32:AP34),0)</f>
        <v>-3</v>
      </c>
      <c r="AP9" s="5">
        <f>ROUND(AVERAGE(AP33,AP33,AO32:AQ34),0)</f>
        <v>-6</v>
      </c>
      <c r="AQ9" s="32">
        <f>AQ33</f>
        <v>-9</v>
      </c>
      <c r="AR9" s="32">
        <f>AR33</f>
        <v>-10</v>
      </c>
      <c r="AS9" s="32">
        <f>AS33</f>
        <v>-10</v>
      </c>
      <c r="AT9" s="33">
        <f>AT33</f>
        <v>-10</v>
      </c>
      <c r="BR9" s="25">
        <v>1261.72</v>
      </c>
      <c r="BS9" s="26">
        <v>2105.4699999999998</v>
      </c>
    </row>
    <row r="10" spans="1:71" s="4" customFormat="1" ht="16.5" customHeight="1">
      <c r="Z10" s="266"/>
      <c r="AA10" s="243">
        <v>1250</v>
      </c>
      <c r="AB10" s="240">
        <f t="shared" ref="AB10:AG10" si="7">AB34</f>
        <v>8</v>
      </c>
      <c r="AC10" s="32">
        <f t="shared" si="7"/>
        <v>8</v>
      </c>
      <c r="AD10" s="32">
        <f t="shared" si="7"/>
        <v>12</v>
      </c>
      <c r="AE10" s="32">
        <f t="shared" si="7"/>
        <v>12</v>
      </c>
      <c r="AF10" s="32">
        <f t="shared" si="7"/>
        <v>16</v>
      </c>
      <c r="AG10" s="32">
        <f t="shared" si="7"/>
        <v>20</v>
      </c>
      <c r="AH10" s="32">
        <f>AH34</f>
        <v>20</v>
      </c>
      <c r="AI10" s="32">
        <f>AI34</f>
        <v>17</v>
      </c>
      <c r="AJ10" s="32">
        <f>AJ34</f>
        <v>14</v>
      </c>
      <c r="AK10" s="5">
        <f t="shared" si="6"/>
        <v>11</v>
      </c>
      <c r="AL10" s="5">
        <f t="shared" si="6"/>
        <v>8</v>
      </c>
      <c r="AM10" s="5">
        <f t="shared" si="6"/>
        <v>6</v>
      </c>
      <c r="AN10" s="5">
        <f t="shared" si="6"/>
        <v>3</v>
      </c>
      <c r="AO10" s="5">
        <f t="shared" si="6"/>
        <v>0</v>
      </c>
      <c r="AP10" s="5">
        <f t="shared" si="6"/>
        <v>-3</v>
      </c>
      <c r="AQ10" s="5">
        <f t="shared" si="6"/>
        <v>-6</v>
      </c>
      <c r="AR10" s="5">
        <f t="shared" si="6"/>
        <v>-8</v>
      </c>
      <c r="AS10" s="5">
        <f t="shared" ref="AS10:AS24" si="8">ROUND(AVERAGE(AS34,AS34,AR33:AT35),0)</f>
        <v>-9</v>
      </c>
      <c r="AT10" s="6">
        <f t="shared" ref="AT10:AT24" si="9">ROUND(AVERAGE(AT34,AT34,AS33:AT35),0)</f>
        <v>-10</v>
      </c>
      <c r="BR10" s="25">
        <v>1683.59</v>
      </c>
      <c r="BS10" s="26">
        <v>2644.53</v>
      </c>
    </row>
    <row r="11" spans="1:71" s="4" customFormat="1" ht="16.5" customHeight="1">
      <c r="Z11" s="266"/>
      <c r="AA11" s="243">
        <v>1500</v>
      </c>
      <c r="AB11" s="240">
        <f t="shared" ref="AB11:AG12" si="10">AB35</f>
        <v>13</v>
      </c>
      <c r="AC11" s="32">
        <f t="shared" si="10"/>
        <v>13</v>
      </c>
      <c r="AD11" s="32">
        <f t="shared" si="10"/>
        <v>19</v>
      </c>
      <c r="AE11" s="32">
        <f t="shared" si="10"/>
        <v>19</v>
      </c>
      <c r="AF11" s="32">
        <f t="shared" si="10"/>
        <v>26</v>
      </c>
      <c r="AG11" s="32">
        <f t="shared" si="10"/>
        <v>24</v>
      </c>
      <c r="AH11" s="32">
        <f>AH35</f>
        <v>23</v>
      </c>
      <c r="AI11" s="32">
        <f>AI35</f>
        <v>21</v>
      </c>
      <c r="AJ11" s="32">
        <f>AJ35</f>
        <v>18</v>
      </c>
      <c r="AK11" s="5">
        <f t="shared" si="6"/>
        <v>14</v>
      </c>
      <c r="AL11" s="5">
        <f t="shared" si="6"/>
        <v>11</v>
      </c>
      <c r="AM11" s="5">
        <f t="shared" si="6"/>
        <v>9</v>
      </c>
      <c r="AN11" s="5">
        <f t="shared" si="6"/>
        <v>6</v>
      </c>
      <c r="AO11" s="5">
        <f t="shared" si="6"/>
        <v>3</v>
      </c>
      <c r="AP11" s="5">
        <f t="shared" si="6"/>
        <v>0</v>
      </c>
      <c r="AQ11" s="5">
        <f t="shared" si="6"/>
        <v>-3</v>
      </c>
      <c r="AR11" s="5">
        <f t="shared" si="6"/>
        <v>-6</v>
      </c>
      <c r="AS11" s="5">
        <f t="shared" si="8"/>
        <v>-8</v>
      </c>
      <c r="AT11" s="6">
        <f t="shared" si="9"/>
        <v>-9</v>
      </c>
      <c r="BR11" s="25">
        <v>2105.4699999999998</v>
      </c>
      <c r="BS11" s="26">
        <v>3179.69</v>
      </c>
    </row>
    <row r="12" spans="1:71" s="4" customFormat="1" ht="16.5" customHeight="1">
      <c r="Z12" s="266"/>
      <c r="AA12" s="243">
        <v>1750</v>
      </c>
      <c r="AB12" s="240">
        <f t="shared" ref="AB12:AB18" si="11">AB36</f>
        <v>18</v>
      </c>
      <c r="AC12" s="5">
        <f t="shared" ref="AC12:AC18" si="12">ROUND(AVERAGE(AC36,AC36,AB35:AD37),0)</f>
        <v>20</v>
      </c>
      <c r="AD12" s="32">
        <f t="shared" ref="AD12:AD18" si="13">AD36</f>
        <v>25</v>
      </c>
      <c r="AE12" s="5">
        <f>ROUND(AVERAGE(AE36,AE36,AD35:AF37),0)</f>
        <v>26</v>
      </c>
      <c r="AF12" s="32">
        <f t="shared" si="10"/>
        <v>27</v>
      </c>
      <c r="AG12" s="5">
        <f t="shared" ref="AG12:AJ13" si="14">ROUND(AVERAGE(AG36,AG36,AF35:AH37),0)</f>
        <v>25</v>
      </c>
      <c r="AH12" s="5">
        <f t="shared" si="14"/>
        <v>24</v>
      </c>
      <c r="AI12" s="5">
        <f t="shared" si="14"/>
        <v>23</v>
      </c>
      <c r="AJ12" s="5">
        <f t="shared" si="14"/>
        <v>20</v>
      </c>
      <c r="AK12" s="5">
        <f t="shared" si="6"/>
        <v>17</v>
      </c>
      <c r="AL12" s="5">
        <f t="shared" si="6"/>
        <v>14</v>
      </c>
      <c r="AM12" s="5">
        <f t="shared" si="6"/>
        <v>11</v>
      </c>
      <c r="AN12" s="5">
        <f t="shared" si="6"/>
        <v>8</v>
      </c>
      <c r="AO12" s="5">
        <f t="shared" si="6"/>
        <v>5</v>
      </c>
      <c r="AP12" s="5">
        <f t="shared" si="6"/>
        <v>2</v>
      </c>
      <c r="AQ12" s="5">
        <f t="shared" si="6"/>
        <v>-1</v>
      </c>
      <c r="AR12" s="5">
        <f t="shared" si="6"/>
        <v>-4</v>
      </c>
      <c r="AS12" s="5">
        <f t="shared" si="8"/>
        <v>-6</v>
      </c>
      <c r="AT12" s="6">
        <f t="shared" si="9"/>
        <v>-8</v>
      </c>
      <c r="BR12" s="25">
        <v>2527.34</v>
      </c>
      <c r="BS12" s="26">
        <v>3714.84</v>
      </c>
    </row>
    <row r="13" spans="1:71" s="4" customFormat="1" ht="16.5" customHeight="1">
      <c r="Z13" s="266"/>
      <c r="AA13" s="243">
        <v>2000</v>
      </c>
      <c r="AB13" s="240">
        <f t="shared" si="11"/>
        <v>24</v>
      </c>
      <c r="AC13" s="5">
        <f t="shared" si="12"/>
        <v>25</v>
      </c>
      <c r="AD13" s="32">
        <f t="shared" si="13"/>
        <v>32</v>
      </c>
      <c r="AE13" s="32">
        <f>AE37</f>
        <v>32</v>
      </c>
      <c r="AF13" s="5">
        <f>ROUND(AVERAGE(AF37,AF37,AE36:AG38),0)</f>
        <v>29</v>
      </c>
      <c r="AG13" s="5">
        <f t="shared" si="14"/>
        <v>27</v>
      </c>
      <c r="AH13" s="5">
        <f t="shared" si="14"/>
        <v>26</v>
      </c>
      <c r="AI13" s="5">
        <f t="shared" si="14"/>
        <v>25</v>
      </c>
      <c r="AJ13" s="5">
        <f t="shared" si="14"/>
        <v>23</v>
      </c>
      <c r="AK13" s="5">
        <f t="shared" si="6"/>
        <v>20</v>
      </c>
      <c r="AL13" s="5">
        <f t="shared" si="6"/>
        <v>16</v>
      </c>
      <c r="AM13" s="5">
        <f t="shared" si="6"/>
        <v>13</v>
      </c>
      <c r="AN13" s="5">
        <f t="shared" si="6"/>
        <v>9</v>
      </c>
      <c r="AO13" s="5">
        <f t="shared" si="6"/>
        <v>6</v>
      </c>
      <c r="AP13" s="5">
        <f t="shared" si="6"/>
        <v>3</v>
      </c>
      <c r="AQ13" s="5">
        <f t="shared" si="6"/>
        <v>0</v>
      </c>
      <c r="AR13" s="5">
        <f t="shared" si="6"/>
        <v>-3</v>
      </c>
      <c r="AS13" s="5">
        <f t="shared" si="8"/>
        <v>-5</v>
      </c>
      <c r="AT13" s="6">
        <f t="shared" si="9"/>
        <v>-6</v>
      </c>
      <c r="BR13" s="25">
        <v>2949.22</v>
      </c>
      <c r="BS13" s="26">
        <v>4250</v>
      </c>
    </row>
    <row r="14" spans="1:71" s="4" customFormat="1" ht="16.5" customHeight="1">
      <c r="Z14" s="266"/>
      <c r="AA14" s="243">
        <v>2500</v>
      </c>
      <c r="AB14" s="240">
        <f t="shared" si="11"/>
        <v>24</v>
      </c>
      <c r="AC14" s="5">
        <f t="shared" si="12"/>
        <v>28</v>
      </c>
      <c r="AD14" s="32">
        <f t="shared" si="13"/>
        <v>34</v>
      </c>
      <c r="AE14" s="5">
        <f>ROUND(AVERAGE(AE38,AE38,AD37:AF39),0)</f>
        <v>34</v>
      </c>
      <c r="AF14" s="5">
        <f>ROUND(AVERAGE(AF38,AF38,AE37:AG39),0)</f>
        <v>32</v>
      </c>
      <c r="AG14" s="5">
        <f t="shared" ref="AG14:AG21" si="15">ROUND(AVERAGE(AG38,AG38,AF37:AH39),0)</f>
        <v>30</v>
      </c>
      <c r="AH14" s="32">
        <f>AH38</f>
        <v>29</v>
      </c>
      <c r="AI14" s="5">
        <f t="shared" ref="AI14:AJ22" si="16">ROUND(AVERAGE(AI38,AI38,AH37:AJ39),0)</f>
        <v>27</v>
      </c>
      <c r="AJ14" s="5">
        <f t="shared" si="16"/>
        <v>25</v>
      </c>
      <c r="AK14" s="5">
        <f t="shared" si="6"/>
        <v>22</v>
      </c>
      <c r="AL14" s="5">
        <f t="shared" si="6"/>
        <v>19</v>
      </c>
      <c r="AM14" s="5">
        <f t="shared" si="6"/>
        <v>15</v>
      </c>
      <c r="AN14" s="5">
        <f t="shared" si="6"/>
        <v>11</v>
      </c>
      <c r="AO14" s="5">
        <f t="shared" si="6"/>
        <v>7</v>
      </c>
      <c r="AP14" s="5">
        <f t="shared" si="6"/>
        <v>5</v>
      </c>
      <c r="AQ14" s="5">
        <f t="shared" si="6"/>
        <v>2</v>
      </c>
      <c r="AR14" s="5">
        <f t="shared" si="6"/>
        <v>-1</v>
      </c>
      <c r="AS14" s="5">
        <f t="shared" si="8"/>
        <v>-3</v>
      </c>
      <c r="AT14" s="6">
        <f t="shared" si="9"/>
        <v>-5</v>
      </c>
      <c r="BR14" s="25">
        <v>3367.19</v>
      </c>
      <c r="BS14" s="26">
        <v>4785.16</v>
      </c>
    </row>
    <row r="15" spans="1:71" s="4" customFormat="1" ht="16.5" customHeight="1">
      <c r="Z15" s="266"/>
      <c r="AA15" s="243">
        <v>3000</v>
      </c>
      <c r="AB15" s="240">
        <f t="shared" si="11"/>
        <v>28</v>
      </c>
      <c r="AC15" s="5">
        <f t="shared" si="12"/>
        <v>30</v>
      </c>
      <c r="AD15" s="32">
        <f t="shared" si="13"/>
        <v>38</v>
      </c>
      <c r="AE15" s="32">
        <f>AE39</f>
        <v>38</v>
      </c>
      <c r="AF15" s="32">
        <f>AF39</f>
        <v>35</v>
      </c>
      <c r="AG15" s="5">
        <f t="shared" si="15"/>
        <v>32</v>
      </c>
      <c r="AH15" s="5">
        <f t="shared" ref="AH15:AH21" si="17">ROUND(AVERAGE(AH39,AH39,AG38:AI40),0)</f>
        <v>30</v>
      </c>
      <c r="AI15" s="5">
        <f t="shared" si="16"/>
        <v>29</v>
      </c>
      <c r="AJ15" s="5">
        <f t="shared" si="16"/>
        <v>27</v>
      </c>
      <c r="AK15" s="5">
        <f t="shared" si="6"/>
        <v>24</v>
      </c>
      <c r="AL15" s="5">
        <f t="shared" si="6"/>
        <v>21</v>
      </c>
      <c r="AM15" s="5">
        <f t="shared" si="6"/>
        <v>17</v>
      </c>
      <c r="AN15" s="5">
        <f t="shared" si="6"/>
        <v>13</v>
      </c>
      <c r="AO15" s="5">
        <f t="shared" si="6"/>
        <v>9</v>
      </c>
      <c r="AP15" s="5">
        <f t="shared" si="6"/>
        <v>6</v>
      </c>
      <c r="AQ15" s="5">
        <f t="shared" si="6"/>
        <v>4</v>
      </c>
      <c r="AR15" s="5">
        <f t="shared" si="6"/>
        <v>1</v>
      </c>
      <c r="AS15" s="5">
        <f t="shared" si="8"/>
        <v>-1</v>
      </c>
      <c r="AT15" s="6">
        <f t="shared" si="9"/>
        <v>-3</v>
      </c>
      <c r="BR15" s="25">
        <v>3789.06</v>
      </c>
      <c r="BS15" s="26">
        <v>5320.31</v>
      </c>
    </row>
    <row r="16" spans="1:71" s="4" customFormat="1" ht="16.5" customHeight="1" thickBot="1">
      <c r="Z16" s="266"/>
      <c r="AA16" s="243">
        <v>3500</v>
      </c>
      <c r="AB16" s="240">
        <f t="shared" si="11"/>
        <v>28</v>
      </c>
      <c r="AC16" s="5">
        <f t="shared" si="12"/>
        <v>31</v>
      </c>
      <c r="AD16" s="32">
        <f t="shared" si="13"/>
        <v>38</v>
      </c>
      <c r="AE16" s="32">
        <f>AE40</f>
        <v>38</v>
      </c>
      <c r="AF16" s="5">
        <f t="shared" ref="AF16:AF21" si="18">ROUND(AVERAGE(AF40,AF40,AE39:AG41),0)</f>
        <v>35</v>
      </c>
      <c r="AG16" s="5">
        <f t="shared" si="15"/>
        <v>32</v>
      </c>
      <c r="AH16" s="5">
        <f t="shared" si="17"/>
        <v>31</v>
      </c>
      <c r="AI16" s="5">
        <f t="shared" si="16"/>
        <v>29</v>
      </c>
      <c r="AJ16" s="5">
        <f t="shared" si="16"/>
        <v>28</v>
      </c>
      <c r="AK16" s="5">
        <f t="shared" si="6"/>
        <v>26</v>
      </c>
      <c r="AL16" s="5">
        <f t="shared" si="6"/>
        <v>23</v>
      </c>
      <c r="AM16" s="5">
        <f t="shared" si="6"/>
        <v>19</v>
      </c>
      <c r="AN16" s="5">
        <f t="shared" si="6"/>
        <v>15</v>
      </c>
      <c r="AO16" s="5">
        <f t="shared" si="6"/>
        <v>11</v>
      </c>
      <c r="AP16" s="5">
        <f t="shared" si="6"/>
        <v>8</v>
      </c>
      <c r="AQ16" s="5">
        <f t="shared" si="6"/>
        <v>6</v>
      </c>
      <c r="AR16" s="5">
        <f t="shared" si="6"/>
        <v>3</v>
      </c>
      <c r="AS16" s="5">
        <f t="shared" si="8"/>
        <v>1</v>
      </c>
      <c r="AT16" s="6">
        <f t="shared" si="9"/>
        <v>0</v>
      </c>
      <c r="BR16" s="25">
        <v>4210.9399999999996</v>
      </c>
      <c r="BS16" s="26">
        <v>5855.47</v>
      </c>
    </row>
    <row r="17" spans="26:71" s="4" customFormat="1" ht="16.5" customHeight="1" thickBot="1">
      <c r="Z17" s="266"/>
      <c r="AA17" s="243">
        <v>4000</v>
      </c>
      <c r="AB17" s="240">
        <f t="shared" si="11"/>
        <v>28</v>
      </c>
      <c r="AC17" s="5">
        <f t="shared" si="12"/>
        <v>32</v>
      </c>
      <c r="AD17" s="32">
        <f t="shared" si="13"/>
        <v>38</v>
      </c>
      <c r="AE17" s="32">
        <f>AE41</f>
        <v>38</v>
      </c>
      <c r="AF17" s="5">
        <f t="shared" si="18"/>
        <v>35</v>
      </c>
      <c r="AG17" s="5">
        <f t="shared" si="15"/>
        <v>33</v>
      </c>
      <c r="AH17" s="5">
        <f t="shared" si="17"/>
        <v>31</v>
      </c>
      <c r="AI17" s="5">
        <f t="shared" si="16"/>
        <v>30</v>
      </c>
      <c r="AJ17" s="5">
        <f t="shared" si="16"/>
        <v>28</v>
      </c>
      <c r="AK17" s="5">
        <f t="shared" si="6"/>
        <v>26</v>
      </c>
      <c r="AL17" s="5">
        <f t="shared" si="6"/>
        <v>24</v>
      </c>
      <c r="AM17" s="5">
        <f t="shared" si="6"/>
        <v>20</v>
      </c>
      <c r="AN17" s="5">
        <f t="shared" si="6"/>
        <v>16</v>
      </c>
      <c r="AO17" s="5">
        <f t="shared" si="6"/>
        <v>12</v>
      </c>
      <c r="AP17" s="5">
        <f t="shared" si="6"/>
        <v>9</v>
      </c>
      <c r="AQ17" s="5">
        <f t="shared" si="6"/>
        <v>7</v>
      </c>
      <c r="AR17" s="5">
        <f t="shared" si="6"/>
        <v>5</v>
      </c>
      <c r="AS17" s="5">
        <f t="shared" si="8"/>
        <v>3</v>
      </c>
      <c r="AT17" s="6">
        <f t="shared" si="9"/>
        <v>1</v>
      </c>
      <c r="AW17" s="268" t="s">
        <v>6</v>
      </c>
      <c r="AX17" s="269"/>
      <c r="AY17" s="269"/>
      <c r="AZ17" s="269"/>
      <c r="BA17" s="269"/>
      <c r="BB17" s="269"/>
      <c r="BC17" s="269"/>
      <c r="BD17" s="269"/>
      <c r="BE17" s="269"/>
      <c r="BF17" s="269"/>
      <c r="BG17" s="269"/>
      <c r="BH17" s="269"/>
      <c r="BI17" s="269"/>
      <c r="BJ17" s="269"/>
      <c r="BK17" s="269"/>
      <c r="BL17" s="269"/>
      <c r="BM17" s="269"/>
      <c r="BN17" s="269"/>
      <c r="BO17" s="270"/>
      <c r="BR17" s="25">
        <v>4632.8100000000004</v>
      </c>
      <c r="BS17" s="26">
        <v>6394.53</v>
      </c>
    </row>
    <row r="18" spans="26:71" s="4" customFormat="1" ht="16.5" customHeight="1" thickBot="1">
      <c r="Z18" s="266"/>
      <c r="AA18" s="243">
        <v>4500</v>
      </c>
      <c r="AB18" s="240">
        <f t="shared" si="11"/>
        <v>33</v>
      </c>
      <c r="AC18" s="5">
        <f t="shared" si="12"/>
        <v>34</v>
      </c>
      <c r="AD18" s="32">
        <f t="shared" si="13"/>
        <v>38</v>
      </c>
      <c r="AE18" s="32">
        <f>AE42</f>
        <v>38</v>
      </c>
      <c r="AF18" s="5">
        <f t="shared" si="18"/>
        <v>35</v>
      </c>
      <c r="AG18" s="5">
        <f t="shared" si="15"/>
        <v>33</v>
      </c>
      <c r="AH18" s="5">
        <f t="shared" si="17"/>
        <v>31</v>
      </c>
      <c r="AI18" s="5">
        <f t="shared" si="16"/>
        <v>30</v>
      </c>
      <c r="AJ18" s="5">
        <f t="shared" si="16"/>
        <v>28</v>
      </c>
      <c r="AK18" s="5">
        <f t="shared" si="6"/>
        <v>26</v>
      </c>
      <c r="AL18" s="5">
        <f t="shared" si="6"/>
        <v>24</v>
      </c>
      <c r="AM18" s="5">
        <f t="shared" si="6"/>
        <v>20</v>
      </c>
      <c r="AN18" s="5">
        <f t="shared" si="6"/>
        <v>16</v>
      </c>
      <c r="AO18" s="5">
        <f t="shared" si="6"/>
        <v>13</v>
      </c>
      <c r="AP18" s="5">
        <f t="shared" si="6"/>
        <v>10</v>
      </c>
      <c r="AQ18" s="5">
        <f t="shared" si="6"/>
        <v>8</v>
      </c>
      <c r="AR18" s="5">
        <f t="shared" si="6"/>
        <v>6</v>
      </c>
      <c r="AS18" s="5">
        <f t="shared" si="8"/>
        <v>3</v>
      </c>
      <c r="AT18" s="6">
        <f t="shared" si="9"/>
        <v>2</v>
      </c>
      <c r="AW18" s="235">
        <v>0</v>
      </c>
      <c r="AX18" s="236">
        <v>10</v>
      </c>
      <c r="AY18" s="236">
        <v>20</v>
      </c>
      <c r="AZ18" s="236">
        <v>30</v>
      </c>
      <c r="BA18" s="236">
        <v>40</v>
      </c>
      <c r="BB18" s="237">
        <v>50</v>
      </c>
      <c r="BC18" s="237">
        <v>60</v>
      </c>
      <c r="BD18" s="237">
        <v>70</v>
      </c>
      <c r="BE18" s="237">
        <v>80</v>
      </c>
      <c r="BF18" s="237">
        <v>90</v>
      </c>
      <c r="BG18" s="237">
        <v>100</v>
      </c>
      <c r="BH18" s="237">
        <v>120</v>
      </c>
      <c r="BI18" s="237">
        <v>140</v>
      </c>
      <c r="BJ18" s="238">
        <v>160</v>
      </c>
      <c r="BK18" s="238">
        <v>180</v>
      </c>
      <c r="BL18" s="238">
        <v>200</v>
      </c>
      <c r="BM18" s="238">
        <v>220</v>
      </c>
      <c r="BN18" s="238">
        <v>240</v>
      </c>
      <c r="BO18" s="239">
        <v>260</v>
      </c>
      <c r="BR18" s="25">
        <v>5050.78</v>
      </c>
      <c r="BS18" s="26">
        <v>6929.69</v>
      </c>
    </row>
    <row r="19" spans="26:71" s="4" customFormat="1" ht="16.5" customHeight="1">
      <c r="Z19" s="266"/>
      <c r="AA19" s="244">
        <v>5000</v>
      </c>
      <c r="AB19" s="240">
        <f>AB43</f>
        <v>38</v>
      </c>
      <c r="AC19" s="32">
        <f>AC43</f>
        <v>38</v>
      </c>
      <c r="AD19" s="32">
        <f>AD43</f>
        <v>38</v>
      </c>
      <c r="AE19" s="32">
        <f>AE43</f>
        <v>38</v>
      </c>
      <c r="AF19" s="5">
        <f t="shared" si="18"/>
        <v>35</v>
      </c>
      <c r="AG19" s="5">
        <f t="shared" si="15"/>
        <v>33</v>
      </c>
      <c r="AH19" s="5">
        <f t="shared" si="17"/>
        <v>31</v>
      </c>
      <c r="AI19" s="5">
        <f t="shared" si="16"/>
        <v>30</v>
      </c>
      <c r="AJ19" s="5">
        <f t="shared" si="16"/>
        <v>28</v>
      </c>
      <c r="AK19" s="5">
        <f t="shared" si="6"/>
        <v>27</v>
      </c>
      <c r="AL19" s="5">
        <f t="shared" si="6"/>
        <v>24</v>
      </c>
      <c r="AM19" s="5">
        <f t="shared" si="6"/>
        <v>20</v>
      </c>
      <c r="AN19" s="5">
        <f t="shared" si="6"/>
        <v>17</v>
      </c>
      <c r="AO19" s="5">
        <f t="shared" si="6"/>
        <v>13</v>
      </c>
      <c r="AP19" s="5">
        <f t="shared" si="6"/>
        <v>11</v>
      </c>
      <c r="AQ19" s="5">
        <f t="shared" si="6"/>
        <v>9</v>
      </c>
      <c r="AR19" s="5">
        <f t="shared" si="6"/>
        <v>6</v>
      </c>
      <c r="AS19" s="5">
        <f t="shared" si="8"/>
        <v>4</v>
      </c>
      <c r="AT19" s="6">
        <f t="shared" si="9"/>
        <v>3</v>
      </c>
      <c r="AV19" s="235">
        <v>0</v>
      </c>
      <c r="AW19" s="246">
        <f t="shared" ref="AW19:AW38" si="19">AB6-AB30</f>
        <v>0</v>
      </c>
      <c r="AX19" s="15">
        <f t="shared" ref="AX19:AX38" si="20">AC6-AC30</f>
        <v>0</v>
      </c>
      <c r="AY19" s="15">
        <f t="shared" ref="AY19:AY38" si="21">AD6-AD30</f>
        <v>0</v>
      </c>
      <c r="AZ19" s="15">
        <f t="shared" ref="AZ19:AZ38" si="22">AE6-AE30</f>
        <v>0</v>
      </c>
      <c r="BA19" s="15">
        <f t="shared" ref="BA19:BA38" si="23">AF6-AF30</f>
        <v>0</v>
      </c>
      <c r="BB19" s="15">
        <f t="shared" ref="BB19:BB38" si="24">AG6-AG30</f>
        <v>0</v>
      </c>
      <c r="BC19" s="15">
        <f t="shared" ref="BC19:BC38" si="25">AH6-AH30</f>
        <v>0</v>
      </c>
      <c r="BD19" s="15">
        <f t="shared" ref="BD19:BD38" si="26">AI6-AI30</f>
        <v>0</v>
      </c>
      <c r="BE19" s="15">
        <f t="shared" ref="BE19:BE38" si="27">AJ6-AJ30</f>
        <v>0</v>
      </c>
      <c r="BF19" s="15">
        <f t="shared" ref="BF19:BF38" si="28">AK6-AK30</f>
        <v>0</v>
      </c>
      <c r="BG19" s="15">
        <f t="shared" ref="BG19:BG38" si="29">AL6-AL30</f>
        <v>0</v>
      </c>
      <c r="BH19" s="15">
        <f t="shared" ref="BH19:BH38" si="30">AM6-AM30</f>
        <v>0</v>
      </c>
      <c r="BI19" s="15">
        <f t="shared" ref="BI19:BI38" si="31">AN6-AN30</f>
        <v>0</v>
      </c>
      <c r="BJ19" s="15">
        <f t="shared" ref="BJ19:BJ38" si="32">AO6-AO30</f>
        <v>0</v>
      </c>
      <c r="BK19" s="15">
        <f t="shared" ref="BK19:BK38" si="33">AP6-AP30</f>
        <v>0</v>
      </c>
      <c r="BL19" s="15">
        <f t="shared" ref="BL19:BL38" si="34">AQ6-AQ30</f>
        <v>0</v>
      </c>
      <c r="BM19" s="15">
        <f t="shared" ref="BM19:BM38" si="35">AR6-AR30</f>
        <v>0</v>
      </c>
      <c r="BN19" s="15">
        <f t="shared" ref="BN19:BN38" si="36">AS6-AS30</f>
        <v>0</v>
      </c>
      <c r="BO19" s="16">
        <f t="shared" ref="BO19:BO38" si="37">AT6-AT30</f>
        <v>0</v>
      </c>
      <c r="BR19" s="25">
        <v>5472.66</v>
      </c>
      <c r="BS19" s="26">
        <v>7464.84</v>
      </c>
    </row>
    <row r="20" spans="26:71" s="4" customFormat="1" ht="16.5" customHeight="1" thickBot="1">
      <c r="Z20" s="266"/>
      <c r="AA20" s="244">
        <v>5500</v>
      </c>
      <c r="AB20" s="240">
        <f t="shared" ref="AB20:AB25" si="38">AB44</f>
        <v>38</v>
      </c>
      <c r="AC20" s="5">
        <f>ROUND(AVERAGE(AC44,AC44,AB43:AD45),0)</f>
        <v>38</v>
      </c>
      <c r="AD20" s="32">
        <f>AD44</f>
        <v>38</v>
      </c>
      <c r="AE20" s="32">
        <f>AE44</f>
        <v>38</v>
      </c>
      <c r="AF20" s="5">
        <f t="shared" si="18"/>
        <v>35</v>
      </c>
      <c r="AG20" s="5">
        <f t="shared" si="15"/>
        <v>33</v>
      </c>
      <c r="AH20" s="5">
        <f t="shared" si="17"/>
        <v>31</v>
      </c>
      <c r="AI20" s="5">
        <f t="shared" si="16"/>
        <v>30</v>
      </c>
      <c r="AJ20" s="5">
        <f t="shared" si="16"/>
        <v>29</v>
      </c>
      <c r="AK20" s="5">
        <f t="shared" si="6"/>
        <v>27</v>
      </c>
      <c r="AL20" s="5">
        <f t="shared" si="6"/>
        <v>25</v>
      </c>
      <c r="AM20" s="5">
        <f t="shared" si="6"/>
        <v>21</v>
      </c>
      <c r="AN20" s="5">
        <f t="shared" si="6"/>
        <v>18</v>
      </c>
      <c r="AO20" s="5">
        <f t="shared" si="6"/>
        <v>14</v>
      </c>
      <c r="AP20" s="5">
        <f t="shared" si="6"/>
        <v>12</v>
      </c>
      <c r="AQ20" s="5">
        <f t="shared" si="6"/>
        <v>9</v>
      </c>
      <c r="AR20" s="5">
        <f t="shared" si="6"/>
        <v>7</v>
      </c>
      <c r="AS20" s="5">
        <f t="shared" si="8"/>
        <v>5</v>
      </c>
      <c r="AT20" s="6">
        <f t="shared" si="9"/>
        <v>4</v>
      </c>
      <c r="AV20" s="242">
        <v>500</v>
      </c>
      <c r="AW20" s="247">
        <f t="shared" si="19"/>
        <v>0</v>
      </c>
      <c r="AX20" s="5">
        <f t="shared" si="20"/>
        <v>0</v>
      </c>
      <c r="AY20" s="5">
        <f t="shared" si="21"/>
        <v>0</v>
      </c>
      <c r="AZ20" s="5">
        <f t="shared" si="22"/>
        <v>0</v>
      </c>
      <c r="BA20" s="5">
        <f t="shared" si="23"/>
        <v>0</v>
      </c>
      <c r="BB20" s="5">
        <f t="shared" si="24"/>
        <v>0</v>
      </c>
      <c r="BC20" s="5">
        <f t="shared" si="25"/>
        <v>0</v>
      </c>
      <c r="BD20" s="5">
        <f t="shared" si="26"/>
        <v>0</v>
      </c>
      <c r="BE20" s="5">
        <f t="shared" si="27"/>
        <v>0</v>
      </c>
      <c r="BF20" s="5">
        <f t="shared" si="28"/>
        <v>0</v>
      </c>
      <c r="BG20" s="5">
        <f t="shared" si="29"/>
        <v>0</v>
      </c>
      <c r="BH20" s="5">
        <f t="shared" si="30"/>
        <v>0</v>
      </c>
      <c r="BI20" s="5">
        <f t="shared" si="31"/>
        <v>0</v>
      </c>
      <c r="BJ20" s="5">
        <f t="shared" si="32"/>
        <v>0</v>
      </c>
      <c r="BK20" s="5">
        <f t="shared" si="33"/>
        <v>0</v>
      </c>
      <c r="BL20" s="5">
        <f t="shared" si="34"/>
        <v>0</v>
      </c>
      <c r="BM20" s="5">
        <f t="shared" si="35"/>
        <v>0</v>
      </c>
      <c r="BN20" s="5">
        <f t="shared" si="36"/>
        <v>0</v>
      </c>
      <c r="BO20" s="6">
        <f t="shared" si="37"/>
        <v>0</v>
      </c>
      <c r="BR20" s="25">
        <v>5894.53</v>
      </c>
      <c r="BS20" s="27">
        <v>8000</v>
      </c>
    </row>
    <row r="21" spans="26:71" s="4" customFormat="1" ht="16.5" customHeight="1">
      <c r="Z21" s="266"/>
      <c r="AA21" s="244">
        <v>6000</v>
      </c>
      <c r="AB21" s="240">
        <f t="shared" si="38"/>
        <v>38</v>
      </c>
      <c r="AC21" s="5">
        <f>ROUND(AVERAGE(AC45,AC45,AB44:AD46),0)</f>
        <v>38</v>
      </c>
      <c r="AD21" s="32">
        <f t="shared" ref="AD21:AG22" si="39">AD45</f>
        <v>38</v>
      </c>
      <c r="AE21" s="32">
        <f t="shared" si="39"/>
        <v>38</v>
      </c>
      <c r="AF21" s="5">
        <f t="shared" si="18"/>
        <v>36</v>
      </c>
      <c r="AG21" s="5">
        <f t="shared" si="15"/>
        <v>34</v>
      </c>
      <c r="AH21" s="5">
        <f t="shared" si="17"/>
        <v>33</v>
      </c>
      <c r="AI21" s="5">
        <f t="shared" si="16"/>
        <v>32</v>
      </c>
      <c r="AJ21" s="5">
        <f t="shared" si="16"/>
        <v>31</v>
      </c>
      <c r="AK21" s="5">
        <f t="shared" si="6"/>
        <v>29</v>
      </c>
      <c r="AL21" s="5">
        <f t="shared" si="6"/>
        <v>26</v>
      </c>
      <c r="AM21" s="5">
        <f t="shared" si="6"/>
        <v>23</v>
      </c>
      <c r="AN21" s="5">
        <f t="shared" si="6"/>
        <v>20</v>
      </c>
      <c r="AO21" s="5">
        <f t="shared" si="6"/>
        <v>16</v>
      </c>
      <c r="AP21" s="5">
        <f t="shared" si="6"/>
        <v>13</v>
      </c>
      <c r="AQ21" s="5">
        <f t="shared" si="6"/>
        <v>10</v>
      </c>
      <c r="AR21" s="5">
        <f t="shared" si="6"/>
        <v>8</v>
      </c>
      <c r="AS21" s="5">
        <f t="shared" si="8"/>
        <v>6</v>
      </c>
      <c r="AT21" s="6">
        <f t="shared" si="9"/>
        <v>6</v>
      </c>
      <c r="AV21" s="242">
        <v>750</v>
      </c>
      <c r="AW21" s="247">
        <f t="shared" si="19"/>
        <v>0</v>
      </c>
      <c r="AX21" s="5">
        <f t="shared" si="20"/>
        <v>0</v>
      </c>
      <c r="AY21" s="5">
        <f t="shared" si="21"/>
        <v>0</v>
      </c>
      <c r="AZ21" s="5">
        <f t="shared" si="22"/>
        <v>0</v>
      </c>
      <c r="BA21" s="5">
        <f t="shared" si="23"/>
        <v>0</v>
      </c>
      <c r="BB21" s="5">
        <f t="shared" si="24"/>
        <v>0</v>
      </c>
      <c r="BC21" s="5">
        <f t="shared" si="25"/>
        <v>0</v>
      </c>
      <c r="BD21" s="5">
        <f t="shared" si="26"/>
        <v>0</v>
      </c>
      <c r="BE21" s="5">
        <f t="shared" si="27"/>
        <v>0</v>
      </c>
      <c r="BF21" s="5">
        <f t="shared" si="28"/>
        <v>1</v>
      </c>
      <c r="BG21" s="5">
        <f t="shared" si="29"/>
        <v>1</v>
      </c>
      <c r="BH21" s="5">
        <f t="shared" si="30"/>
        <v>0</v>
      </c>
      <c r="BI21" s="5">
        <f t="shared" si="31"/>
        <v>1</v>
      </c>
      <c r="BJ21" s="5">
        <f t="shared" si="32"/>
        <v>0</v>
      </c>
      <c r="BK21" s="5">
        <f t="shared" si="33"/>
        <v>0</v>
      </c>
      <c r="BL21" s="5">
        <f t="shared" si="34"/>
        <v>0</v>
      </c>
      <c r="BM21" s="5">
        <f t="shared" si="35"/>
        <v>0</v>
      </c>
      <c r="BN21" s="5">
        <f t="shared" si="36"/>
        <v>0</v>
      </c>
      <c r="BO21" s="6">
        <f t="shared" si="37"/>
        <v>0</v>
      </c>
      <c r="BR21" s="26">
        <v>6316.41</v>
      </c>
    </row>
    <row r="22" spans="26:71" s="4" customFormat="1" ht="16.5" customHeight="1">
      <c r="Z22" s="266"/>
      <c r="AA22" s="244">
        <v>6500</v>
      </c>
      <c r="AB22" s="240">
        <f t="shared" si="38"/>
        <v>38</v>
      </c>
      <c r="AC22" s="5">
        <f>ROUND(AVERAGE(AC46,AC46,AB45:AD47),0)</f>
        <v>38</v>
      </c>
      <c r="AD22" s="5">
        <f>ROUND(AVERAGE(AD46,AD46,AC45:AE47),0)</f>
        <v>38</v>
      </c>
      <c r="AE22" s="32">
        <f t="shared" si="39"/>
        <v>38</v>
      </c>
      <c r="AF22" s="32">
        <f t="shared" si="39"/>
        <v>38</v>
      </c>
      <c r="AG22" s="32">
        <f t="shared" si="39"/>
        <v>37</v>
      </c>
      <c r="AH22" s="5">
        <f>ROUND(AVERAGE(AH46,AH46,AG45:AI47),0)</f>
        <v>35</v>
      </c>
      <c r="AI22" s="5">
        <f t="shared" si="16"/>
        <v>34</v>
      </c>
      <c r="AJ22" s="5">
        <f t="shared" si="16"/>
        <v>33</v>
      </c>
      <c r="AK22" s="5">
        <f t="shared" si="6"/>
        <v>31</v>
      </c>
      <c r="AL22" s="5">
        <f t="shared" si="6"/>
        <v>29</v>
      </c>
      <c r="AM22" s="5">
        <f t="shared" si="6"/>
        <v>26</v>
      </c>
      <c r="AN22" s="5">
        <f t="shared" si="6"/>
        <v>23</v>
      </c>
      <c r="AO22" s="5">
        <f t="shared" si="6"/>
        <v>19</v>
      </c>
      <c r="AP22" s="5">
        <f t="shared" si="6"/>
        <v>15</v>
      </c>
      <c r="AQ22" s="5">
        <f t="shared" si="6"/>
        <v>12</v>
      </c>
      <c r="AR22" s="5">
        <f t="shared" si="6"/>
        <v>9</v>
      </c>
      <c r="AS22" s="5">
        <f t="shared" si="8"/>
        <v>8</v>
      </c>
      <c r="AT22" s="6">
        <f t="shared" si="9"/>
        <v>7</v>
      </c>
      <c r="AV22" s="242">
        <v>1000</v>
      </c>
      <c r="AW22" s="247">
        <f t="shared" si="19"/>
        <v>0</v>
      </c>
      <c r="AX22" s="5">
        <f t="shared" si="20"/>
        <v>0</v>
      </c>
      <c r="AY22" s="5">
        <f t="shared" si="21"/>
        <v>0</v>
      </c>
      <c r="AZ22" s="5">
        <f t="shared" si="22"/>
        <v>0</v>
      </c>
      <c r="BA22" s="5">
        <f t="shared" si="23"/>
        <v>0</v>
      </c>
      <c r="BB22" s="5">
        <f t="shared" si="24"/>
        <v>0</v>
      </c>
      <c r="BC22" s="5">
        <f t="shared" si="25"/>
        <v>0</v>
      </c>
      <c r="BD22" s="5">
        <f t="shared" si="26"/>
        <v>2</v>
      </c>
      <c r="BE22" s="5">
        <f t="shared" si="27"/>
        <v>1</v>
      </c>
      <c r="BF22" s="5">
        <f t="shared" si="28"/>
        <v>0</v>
      </c>
      <c r="BG22" s="5">
        <f t="shared" si="29"/>
        <v>0</v>
      </c>
      <c r="BH22" s="5">
        <f t="shared" si="30"/>
        <v>0</v>
      </c>
      <c r="BI22" s="5">
        <f t="shared" si="31"/>
        <v>0</v>
      </c>
      <c r="BJ22" s="5">
        <f t="shared" si="32"/>
        <v>1</v>
      </c>
      <c r="BK22" s="5">
        <f t="shared" si="33"/>
        <v>0</v>
      </c>
      <c r="BL22" s="5">
        <f t="shared" si="34"/>
        <v>0</v>
      </c>
      <c r="BM22" s="5">
        <f t="shared" si="35"/>
        <v>0</v>
      </c>
      <c r="BN22" s="5">
        <f t="shared" si="36"/>
        <v>0</v>
      </c>
      <c r="BO22" s="6">
        <f t="shared" si="37"/>
        <v>0</v>
      </c>
      <c r="BR22" s="26">
        <v>6738.28</v>
      </c>
    </row>
    <row r="23" spans="26:71" s="4" customFormat="1" ht="16.5" customHeight="1">
      <c r="Z23" s="266"/>
      <c r="AA23" s="244">
        <v>7000</v>
      </c>
      <c r="AB23" s="240">
        <f t="shared" si="38"/>
        <v>38</v>
      </c>
      <c r="AC23" s="5">
        <f>ROUND(AVERAGE(AC47,AC47,AB46:AD48),0)</f>
        <v>38</v>
      </c>
      <c r="AD23" s="5">
        <f>ROUND(AVERAGE(AD47,AD47,AC46:AE48),0)</f>
        <v>38</v>
      </c>
      <c r="AE23" s="5">
        <f t="shared" ref="AE23:AG24" si="40">ROUND(AVERAGE(AE47,AE47,AD46:AF48),0)</f>
        <v>38</v>
      </c>
      <c r="AF23" s="5">
        <f t="shared" si="40"/>
        <v>38</v>
      </c>
      <c r="AG23" s="5">
        <f t="shared" si="40"/>
        <v>37</v>
      </c>
      <c r="AH23" s="5">
        <f>ROUND(AVERAGE(AH47,AH47,AG46:AI48),0)</f>
        <v>36</v>
      </c>
      <c r="AI23" s="5">
        <f>ROUND(AVERAGE(AI47,AI47,AH46:AJ48),0)</f>
        <v>35</v>
      </c>
      <c r="AJ23" s="5">
        <f>ROUND(AVERAGE(AJ47,AJ47,AI46:AK48),0)</f>
        <v>34</v>
      </c>
      <c r="AK23" s="5">
        <f t="shared" si="6"/>
        <v>33</v>
      </c>
      <c r="AL23" s="5">
        <f t="shared" si="6"/>
        <v>31</v>
      </c>
      <c r="AM23" s="5">
        <f t="shared" si="6"/>
        <v>29</v>
      </c>
      <c r="AN23" s="5">
        <f t="shared" si="6"/>
        <v>25</v>
      </c>
      <c r="AO23" s="5">
        <f t="shared" si="6"/>
        <v>21</v>
      </c>
      <c r="AP23" s="5">
        <f t="shared" si="6"/>
        <v>17</v>
      </c>
      <c r="AQ23" s="5">
        <f t="shared" si="6"/>
        <v>13</v>
      </c>
      <c r="AR23" s="5">
        <f t="shared" si="6"/>
        <v>10</v>
      </c>
      <c r="AS23" s="5">
        <f t="shared" si="8"/>
        <v>9</v>
      </c>
      <c r="AT23" s="6">
        <f t="shared" si="9"/>
        <v>9</v>
      </c>
      <c r="AV23" s="243">
        <v>1250</v>
      </c>
      <c r="AW23" s="247">
        <f t="shared" si="19"/>
        <v>0</v>
      </c>
      <c r="AX23" s="5">
        <f t="shared" si="20"/>
        <v>0</v>
      </c>
      <c r="AY23" s="5">
        <f t="shared" si="21"/>
        <v>0</v>
      </c>
      <c r="AZ23" s="5">
        <f t="shared" si="22"/>
        <v>0</v>
      </c>
      <c r="BA23" s="5">
        <f t="shared" si="23"/>
        <v>0</v>
      </c>
      <c r="BB23" s="5">
        <f t="shared" si="24"/>
        <v>0</v>
      </c>
      <c r="BC23" s="5">
        <f t="shared" si="25"/>
        <v>0</v>
      </c>
      <c r="BD23" s="5">
        <f t="shared" si="26"/>
        <v>0</v>
      </c>
      <c r="BE23" s="5">
        <f t="shared" si="27"/>
        <v>0</v>
      </c>
      <c r="BF23" s="5">
        <f t="shared" si="28"/>
        <v>0</v>
      </c>
      <c r="BG23" s="5">
        <f t="shared" si="29"/>
        <v>0</v>
      </c>
      <c r="BH23" s="5">
        <f t="shared" si="30"/>
        <v>0</v>
      </c>
      <c r="BI23" s="5">
        <f t="shared" si="31"/>
        <v>0</v>
      </c>
      <c r="BJ23" s="5">
        <f t="shared" si="32"/>
        <v>0</v>
      </c>
      <c r="BK23" s="5">
        <f t="shared" si="33"/>
        <v>0</v>
      </c>
      <c r="BL23" s="5">
        <f t="shared" si="34"/>
        <v>0</v>
      </c>
      <c r="BM23" s="5">
        <f t="shared" si="35"/>
        <v>0</v>
      </c>
      <c r="BN23" s="5">
        <f t="shared" si="36"/>
        <v>0</v>
      </c>
      <c r="BO23" s="6">
        <f t="shared" si="37"/>
        <v>0</v>
      </c>
      <c r="BR23" s="26">
        <v>7156.25</v>
      </c>
    </row>
    <row r="24" spans="26:71" s="4" customFormat="1" ht="16.5" customHeight="1">
      <c r="Z24" s="266"/>
      <c r="AA24" s="262">
        <v>7500</v>
      </c>
      <c r="AB24" s="240">
        <f t="shared" si="38"/>
        <v>38</v>
      </c>
      <c r="AC24" s="5">
        <f>ROUND(AVERAGE(AC48,AC48,AB47:AD49),0)</f>
        <v>38</v>
      </c>
      <c r="AD24" s="5">
        <f>ROUND(AVERAGE(AD48,AD48,AC47:AE49),0)</f>
        <v>38</v>
      </c>
      <c r="AE24" s="5">
        <f t="shared" si="40"/>
        <v>38</v>
      </c>
      <c r="AF24" s="5">
        <f t="shared" si="40"/>
        <v>38</v>
      </c>
      <c r="AG24" s="5">
        <f t="shared" si="40"/>
        <v>37</v>
      </c>
      <c r="AH24" s="5">
        <f>ROUND(AVERAGE(AH48,AH48,AG47:AI49),0)</f>
        <v>36</v>
      </c>
      <c r="AI24" s="5">
        <f>ROUND(AVERAGE(AI48,AI48,AH47:AJ49),0)</f>
        <v>35</v>
      </c>
      <c r="AJ24" s="5">
        <f>ROUND(AVERAGE(AJ48,AJ48,AI47:AK49),0)</f>
        <v>35</v>
      </c>
      <c r="AK24" s="5">
        <f t="shared" si="6"/>
        <v>34</v>
      </c>
      <c r="AL24" s="5">
        <f t="shared" si="6"/>
        <v>32</v>
      </c>
      <c r="AM24" s="5">
        <f t="shared" si="6"/>
        <v>30</v>
      </c>
      <c r="AN24" s="5">
        <f t="shared" si="6"/>
        <v>26</v>
      </c>
      <c r="AO24" s="5">
        <f t="shared" si="6"/>
        <v>22</v>
      </c>
      <c r="AP24" s="5">
        <f t="shared" si="6"/>
        <v>17</v>
      </c>
      <c r="AQ24" s="5">
        <f t="shared" si="6"/>
        <v>14</v>
      </c>
      <c r="AR24" s="5">
        <f t="shared" si="6"/>
        <v>11</v>
      </c>
      <c r="AS24" s="5">
        <f t="shared" si="8"/>
        <v>10</v>
      </c>
      <c r="AT24" s="6">
        <f t="shared" si="9"/>
        <v>10</v>
      </c>
      <c r="AV24" s="243">
        <v>1500</v>
      </c>
      <c r="AW24" s="247">
        <f t="shared" si="19"/>
        <v>0</v>
      </c>
      <c r="AX24" s="5">
        <f t="shared" si="20"/>
        <v>0</v>
      </c>
      <c r="AY24" s="5">
        <f t="shared" si="21"/>
        <v>0</v>
      </c>
      <c r="AZ24" s="5">
        <f t="shared" si="22"/>
        <v>0</v>
      </c>
      <c r="BA24" s="5">
        <f t="shared" si="23"/>
        <v>0</v>
      </c>
      <c r="BB24" s="5">
        <f t="shared" si="24"/>
        <v>0</v>
      </c>
      <c r="BC24" s="5">
        <f t="shared" si="25"/>
        <v>0</v>
      </c>
      <c r="BD24" s="5">
        <f t="shared" si="26"/>
        <v>0</v>
      </c>
      <c r="BE24" s="5">
        <f t="shared" si="27"/>
        <v>0</v>
      </c>
      <c r="BF24" s="5">
        <f t="shared" si="28"/>
        <v>0</v>
      </c>
      <c r="BG24" s="5">
        <f t="shared" si="29"/>
        <v>0</v>
      </c>
      <c r="BH24" s="5">
        <f t="shared" si="30"/>
        <v>0</v>
      </c>
      <c r="BI24" s="5">
        <f t="shared" si="31"/>
        <v>0</v>
      </c>
      <c r="BJ24" s="5">
        <f t="shared" si="32"/>
        <v>0</v>
      </c>
      <c r="BK24" s="5">
        <f t="shared" si="33"/>
        <v>0</v>
      </c>
      <c r="BL24" s="5">
        <f t="shared" si="34"/>
        <v>0</v>
      </c>
      <c r="BM24" s="5">
        <f t="shared" si="35"/>
        <v>0</v>
      </c>
      <c r="BN24" s="5">
        <f t="shared" si="36"/>
        <v>0</v>
      </c>
      <c r="BO24" s="6">
        <f t="shared" si="37"/>
        <v>0</v>
      </c>
      <c r="BR24" s="26">
        <v>7578.12</v>
      </c>
    </row>
    <row r="25" spans="26:71" s="4" customFormat="1" ht="16.5" customHeight="1" thickBot="1">
      <c r="Z25" s="267"/>
      <c r="AA25" s="245">
        <v>11000</v>
      </c>
      <c r="AB25" s="241">
        <f t="shared" si="38"/>
        <v>38</v>
      </c>
      <c r="AC25" s="7">
        <f t="shared" ref="AC25:AR25" si="41">ROUND(AVERAGE(AC49,AC49,AB48:AD49),0)</f>
        <v>38</v>
      </c>
      <c r="AD25" s="7">
        <f t="shared" si="41"/>
        <v>38</v>
      </c>
      <c r="AE25" s="7">
        <f t="shared" si="41"/>
        <v>38</v>
      </c>
      <c r="AF25" s="7">
        <f t="shared" si="41"/>
        <v>38</v>
      </c>
      <c r="AG25" s="7">
        <f t="shared" si="41"/>
        <v>37</v>
      </c>
      <c r="AH25" s="7">
        <f t="shared" si="41"/>
        <v>36</v>
      </c>
      <c r="AI25" s="7">
        <f t="shared" si="41"/>
        <v>35</v>
      </c>
      <c r="AJ25" s="7">
        <f t="shared" si="41"/>
        <v>35</v>
      </c>
      <c r="AK25" s="7">
        <f t="shared" si="41"/>
        <v>34</v>
      </c>
      <c r="AL25" s="7">
        <f t="shared" si="41"/>
        <v>33</v>
      </c>
      <c r="AM25" s="7">
        <f t="shared" si="41"/>
        <v>30</v>
      </c>
      <c r="AN25" s="7">
        <f t="shared" si="41"/>
        <v>27</v>
      </c>
      <c r="AO25" s="7">
        <f t="shared" si="41"/>
        <v>22</v>
      </c>
      <c r="AP25" s="7">
        <f t="shared" si="41"/>
        <v>18</v>
      </c>
      <c r="AQ25" s="7">
        <f t="shared" si="41"/>
        <v>14</v>
      </c>
      <c r="AR25" s="7">
        <f t="shared" si="41"/>
        <v>12</v>
      </c>
      <c r="AS25" s="7">
        <f>ROUND(AVERAGE(AS49,AS49,AR48:AT49),0)</f>
        <v>10</v>
      </c>
      <c r="AT25" s="8">
        <f>ROUND(AVERAGE(AT49,AS48:AT49),0)</f>
        <v>10</v>
      </c>
      <c r="AV25" s="243">
        <v>1750</v>
      </c>
      <c r="AW25" s="247">
        <f t="shared" si="19"/>
        <v>0</v>
      </c>
      <c r="AX25" s="5">
        <f t="shared" si="20"/>
        <v>2</v>
      </c>
      <c r="AY25" s="5">
        <f t="shared" si="21"/>
        <v>0</v>
      </c>
      <c r="AZ25" s="5">
        <f t="shared" si="22"/>
        <v>1</v>
      </c>
      <c r="BA25" s="5">
        <f t="shared" si="23"/>
        <v>0</v>
      </c>
      <c r="BB25" s="5">
        <f t="shared" si="24"/>
        <v>0</v>
      </c>
      <c r="BC25" s="5">
        <f t="shared" si="25"/>
        <v>0</v>
      </c>
      <c r="BD25" s="5">
        <f t="shared" si="26"/>
        <v>0</v>
      </c>
      <c r="BE25" s="5">
        <f t="shared" si="27"/>
        <v>-1</v>
      </c>
      <c r="BF25" s="5">
        <f t="shared" si="28"/>
        <v>0</v>
      </c>
      <c r="BG25" s="5">
        <f t="shared" si="29"/>
        <v>0</v>
      </c>
      <c r="BH25" s="5">
        <f t="shared" si="30"/>
        <v>0</v>
      </c>
      <c r="BI25" s="5">
        <f t="shared" si="31"/>
        <v>0</v>
      </c>
      <c r="BJ25" s="5">
        <f t="shared" si="32"/>
        <v>0</v>
      </c>
      <c r="BK25" s="5">
        <f t="shared" si="33"/>
        <v>0</v>
      </c>
      <c r="BL25" s="5">
        <f t="shared" si="34"/>
        <v>0</v>
      </c>
      <c r="BM25" s="5">
        <f t="shared" si="35"/>
        <v>0</v>
      </c>
      <c r="BN25" s="5">
        <f t="shared" si="36"/>
        <v>1</v>
      </c>
      <c r="BO25" s="6">
        <f t="shared" si="37"/>
        <v>0</v>
      </c>
      <c r="BR25" s="27">
        <v>8000</v>
      </c>
    </row>
    <row r="26" spans="26:71" s="4" customFormat="1" ht="16.5" customHeight="1" thickBot="1">
      <c r="AV26" s="243">
        <v>2000</v>
      </c>
      <c r="AW26" s="247">
        <f t="shared" si="19"/>
        <v>0</v>
      </c>
      <c r="AX26" s="5">
        <f t="shared" si="20"/>
        <v>1</v>
      </c>
      <c r="AY26" s="5">
        <f t="shared" si="21"/>
        <v>0</v>
      </c>
      <c r="AZ26" s="5">
        <f t="shared" si="22"/>
        <v>0</v>
      </c>
      <c r="BA26" s="5">
        <f t="shared" si="23"/>
        <v>0</v>
      </c>
      <c r="BB26" s="5">
        <f t="shared" si="24"/>
        <v>1</v>
      </c>
      <c r="BC26" s="5">
        <f t="shared" si="25"/>
        <v>0</v>
      </c>
      <c r="BD26" s="5">
        <f t="shared" si="26"/>
        <v>0</v>
      </c>
      <c r="BE26" s="5">
        <f t="shared" si="27"/>
        <v>0</v>
      </c>
      <c r="BF26" s="5">
        <f t="shared" si="28"/>
        <v>0</v>
      </c>
      <c r="BG26" s="5">
        <f t="shared" si="29"/>
        <v>0</v>
      </c>
      <c r="BH26" s="5">
        <f t="shared" si="30"/>
        <v>0</v>
      </c>
      <c r="BI26" s="5">
        <f t="shared" si="31"/>
        <v>0</v>
      </c>
      <c r="BJ26" s="5">
        <f t="shared" si="32"/>
        <v>0</v>
      </c>
      <c r="BK26" s="5">
        <f t="shared" si="33"/>
        <v>0</v>
      </c>
      <c r="BL26" s="5">
        <f t="shared" si="34"/>
        <v>0</v>
      </c>
      <c r="BM26" s="5">
        <f t="shared" si="35"/>
        <v>0</v>
      </c>
      <c r="BN26" s="5">
        <f t="shared" si="36"/>
        <v>0</v>
      </c>
      <c r="BO26" s="6">
        <f t="shared" si="37"/>
        <v>1</v>
      </c>
    </row>
    <row r="27" spans="26:71" s="4" customFormat="1" ht="16.5" customHeight="1" thickBot="1">
      <c r="Z27" s="278">
        <v>2</v>
      </c>
      <c r="AA27" s="279"/>
      <c r="AB27" s="271" t="s">
        <v>28</v>
      </c>
      <c r="AC27" s="272"/>
      <c r="AD27" s="272"/>
      <c r="AE27" s="272"/>
      <c r="AF27" s="272"/>
      <c r="AG27" s="272"/>
      <c r="AH27" s="272"/>
      <c r="AI27" s="272"/>
      <c r="AJ27" s="272"/>
      <c r="AK27" s="272"/>
      <c r="AL27" s="272"/>
      <c r="AM27" s="272"/>
      <c r="AN27" s="272"/>
      <c r="AO27" s="272"/>
      <c r="AP27" s="272"/>
      <c r="AQ27" s="272"/>
      <c r="AR27" s="272"/>
      <c r="AS27" s="272"/>
      <c r="AT27" s="273"/>
      <c r="AV27" s="243">
        <v>2500</v>
      </c>
      <c r="AW27" s="247">
        <f t="shared" si="19"/>
        <v>0</v>
      </c>
      <c r="AX27" s="5">
        <f t="shared" si="20"/>
        <v>4</v>
      </c>
      <c r="AY27" s="5">
        <f t="shared" si="21"/>
        <v>0</v>
      </c>
      <c r="AZ27" s="5">
        <f t="shared" si="22"/>
        <v>0</v>
      </c>
      <c r="BA27" s="5">
        <f t="shared" si="23"/>
        <v>0</v>
      </c>
      <c r="BB27" s="5">
        <f t="shared" si="24"/>
        <v>0</v>
      </c>
      <c r="BC27" s="5">
        <f t="shared" si="25"/>
        <v>0</v>
      </c>
      <c r="BD27" s="5">
        <f t="shared" si="26"/>
        <v>0</v>
      </c>
      <c r="BE27" s="5">
        <f t="shared" si="27"/>
        <v>0</v>
      </c>
      <c r="BF27" s="5">
        <f t="shared" si="28"/>
        <v>0</v>
      </c>
      <c r="BG27" s="5">
        <f t="shared" si="29"/>
        <v>0</v>
      </c>
      <c r="BH27" s="5">
        <f t="shared" si="30"/>
        <v>0</v>
      </c>
      <c r="BI27" s="5">
        <f t="shared" si="31"/>
        <v>1</v>
      </c>
      <c r="BJ27" s="5">
        <f t="shared" si="32"/>
        <v>0</v>
      </c>
      <c r="BK27" s="5">
        <f t="shared" si="33"/>
        <v>0</v>
      </c>
      <c r="BL27" s="5">
        <f t="shared" si="34"/>
        <v>0</v>
      </c>
      <c r="BM27" s="5">
        <f t="shared" si="35"/>
        <v>0</v>
      </c>
      <c r="BN27" s="5">
        <f t="shared" si="36"/>
        <v>1</v>
      </c>
      <c r="BO27" s="6">
        <f t="shared" si="37"/>
        <v>1</v>
      </c>
    </row>
    <row r="28" spans="26:71" s="4" customFormat="1" ht="16.5" customHeight="1" thickBot="1">
      <c r="Z28" s="280"/>
      <c r="AA28" s="281"/>
      <c r="AB28" s="274" t="s">
        <v>0</v>
      </c>
      <c r="AC28" s="275"/>
      <c r="AD28" s="276"/>
      <c r="AE28" s="276"/>
      <c r="AF28" s="276"/>
      <c r="AG28" s="276"/>
      <c r="AH28" s="276"/>
      <c r="AI28" s="276"/>
      <c r="AJ28" s="276"/>
      <c r="AK28" s="276"/>
      <c r="AL28" s="276"/>
      <c r="AM28" s="276"/>
      <c r="AN28" s="276"/>
      <c r="AO28" s="276"/>
      <c r="AP28" s="276"/>
      <c r="AQ28" s="276"/>
      <c r="AR28" s="276"/>
      <c r="AS28" s="276"/>
      <c r="AT28" s="277"/>
      <c r="AV28" s="243">
        <v>3000</v>
      </c>
      <c r="AW28" s="247">
        <f t="shared" si="19"/>
        <v>0</v>
      </c>
      <c r="AX28" s="5">
        <f t="shared" si="20"/>
        <v>2</v>
      </c>
      <c r="AY28" s="5">
        <f t="shared" si="21"/>
        <v>0</v>
      </c>
      <c r="AZ28" s="5">
        <f t="shared" si="22"/>
        <v>0</v>
      </c>
      <c r="BA28" s="5">
        <f t="shared" si="23"/>
        <v>0</v>
      </c>
      <c r="BB28" s="5">
        <f t="shared" si="24"/>
        <v>0</v>
      </c>
      <c r="BC28" s="5">
        <f t="shared" si="25"/>
        <v>0</v>
      </c>
      <c r="BD28" s="5">
        <f t="shared" si="26"/>
        <v>0</v>
      </c>
      <c r="BE28" s="5">
        <f t="shared" si="27"/>
        <v>0</v>
      </c>
      <c r="BF28" s="5">
        <f t="shared" si="28"/>
        <v>-1</v>
      </c>
      <c r="BG28" s="5">
        <f t="shared" si="29"/>
        <v>-1</v>
      </c>
      <c r="BH28" s="5">
        <f t="shared" si="30"/>
        <v>0</v>
      </c>
      <c r="BI28" s="5">
        <f t="shared" si="31"/>
        <v>0</v>
      </c>
      <c r="BJ28" s="5">
        <f t="shared" si="32"/>
        <v>1</v>
      </c>
      <c r="BK28" s="5">
        <f t="shared" si="33"/>
        <v>0</v>
      </c>
      <c r="BL28" s="5">
        <f t="shared" si="34"/>
        <v>0</v>
      </c>
      <c r="BM28" s="5">
        <f t="shared" si="35"/>
        <v>0</v>
      </c>
      <c r="BN28" s="5">
        <f t="shared" si="36"/>
        <v>1</v>
      </c>
      <c r="BO28" s="6">
        <f t="shared" si="37"/>
        <v>0</v>
      </c>
    </row>
    <row r="29" spans="26:71" s="4" customFormat="1" ht="16.5" customHeight="1" thickBot="1">
      <c r="Z29" s="282"/>
      <c r="AA29" s="283"/>
      <c r="AB29" s="235">
        <v>0</v>
      </c>
      <c r="AC29" s="263">
        <v>10</v>
      </c>
      <c r="AD29" s="236">
        <v>20</v>
      </c>
      <c r="AE29" s="236">
        <v>30</v>
      </c>
      <c r="AF29" s="236">
        <v>40</v>
      </c>
      <c r="AG29" s="237">
        <v>50</v>
      </c>
      <c r="AH29" s="237">
        <v>60</v>
      </c>
      <c r="AI29" s="237">
        <v>70</v>
      </c>
      <c r="AJ29" s="237">
        <v>80</v>
      </c>
      <c r="AK29" s="237">
        <v>90</v>
      </c>
      <c r="AL29" s="237">
        <v>100</v>
      </c>
      <c r="AM29" s="237">
        <v>120</v>
      </c>
      <c r="AN29" s="237">
        <v>140</v>
      </c>
      <c r="AO29" s="238">
        <v>160</v>
      </c>
      <c r="AP29" s="238">
        <v>180</v>
      </c>
      <c r="AQ29" s="238">
        <v>200</v>
      </c>
      <c r="AR29" s="238">
        <v>220</v>
      </c>
      <c r="AS29" s="238">
        <v>240</v>
      </c>
      <c r="AT29" s="239">
        <v>260</v>
      </c>
      <c r="AV29" s="243">
        <v>3500</v>
      </c>
      <c r="AW29" s="247">
        <f t="shared" si="19"/>
        <v>0</v>
      </c>
      <c r="AX29" s="5">
        <f t="shared" si="20"/>
        <v>3</v>
      </c>
      <c r="AY29" s="5">
        <f t="shared" si="21"/>
        <v>0</v>
      </c>
      <c r="AZ29" s="5">
        <f t="shared" si="22"/>
        <v>0</v>
      </c>
      <c r="BA29" s="5">
        <f t="shared" si="23"/>
        <v>0</v>
      </c>
      <c r="BB29" s="5">
        <f t="shared" si="24"/>
        <v>0</v>
      </c>
      <c r="BC29" s="5">
        <f t="shared" si="25"/>
        <v>0</v>
      </c>
      <c r="BD29" s="5">
        <f t="shared" si="26"/>
        <v>-1</v>
      </c>
      <c r="BE29" s="5">
        <f t="shared" si="27"/>
        <v>0</v>
      </c>
      <c r="BF29" s="5">
        <f t="shared" si="28"/>
        <v>0</v>
      </c>
      <c r="BG29" s="5">
        <f t="shared" si="29"/>
        <v>-1</v>
      </c>
      <c r="BH29" s="5">
        <f t="shared" si="30"/>
        <v>0</v>
      </c>
      <c r="BI29" s="5">
        <f t="shared" si="31"/>
        <v>0</v>
      </c>
      <c r="BJ29" s="5">
        <f t="shared" si="32"/>
        <v>0</v>
      </c>
      <c r="BK29" s="5">
        <f t="shared" si="33"/>
        <v>0</v>
      </c>
      <c r="BL29" s="5">
        <f t="shared" si="34"/>
        <v>0</v>
      </c>
      <c r="BM29" s="5">
        <f t="shared" si="35"/>
        <v>-1</v>
      </c>
      <c r="BN29" s="5">
        <f t="shared" si="36"/>
        <v>0</v>
      </c>
      <c r="BO29" s="6">
        <f t="shared" si="37"/>
        <v>1</v>
      </c>
    </row>
    <row r="30" spans="26:71" s="4" customFormat="1" ht="16.5" customHeight="1">
      <c r="Z30" s="265" t="s">
        <v>1</v>
      </c>
      <c r="AA30" s="235">
        <v>0</v>
      </c>
      <c r="AB30" s="246">
        <v>5</v>
      </c>
      <c r="AC30" s="15">
        <v>5</v>
      </c>
      <c r="AD30" s="15">
        <v>5</v>
      </c>
      <c r="AE30" s="15">
        <v>5</v>
      </c>
      <c r="AF30" s="15">
        <v>5</v>
      </c>
      <c r="AG30" s="15">
        <v>11</v>
      </c>
      <c r="AH30" s="15">
        <v>15</v>
      </c>
      <c r="AI30" s="15">
        <v>6</v>
      </c>
      <c r="AJ30" s="15">
        <v>3</v>
      </c>
      <c r="AK30" s="15">
        <v>2</v>
      </c>
      <c r="AL30" s="15">
        <v>-1</v>
      </c>
      <c r="AM30" s="15">
        <v>-2</v>
      </c>
      <c r="AN30" s="15">
        <v>-5</v>
      </c>
      <c r="AO30" s="15">
        <v>-8</v>
      </c>
      <c r="AP30" s="15">
        <v>-10</v>
      </c>
      <c r="AQ30" s="15">
        <v>-10</v>
      </c>
      <c r="AR30" s="15">
        <v>-10</v>
      </c>
      <c r="AS30" s="15">
        <v>-10</v>
      </c>
      <c r="AT30" s="16">
        <v>-10</v>
      </c>
      <c r="AV30" s="243">
        <v>4000</v>
      </c>
      <c r="AW30" s="247">
        <f t="shared" si="19"/>
        <v>0</v>
      </c>
      <c r="AX30" s="5">
        <f t="shared" si="20"/>
        <v>4</v>
      </c>
      <c r="AY30" s="5">
        <f t="shared" si="21"/>
        <v>0</v>
      </c>
      <c r="AZ30" s="5">
        <f t="shared" si="22"/>
        <v>0</v>
      </c>
      <c r="BA30" s="5">
        <f t="shared" si="23"/>
        <v>0</v>
      </c>
      <c r="BB30" s="5">
        <f t="shared" si="24"/>
        <v>1</v>
      </c>
      <c r="BC30" s="5">
        <f t="shared" si="25"/>
        <v>0</v>
      </c>
      <c r="BD30" s="5">
        <f t="shared" si="26"/>
        <v>0</v>
      </c>
      <c r="BE30" s="5">
        <f t="shared" si="27"/>
        <v>0</v>
      </c>
      <c r="BF30" s="5">
        <f t="shared" si="28"/>
        <v>-1</v>
      </c>
      <c r="BG30" s="5">
        <f t="shared" si="29"/>
        <v>0</v>
      </c>
      <c r="BH30" s="5">
        <f t="shared" si="30"/>
        <v>0</v>
      </c>
      <c r="BI30" s="5">
        <f t="shared" si="31"/>
        <v>0</v>
      </c>
      <c r="BJ30" s="5">
        <f t="shared" si="32"/>
        <v>0</v>
      </c>
      <c r="BK30" s="5">
        <f t="shared" si="33"/>
        <v>0</v>
      </c>
      <c r="BL30" s="5">
        <f t="shared" si="34"/>
        <v>0</v>
      </c>
      <c r="BM30" s="5">
        <f t="shared" si="35"/>
        <v>0</v>
      </c>
      <c r="BN30" s="5">
        <f t="shared" si="36"/>
        <v>0</v>
      </c>
      <c r="BO30" s="6">
        <f t="shared" si="37"/>
        <v>0</v>
      </c>
    </row>
    <row r="31" spans="26:71" s="4" customFormat="1" ht="16.5" customHeight="1">
      <c r="Z31" s="266"/>
      <c r="AA31" s="242">
        <v>500</v>
      </c>
      <c r="AB31" s="247">
        <v>5</v>
      </c>
      <c r="AC31" s="5">
        <v>5</v>
      </c>
      <c r="AD31" s="5">
        <v>5</v>
      </c>
      <c r="AE31" s="5">
        <v>5</v>
      </c>
      <c r="AF31" s="5">
        <v>5</v>
      </c>
      <c r="AG31" s="5">
        <v>8</v>
      </c>
      <c r="AH31" s="5">
        <v>13</v>
      </c>
      <c r="AI31" s="5">
        <v>6</v>
      </c>
      <c r="AJ31" s="5">
        <v>3</v>
      </c>
      <c r="AK31" s="5">
        <v>2</v>
      </c>
      <c r="AL31" s="5">
        <v>-1</v>
      </c>
      <c r="AM31" s="5">
        <v>-2</v>
      </c>
      <c r="AN31" s="5">
        <v>-5</v>
      </c>
      <c r="AO31" s="5">
        <v>-8</v>
      </c>
      <c r="AP31" s="5">
        <v>-10</v>
      </c>
      <c r="AQ31" s="5">
        <v>-10</v>
      </c>
      <c r="AR31" s="5">
        <v>-10</v>
      </c>
      <c r="AS31" s="5">
        <v>-10</v>
      </c>
      <c r="AT31" s="6">
        <v>-10</v>
      </c>
      <c r="AV31" s="243">
        <v>4500</v>
      </c>
      <c r="AW31" s="247">
        <f t="shared" si="19"/>
        <v>0</v>
      </c>
      <c r="AX31" s="5">
        <f t="shared" si="20"/>
        <v>1</v>
      </c>
      <c r="AY31" s="5">
        <f t="shared" si="21"/>
        <v>0</v>
      </c>
      <c r="AZ31" s="5">
        <f t="shared" si="22"/>
        <v>0</v>
      </c>
      <c r="BA31" s="5">
        <f t="shared" si="23"/>
        <v>0</v>
      </c>
      <c r="BB31" s="5">
        <f t="shared" si="24"/>
        <v>1</v>
      </c>
      <c r="BC31" s="5">
        <f t="shared" si="25"/>
        <v>0</v>
      </c>
      <c r="BD31" s="5">
        <f t="shared" si="26"/>
        <v>0</v>
      </c>
      <c r="BE31" s="5">
        <f t="shared" si="27"/>
        <v>0</v>
      </c>
      <c r="BF31" s="5">
        <f t="shared" si="28"/>
        <v>-1</v>
      </c>
      <c r="BG31" s="5">
        <f t="shared" si="29"/>
        <v>0</v>
      </c>
      <c r="BH31" s="5">
        <f t="shared" si="30"/>
        <v>0</v>
      </c>
      <c r="BI31" s="5">
        <f t="shared" si="31"/>
        <v>0</v>
      </c>
      <c r="BJ31" s="5">
        <f t="shared" si="32"/>
        <v>0</v>
      </c>
      <c r="BK31" s="5">
        <f t="shared" si="33"/>
        <v>0</v>
      </c>
      <c r="BL31" s="5">
        <f t="shared" si="34"/>
        <v>0</v>
      </c>
      <c r="BM31" s="5">
        <f t="shared" si="35"/>
        <v>0</v>
      </c>
      <c r="BN31" s="5">
        <f t="shared" si="36"/>
        <v>0</v>
      </c>
      <c r="BO31" s="6">
        <f t="shared" si="37"/>
        <v>0</v>
      </c>
    </row>
    <row r="32" spans="26:71" s="4" customFormat="1" ht="16.5" customHeight="1">
      <c r="Z32" s="266"/>
      <c r="AA32" s="242">
        <v>750</v>
      </c>
      <c r="AB32" s="247">
        <v>5</v>
      </c>
      <c r="AC32" s="5">
        <v>5</v>
      </c>
      <c r="AD32" s="5">
        <v>5</v>
      </c>
      <c r="AE32" s="5">
        <v>5</v>
      </c>
      <c r="AF32" s="5">
        <v>5</v>
      </c>
      <c r="AG32" s="5">
        <v>9</v>
      </c>
      <c r="AH32" s="5">
        <v>13</v>
      </c>
      <c r="AI32" s="5">
        <v>10</v>
      </c>
      <c r="AJ32" s="5">
        <v>6</v>
      </c>
      <c r="AK32" s="5">
        <v>3</v>
      </c>
      <c r="AL32" s="5">
        <v>1</v>
      </c>
      <c r="AM32" s="5">
        <v>-1</v>
      </c>
      <c r="AN32" s="5">
        <v>-4</v>
      </c>
      <c r="AO32" s="5">
        <v>-6</v>
      </c>
      <c r="AP32" s="5">
        <v>-9</v>
      </c>
      <c r="AQ32" s="5">
        <v>-10</v>
      </c>
      <c r="AR32" s="5">
        <v>-10</v>
      </c>
      <c r="AS32" s="5">
        <v>-10</v>
      </c>
      <c r="AT32" s="6">
        <v>-10</v>
      </c>
      <c r="AV32" s="244">
        <v>5000</v>
      </c>
      <c r="AW32" s="247">
        <f t="shared" si="19"/>
        <v>0</v>
      </c>
      <c r="AX32" s="5">
        <f t="shared" si="20"/>
        <v>0</v>
      </c>
      <c r="AY32" s="5">
        <f t="shared" si="21"/>
        <v>0</v>
      </c>
      <c r="AZ32" s="5">
        <f t="shared" si="22"/>
        <v>0</v>
      </c>
      <c r="BA32" s="5">
        <f t="shared" si="23"/>
        <v>0</v>
      </c>
      <c r="BB32" s="5">
        <f t="shared" si="24"/>
        <v>1</v>
      </c>
      <c r="BC32" s="5">
        <f t="shared" si="25"/>
        <v>0</v>
      </c>
      <c r="BD32" s="5">
        <f t="shared" si="26"/>
        <v>0</v>
      </c>
      <c r="BE32" s="5">
        <f t="shared" si="27"/>
        <v>0</v>
      </c>
      <c r="BF32" s="5">
        <f t="shared" si="28"/>
        <v>0</v>
      </c>
      <c r="BG32" s="5">
        <f t="shared" si="29"/>
        <v>0</v>
      </c>
      <c r="BH32" s="5">
        <f t="shared" si="30"/>
        <v>0</v>
      </c>
      <c r="BI32" s="5">
        <f t="shared" si="31"/>
        <v>1</v>
      </c>
      <c r="BJ32" s="5">
        <f t="shared" si="32"/>
        <v>0</v>
      </c>
      <c r="BK32" s="5">
        <f t="shared" si="33"/>
        <v>0</v>
      </c>
      <c r="BL32" s="5">
        <f t="shared" si="34"/>
        <v>0</v>
      </c>
      <c r="BM32" s="5">
        <f t="shared" si="35"/>
        <v>0</v>
      </c>
      <c r="BN32" s="5">
        <f t="shared" si="36"/>
        <v>1</v>
      </c>
      <c r="BO32" s="6">
        <f t="shared" si="37"/>
        <v>1</v>
      </c>
    </row>
    <row r="33" spans="26:67" s="4" customFormat="1" ht="16.5" customHeight="1">
      <c r="Z33" s="266"/>
      <c r="AA33" s="242">
        <v>1000</v>
      </c>
      <c r="AB33" s="247">
        <v>5</v>
      </c>
      <c r="AC33" s="5">
        <v>5</v>
      </c>
      <c r="AD33" s="5">
        <v>5</v>
      </c>
      <c r="AE33" s="5">
        <v>5</v>
      </c>
      <c r="AF33" s="5">
        <v>9</v>
      </c>
      <c r="AG33" s="5">
        <v>13</v>
      </c>
      <c r="AH33" s="5">
        <v>18</v>
      </c>
      <c r="AI33" s="5">
        <v>10</v>
      </c>
      <c r="AJ33" s="5">
        <v>9</v>
      </c>
      <c r="AK33" s="5">
        <v>7</v>
      </c>
      <c r="AL33" s="5">
        <v>5</v>
      </c>
      <c r="AM33" s="5">
        <v>2</v>
      </c>
      <c r="AN33" s="5">
        <v>-1</v>
      </c>
      <c r="AO33" s="5">
        <v>-4</v>
      </c>
      <c r="AP33" s="5">
        <v>-6</v>
      </c>
      <c r="AQ33" s="5">
        <v>-9</v>
      </c>
      <c r="AR33" s="5">
        <v>-10</v>
      </c>
      <c r="AS33" s="5">
        <v>-10</v>
      </c>
      <c r="AT33" s="6">
        <v>-10</v>
      </c>
      <c r="AV33" s="244">
        <v>5500</v>
      </c>
      <c r="AW33" s="247">
        <f t="shared" si="19"/>
        <v>0</v>
      </c>
      <c r="AX33" s="5">
        <f t="shared" si="20"/>
        <v>0</v>
      </c>
      <c r="AY33" s="5">
        <f t="shared" si="21"/>
        <v>0</v>
      </c>
      <c r="AZ33" s="5">
        <f t="shared" si="22"/>
        <v>0</v>
      </c>
      <c r="BA33" s="5">
        <f t="shared" si="23"/>
        <v>0</v>
      </c>
      <c r="BB33" s="5">
        <f t="shared" si="24"/>
        <v>1</v>
      </c>
      <c r="BC33" s="5">
        <f t="shared" si="25"/>
        <v>0</v>
      </c>
      <c r="BD33" s="5">
        <f t="shared" si="26"/>
        <v>0</v>
      </c>
      <c r="BE33" s="5">
        <f t="shared" si="27"/>
        <v>0</v>
      </c>
      <c r="BF33" s="5">
        <f t="shared" si="28"/>
        <v>0</v>
      </c>
      <c r="BG33" s="5">
        <f t="shared" si="29"/>
        <v>0</v>
      </c>
      <c r="BH33" s="5">
        <f t="shared" si="30"/>
        <v>0</v>
      </c>
      <c r="BI33" s="5">
        <f t="shared" si="31"/>
        <v>1</v>
      </c>
      <c r="BJ33" s="5">
        <f t="shared" si="32"/>
        <v>0</v>
      </c>
      <c r="BK33" s="5">
        <f t="shared" si="33"/>
        <v>0</v>
      </c>
      <c r="BL33" s="5">
        <f t="shared" si="34"/>
        <v>0</v>
      </c>
      <c r="BM33" s="5">
        <f t="shared" si="35"/>
        <v>0</v>
      </c>
      <c r="BN33" s="5">
        <f t="shared" si="36"/>
        <v>1</v>
      </c>
      <c r="BO33" s="6">
        <f t="shared" si="37"/>
        <v>0</v>
      </c>
    </row>
    <row r="34" spans="26:67" s="4" customFormat="1" ht="16.5" customHeight="1">
      <c r="Z34" s="266"/>
      <c r="AA34" s="243">
        <v>1250</v>
      </c>
      <c r="AB34" s="247">
        <v>8</v>
      </c>
      <c r="AC34" s="5">
        <v>8</v>
      </c>
      <c r="AD34" s="5">
        <v>12</v>
      </c>
      <c r="AE34" s="5">
        <v>12</v>
      </c>
      <c r="AF34" s="5">
        <v>16</v>
      </c>
      <c r="AG34" s="5">
        <v>20</v>
      </c>
      <c r="AH34" s="5">
        <v>20</v>
      </c>
      <c r="AI34" s="5">
        <v>17</v>
      </c>
      <c r="AJ34" s="5">
        <v>14</v>
      </c>
      <c r="AK34" s="5">
        <v>11</v>
      </c>
      <c r="AL34" s="5">
        <v>8</v>
      </c>
      <c r="AM34" s="5">
        <v>6</v>
      </c>
      <c r="AN34" s="5">
        <v>3</v>
      </c>
      <c r="AO34" s="5">
        <v>0</v>
      </c>
      <c r="AP34" s="5">
        <v>-3</v>
      </c>
      <c r="AQ34" s="5">
        <v>-6</v>
      </c>
      <c r="AR34" s="5">
        <v>-8</v>
      </c>
      <c r="AS34" s="5">
        <v>-9</v>
      </c>
      <c r="AT34" s="6">
        <v>-10</v>
      </c>
      <c r="AV34" s="244">
        <v>6000</v>
      </c>
      <c r="AW34" s="247">
        <f t="shared" si="19"/>
        <v>0</v>
      </c>
      <c r="AX34" s="5">
        <f t="shared" si="20"/>
        <v>0</v>
      </c>
      <c r="AY34" s="5">
        <f t="shared" si="21"/>
        <v>0</v>
      </c>
      <c r="AZ34" s="5">
        <f t="shared" si="22"/>
        <v>0</v>
      </c>
      <c r="BA34" s="5">
        <f t="shared" si="23"/>
        <v>1</v>
      </c>
      <c r="BB34" s="5">
        <f t="shared" si="24"/>
        <v>0</v>
      </c>
      <c r="BC34" s="5">
        <f t="shared" si="25"/>
        <v>1</v>
      </c>
      <c r="BD34" s="5">
        <f t="shared" si="26"/>
        <v>0</v>
      </c>
      <c r="BE34" s="5">
        <f t="shared" si="27"/>
        <v>1</v>
      </c>
      <c r="BF34" s="5">
        <f t="shared" si="28"/>
        <v>0</v>
      </c>
      <c r="BG34" s="5">
        <f t="shared" si="29"/>
        <v>0</v>
      </c>
      <c r="BH34" s="5">
        <f t="shared" si="30"/>
        <v>0</v>
      </c>
      <c r="BI34" s="5">
        <f t="shared" si="31"/>
        <v>1</v>
      </c>
      <c r="BJ34" s="5">
        <f t="shared" si="32"/>
        <v>0</v>
      </c>
      <c r="BK34" s="5">
        <f t="shared" si="33"/>
        <v>0</v>
      </c>
      <c r="BL34" s="5">
        <f t="shared" si="34"/>
        <v>0</v>
      </c>
      <c r="BM34" s="5">
        <f t="shared" si="35"/>
        <v>0</v>
      </c>
      <c r="BN34" s="5">
        <f t="shared" si="36"/>
        <v>0</v>
      </c>
      <c r="BO34" s="6">
        <f t="shared" si="37"/>
        <v>1</v>
      </c>
    </row>
    <row r="35" spans="26:67" s="4" customFormat="1" ht="16.5" customHeight="1">
      <c r="Z35" s="266"/>
      <c r="AA35" s="243">
        <v>1500</v>
      </c>
      <c r="AB35" s="247">
        <v>13</v>
      </c>
      <c r="AC35" s="5">
        <v>13</v>
      </c>
      <c r="AD35" s="5">
        <v>19</v>
      </c>
      <c r="AE35" s="5">
        <v>19</v>
      </c>
      <c r="AF35" s="5">
        <v>26</v>
      </c>
      <c r="AG35" s="5">
        <v>24</v>
      </c>
      <c r="AH35" s="5">
        <v>23</v>
      </c>
      <c r="AI35" s="5">
        <v>21</v>
      </c>
      <c r="AJ35" s="5">
        <v>18</v>
      </c>
      <c r="AK35" s="5">
        <v>14</v>
      </c>
      <c r="AL35" s="5">
        <v>11</v>
      </c>
      <c r="AM35" s="5">
        <v>9</v>
      </c>
      <c r="AN35" s="5">
        <v>6</v>
      </c>
      <c r="AO35" s="5">
        <v>3</v>
      </c>
      <c r="AP35" s="5">
        <v>0</v>
      </c>
      <c r="AQ35" s="5">
        <v>-3</v>
      </c>
      <c r="AR35" s="5">
        <v>-6</v>
      </c>
      <c r="AS35" s="5">
        <v>-8</v>
      </c>
      <c r="AT35" s="6">
        <v>-9</v>
      </c>
      <c r="AV35" s="244">
        <v>6500</v>
      </c>
      <c r="AW35" s="247">
        <f t="shared" si="19"/>
        <v>0</v>
      </c>
      <c r="AX35" s="5">
        <f t="shared" si="20"/>
        <v>0</v>
      </c>
      <c r="AY35" s="5">
        <f t="shared" si="21"/>
        <v>0</v>
      </c>
      <c r="AZ35" s="5">
        <f t="shared" si="22"/>
        <v>0</v>
      </c>
      <c r="BA35" s="5">
        <f t="shared" si="23"/>
        <v>0</v>
      </c>
      <c r="BB35" s="5">
        <f t="shared" si="24"/>
        <v>0</v>
      </c>
      <c r="BC35" s="5">
        <f t="shared" si="25"/>
        <v>0</v>
      </c>
      <c r="BD35" s="5">
        <f t="shared" si="26"/>
        <v>0</v>
      </c>
      <c r="BE35" s="5">
        <f t="shared" si="27"/>
        <v>0</v>
      </c>
      <c r="BF35" s="5">
        <f t="shared" si="28"/>
        <v>-1</v>
      </c>
      <c r="BG35" s="5">
        <f t="shared" si="29"/>
        <v>-1</v>
      </c>
      <c r="BH35" s="5">
        <f t="shared" si="30"/>
        <v>0</v>
      </c>
      <c r="BI35" s="5">
        <f t="shared" si="31"/>
        <v>0</v>
      </c>
      <c r="BJ35" s="5">
        <f t="shared" si="32"/>
        <v>0</v>
      </c>
      <c r="BK35" s="5">
        <f t="shared" si="33"/>
        <v>0</v>
      </c>
      <c r="BL35" s="5">
        <f t="shared" si="34"/>
        <v>1</v>
      </c>
      <c r="BM35" s="5">
        <f t="shared" si="35"/>
        <v>0</v>
      </c>
      <c r="BN35" s="5">
        <f t="shared" si="36"/>
        <v>0</v>
      </c>
      <c r="BO35" s="6">
        <f t="shared" si="37"/>
        <v>0</v>
      </c>
    </row>
    <row r="36" spans="26:67" s="4" customFormat="1" ht="16.5" customHeight="1">
      <c r="Z36" s="266"/>
      <c r="AA36" s="243">
        <v>1750</v>
      </c>
      <c r="AB36" s="247">
        <v>18</v>
      </c>
      <c r="AC36" s="5">
        <v>18</v>
      </c>
      <c r="AD36" s="5">
        <v>25</v>
      </c>
      <c r="AE36" s="5">
        <v>25</v>
      </c>
      <c r="AF36" s="5">
        <v>27</v>
      </c>
      <c r="AG36" s="5">
        <v>25</v>
      </c>
      <c r="AH36" s="5">
        <v>24</v>
      </c>
      <c r="AI36" s="5">
        <v>23</v>
      </c>
      <c r="AJ36" s="5">
        <v>21</v>
      </c>
      <c r="AK36" s="5">
        <v>17</v>
      </c>
      <c r="AL36" s="5">
        <v>14</v>
      </c>
      <c r="AM36" s="5">
        <v>11</v>
      </c>
      <c r="AN36" s="5">
        <v>8</v>
      </c>
      <c r="AO36" s="5">
        <v>5</v>
      </c>
      <c r="AP36" s="5">
        <v>2</v>
      </c>
      <c r="AQ36" s="5">
        <v>-1</v>
      </c>
      <c r="AR36" s="5">
        <v>-4</v>
      </c>
      <c r="AS36" s="5">
        <v>-7</v>
      </c>
      <c r="AT36" s="6">
        <v>-8</v>
      </c>
      <c r="AV36" s="244">
        <v>7000</v>
      </c>
      <c r="AW36" s="247">
        <f t="shared" si="19"/>
        <v>0</v>
      </c>
      <c r="AX36" s="5">
        <f t="shared" si="20"/>
        <v>0</v>
      </c>
      <c r="AY36" s="5">
        <f t="shared" si="21"/>
        <v>0</v>
      </c>
      <c r="AZ36" s="5">
        <f t="shared" si="22"/>
        <v>0</v>
      </c>
      <c r="BA36" s="5">
        <f t="shared" si="23"/>
        <v>0</v>
      </c>
      <c r="BB36" s="5">
        <f t="shared" si="24"/>
        <v>0</v>
      </c>
      <c r="BC36" s="5">
        <f t="shared" si="25"/>
        <v>0</v>
      </c>
      <c r="BD36" s="5">
        <f t="shared" si="26"/>
        <v>0</v>
      </c>
      <c r="BE36" s="5">
        <f t="shared" si="27"/>
        <v>0</v>
      </c>
      <c r="BF36" s="5">
        <f t="shared" si="28"/>
        <v>-1</v>
      </c>
      <c r="BG36" s="5">
        <f t="shared" si="29"/>
        <v>-1</v>
      </c>
      <c r="BH36" s="5">
        <f t="shared" si="30"/>
        <v>0</v>
      </c>
      <c r="BI36" s="5">
        <f t="shared" si="31"/>
        <v>-1</v>
      </c>
      <c r="BJ36" s="5">
        <f t="shared" si="32"/>
        <v>-1</v>
      </c>
      <c r="BK36" s="5">
        <f t="shared" si="33"/>
        <v>0</v>
      </c>
      <c r="BL36" s="5">
        <f t="shared" si="34"/>
        <v>1</v>
      </c>
      <c r="BM36" s="5">
        <f t="shared" si="35"/>
        <v>0</v>
      </c>
      <c r="BN36" s="5">
        <f t="shared" si="36"/>
        <v>0</v>
      </c>
      <c r="BO36" s="6">
        <f t="shared" si="37"/>
        <v>0</v>
      </c>
    </row>
    <row r="37" spans="26:67" s="4" customFormat="1" ht="16.5" customHeight="1">
      <c r="Z37" s="266"/>
      <c r="AA37" s="243">
        <v>2000</v>
      </c>
      <c r="AB37" s="247">
        <v>24</v>
      </c>
      <c r="AC37" s="5">
        <v>24</v>
      </c>
      <c r="AD37" s="5">
        <v>32</v>
      </c>
      <c r="AE37" s="5">
        <v>32</v>
      </c>
      <c r="AF37" s="5">
        <v>29</v>
      </c>
      <c r="AG37" s="5">
        <v>26</v>
      </c>
      <c r="AH37" s="5">
        <v>26</v>
      </c>
      <c r="AI37" s="5">
        <v>25</v>
      </c>
      <c r="AJ37" s="5">
        <v>23</v>
      </c>
      <c r="AK37" s="5">
        <v>20</v>
      </c>
      <c r="AL37" s="5">
        <v>16</v>
      </c>
      <c r="AM37" s="5">
        <v>13</v>
      </c>
      <c r="AN37" s="5">
        <v>9</v>
      </c>
      <c r="AO37" s="5">
        <v>6</v>
      </c>
      <c r="AP37" s="5">
        <v>3</v>
      </c>
      <c r="AQ37" s="5">
        <v>0</v>
      </c>
      <c r="AR37" s="5">
        <v>-3</v>
      </c>
      <c r="AS37" s="5">
        <v>-5</v>
      </c>
      <c r="AT37" s="6">
        <v>-7</v>
      </c>
      <c r="AV37" s="244">
        <v>7500</v>
      </c>
      <c r="AW37" s="247">
        <f t="shared" si="19"/>
        <v>0</v>
      </c>
      <c r="AX37" s="5">
        <f t="shared" si="20"/>
        <v>0</v>
      </c>
      <c r="AY37" s="5">
        <f t="shared" si="21"/>
        <v>0</v>
      </c>
      <c r="AZ37" s="5">
        <f t="shared" si="22"/>
        <v>0</v>
      </c>
      <c r="BA37" s="5">
        <f t="shared" si="23"/>
        <v>0</v>
      </c>
      <c r="BB37" s="5">
        <f t="shared" si="24"/>
        <v>0</v>
      </c>
      <c r="BC37" s="5">
        <f t="shared" si="25"/>
        <v>0</v>
      </c>
      <c r="BD37" s="5">
        <f t="shared" si="26"/>
        <v>0</v>
      </c>
      <c r="BE37" s="5">
        <f t="shared" si="27"/>
        <v>0</v>
      </c>
      <c r="BF37" s="5">
        <f t="shared" si="28"/>
        <v>0</v>
      </c>
      <c r="BG37" s="5">
        <f t="shared" si="29"/>
        <v>-1</v>
      </c>
      <c r="BH37" s="5">
        <f t="shared" si="30"/>
        <v>0</v>
      </c>
      <c r="BI37" s="5">
        <f t="shared" si="31"/>
        <v>-1</v>
      </c>
      <c r="BJ37" s="5">
        <f t="shared" si="32"/>
        <v>0</v>
      </c>
      <c r="BK37" s="5">
        <f t="shared" si="33"/>
        <v>0</v>
      </c>
      <c r="BL37" s="5">
        <f t="shared" si="34"/>
        <v>1</v>
      </c>
      <c r="BM37" s="5">
        <f t="shared" si="35"/>
        <v>0</v>
      </c>
      <c r="BN37" s="5">
        <f t="shared" si="36"/>
        <v>0</v>
      </c>
      <c r="BO37" s="6">
        <f t="shared" si="37"/>
        <v>0</v>
      </c>
    </row>
    <row r="38" spans="26:67" s="4" customFormat="1" ht="16.5" customHeight="1" thickBot="1">
      <c r="Z38" s="266"/>
      <c r="AA38" s="243">
        <v>2500</v>
      </c>
      <c r="AB38" s="247">
        <v>24</v>
      </c>
      <c r="AC38" s="5">
        <v>24</v>
      </c>
      <c r="AD38" s="5">
        <v>34</v>
      </c>
      <c r="AE38" s="5">
        <v>34</v>
      </c>
      <c r="AF38" s="5">
        <v>32</v>
      </c>
      <c r="AG38" s="5">
        <v>30</v>
      </c>
      <c r="AH38" s="5">
        <v>29</v>
      </c>
      <c r="AI38" s="5">
        <v>27</v>
      </c>
      <c r="AJ38" s="5">
        <v>25</v>
      </c>
      <c r="AK38" s="5">
        <v>22</v>
      </c>
      <c r="AL38" s="5">
        <v>19</v>
      </c>
      <c r="AM38" s="5">
        <v>15</v>
      </c>
      <c r="AN38" s="5">
        <v>10</v>
      </c>
      <c r="AO38" s="5">
        <v>7</v>
      </c>
      <c r="AP38" s="5">
        <v>5</v>
      </c>
      <c r="AQ38" s="5">
        <v>2</v>
      </c>
      <c r="AR38" s="13">
        <v>-1</v>
      </c>
      <c r="AS38" s="13">
        <v>-4</v>
      </c>
      <c r="AT38" s="14">
        <v>-6</v>
      </c>
      <c r="AV38" s="245">
        <v>11000</v>
      </c>
      <c r="AW38" s="248">
        <f t="shared" si="19"/>
        <v>0</v>
      </c>
      <c r="AX38" s="7">
        <f t="shared" si="20"/>
        <v>0</v>
      </c>
      <c r="AY38" s="7">
        <f t="shared" si="21"/>
        <v>0</v>
      </c>
      <c r="AZ38" s="7">
        <f t="shared" si="22"/>
        <v>0</v>
      </c>
      <c r="BA38" s="7">
        <f t="shared" si="23"/>
        <v>0</v>
      </c>
      <c r="BB38" s="7">
        <f t="shared" si="24"/>
        <v>0</v>
      </c>
      <c r="BC38" s="7">
        <f t="shared" si="25"/>
        <v>0</v>
      </c>
      <c r="BD38" s="7">
        <f t="shared" si="26"/>
        <v>0</v>
      </c>
      <c r="BE38" s="7">
        <f t="shared" si="27"/>
        <v>0</v>
      </c>
      <c r="BF38" s="7">
        <f t="shared" si="28"/>
        <v>0</v>
      </c>
      <c r="BG38" s="7">
        <f t="shared" si="29"/>
        <v>0</v>
      </c>
      <c r="BH38" s="7">
        <f t="shared" si="30"/>
        <v>0</v>
      </c>
      <c r="BI38" s="7">
        <f t="shared" si="31"/>
        <v>0</v>
      </c>
      <c r="BJ38" s="7">
        <f t="shared" si="32"/>
        <v>0</v>
      </c>
      <c r="BK38" s="7">
        <f t="shared" si="33"/>
        <v>0</v>
      </c>
      <c r="BL38" s="7">
        <f t="shared" si="34"/>
        <v>0</v>
      </c>
      <c r="BM38" s="7">
        <f t="shared" si="35"/>
        <v>0</v>
      </c>
      <c r="BN38" s="7">
        <f t="shared" si="36"/>
        <v>0</v>
      </c>
      <c r="BO38" s="8">
        <f t="shared" si="37"/>
        <v>0</v>
      </c>
    </row>
    <row r="39" spans="26:67" s="4" customFormat="1" ht="16.5" customHeight="1">
      <c r="Z39" s="266"/>
      <c r="AA39" s="243">
        <v>3000</v>
      </c>
      <c r="AB39" s="247">
        <v>28</v>
      </c>
      <c r="AC39" s="5">
        <v>28</v>
      </c>
      <c r="AD39" s="5">
        <v>38</v>
      </c>
      <c r="AE39" s="5">
        <v>38</v>
      </c>
      <c r="AF39" s="5">
        <v>35</v>
      </c>
      <c r="AG39" s="5">
        <v>32</v>
      </c>
      <c r="AH39" s="5">
        <v>30</v>
      </c>
      <c r="AI39" s="5">
        <v>29</v>
      </c>
      <c r="AJ39" s="5">
        <v>27</v>
      </c>
      <c r="AK39" s="5">
        <v>25</v>
      </c>
      <c r="AL39" s="5">
        <v>22</v>
      </c>
      <c r="AM39" s="5">
        <v>17</v>
      </c>
      <c r="AN39" s="5">
        <v>13</v>
      </c>
      <c r="AO39" s="5">
        <v>8</v>
      </c>
      <c r="AP39" s="5">
        <v>6</v>
      </c>
      <c r="AQ39" s="12">
        <v>4</v>
      </c>
      <c r="AR39" s="17">
        <v>1</v>
      </c>
      <c r="AS39" s="18">
        <v>-2</v>
      </c>
      <c r="AT39" s="19">
        <v>-3</v>
      </c>
    </row>
    <row r="40" spans="26:67" s="4" customFormat="1" ht="16.5" customHeight="1">
      <c r="Z40" s="266"/>
      <c r="AA40" s="243">
        <v>3500</v>
      </c>
      <c r="AB40" s="247">
        <v>28</v>
      </c>
      <c r="AC40" s="5">
        <v>28</v>
      </c>
      <c r="AD40" s="5">
        <v>38</v>
      </c>
      <c r="AE40" s="5">
        <v>38</v>
      </c>
      <c r="AF40" s="5">
        <v>35</v>
      </c>
      <c r="AG40" s="5">
        <v>32</v>
      </c>
      <c r="AH40" s="5">
        <v>31</v>
      </c>
      <c r="AI40" s="5">
        <v>30</v>
      </c>
      <c r="AJ40" s="5">
        <v>28</v>
      </c>
      <c r="AK40" s="5">
        <v>26</v>
      </c>
      <c r="AL40" s="5">
        <v>24</v>
      </c>
      <c r="AM40" s="5">
        <v>19</v>
      </c>
      <c r="AN40" s="5">
        <v>15</v>
      </c>
      <c r="AO40" s="5">
        <v>11</v>
      </c>
      <c r="AP40" s="5">
        <v>8</v>
      </c>
      <c r="AQ40" s="12">
        <v>6</v>
      </c>
      <c r="AR40" s="20">
        <v>4</v>
      </c>
      <c r="AS40" s="10">
        <v>1</v>
      </c>
      <c r="AT40" s="11">
        <v>-1</v>
      </c>
    </row>
    <row r="41" spans="26:67" s="4" customFormat="1" ht="16.5" customHeight="1" thickBot="1">
      <c r="Z41" s="266"/>
      <c r="AA41" s="243">
        <v>4000</v>
      </c>
      <c r="AB41" s="247">
        <v>28</v>
      </c>
      <c r="AC41" s="5">
        <v>28</v>
      </c>
      <c r="AD41" s="5">
        <v>38</v>
      </c>
      <c r="AE41" s="5">
        <v>38</v>
      </c>
      <c r="AF41" s="5">
        <v>35</v>
      </c>
      <c r="AG41" s="5">
        <v>32</v>
      </c>
      <c r="AH41" s="5">
        <v>31</v>
      </c>
      <c r="AI41" s="5">
        <v>30</v>
      </c>
      <c r="AJ41" s="5">
        <v>28</v>
      </c>
      <c r="AK41" s="5">
        <v>27</v>
      </c>
      <c r="AL41" s="5">
        <v>24</v>
      </c>
      <c r="AM41" s="5">
        <v>20</v>
      </c>
      <c r="AN41" s="5">
        <v>16</v>
      </c>
      <c r="AO41" s="5">
        <v>12</v>
      </c>
      <c r="AP41" s="5">
        <v>9</v>
      </c>
      <c r="AQ41" s="12">
        <v>7</v>
      </c>
      <c r="AR41" s="21">
        <v>5</v>
      </c>
      <c r="AS41" s="22">
        <v>3</v>
      </c>
      <c r="AT41" s="23">
        <v>1</v>
      </c>
    </row>
    <row r="42" spans="26:67" s="4" customFormat="1" ht="16.5" customHeight="1" thickBot="1">
      <c r="Z42" s="266"/>
      <c r="AA42" s="243">
        <v>4500</v>
      </c>
      <c r="AB42" s="247">
        <v>33</v>
      </c>
      <c r="AC42" s="5">
        <v>33</v>
      </c>
      <c r="AD42" s="5">
        <v>38</v>
      </c>
      <c r="AE42" s="5">
        <v>38</v>
      </c>
      <c r="AF42" s="5">
        <v>35</v>
      </c>
      <c r="AG42" s="5">
        <v>32</v>
      </c>
      <c r="AH42" s="5">
        <v>31</v>
      </c>
      <c r="AI42" s="5">
        <v>30</v>
      </c>
      <c r="AJ42" s="5">
        <v>28</v>
      </c>
      <c r="AK42" s="5">
        <v>27</v>
      </c>
      <c r="AL42" s="5">
        <v>24</v>
      </c>
      <c r="AM42" s="5">
        <v>20</v>
      </c>
      <c r="AN42" s="5">
        <v>16</v>
      </c>
      <c r="AO42" s="5">
        <v>13</v>
      </c>
      <c r="AP42" s="5">
        <v>10</v>
      </c>
      <c r="AQ42" s="5">
        <v>8</v>
      </c>
      <c r="AR42" s="15">
        <v>6</v>
      </c>
      <c r="AS42" s="15">
        <v>3</v>
      </c>
      <c r="AT42" s="16">
        <v>2</v>
      </c>
      <c r="AW42" s="268" t="s">
        <v>6</v>
      </c>
      <c r="AX42" s="269"/>
      <c r="AY42" s="269"/>
      <c r="AZ42" s="269"/>
      <c r="BA42" s="269"/>
      <c r="BB42" s="269"/>
      <c r="BC42" s="269"/>
      <c r="BD42" s="269"/>
      <c r="BE42" s="269"/>
      <c r="BF42" s="269"/>
      <c r="BG42" s="269"/>
      <c r="BH42" s="269"/>
      <c r="BI42" s="269"/>
      <c r="BJ42" s="269"/>
      <c r="BK42" s="269"/>
      <c r="BL42" s="269"/>
      <c r="BM42" s="269"/>
      <c r="BN42" s="269"/>
      <c r="BO42" s="270"/>
    </row>
    <row r="43" spans="26:67" s="4" customFormat="1" ht="16.5" customHeight="1" thickBot="1">
      <c r="Z43" s="266"/>
      <c r="AA43" s="244">
        <v>5000</v>
      </c>
      <c r="AB43" s="247">
        <v>38</v>
      </c>
      <c r="AC43" s="5">
        <v>38</v>
      </c>
      <c r="AD43" s="5">
        <v>38</v>
      </c>
      <c r="AE43" s="5">
        <v>38</v>
      </c>
      <c r="AF43" s="5">
        <v>35</v>
      </c>
      <c r="AG43" s="5">
        <v>32</v>
      </c>
      <c r="AH43" s="5">
        <v>31</v>
      </c>
      <c r="AI43" s="5">
        <v>30</v>
      </c>
      <c r="AJ43" s="5">
        <v>28</v>
      </c>
      <c r="AK43" s="5">
        <v>27</v>
      </c>
      <c r="AL43" s="5">
        <v>24</v>
      </c>
      <c r="AM43" s="5">
        <v>20</v>
      </c>
      <c r="AN43" s="5">
        <v>16</v>
      </c>
      <c r="AO43" s="5">
        <v>13</v>
      </c>
      <c r="AP43" s="5">
        <v>11</v>
      </c>
      <c r="AQ43" s="5">
        <v>9</v>
      </c>
      <c r="AR43" s="5">
        <v>6</v>
      </c>
      <c r="AS43" s="5">
        <v>3</v>
      </c>
      <c r="AT43" s="6">
        <v>2</v>
      </c>
      <c r="AW43" s="235">
        <v>0</v>
      </c>
      <c r="AX43" s="236">
        <v>10</v>
      </c>
      <c r="AY43" s="236">
        <v>20</v>
      </c>
      <c r="AZ43" s="236">
        <v>30</v>
      </c>
      <c r="BA43" s="236">
        <v>40</v>
      </c>
      <c r="BB43" s="237">
        <v>50</v>
      </c>
      <c r="BC43" s="237">
        <v>60</v>
      </c>
      <c r="BD43" s="237">
        <v>70</v>
      </c>
      <c r="BE43" s="237">
        <v>80</v>
      </c>
      <c r="BF43" s="237">
        <v>90</v>
      </c>
      <c r="BG43" s="237">
        <v>100</v>
      </c>
      <c r="BH43" s="237">
        <v>120</v>
      </c>
      <c r="BI43" s="237">
        <v>140</v>
      </c>
      <c r="BJ43" s="238">
        <v>160</v>
      </c>
      <c r="BK43" s="238">
        <v>180</v>
      </c>
      <c r="BL43" s="238">
        <v>200</v>
      </c>
      <c r="BM43" s="238">
        <v>220</v>
      </c>
      <c r="BN43" s="238">
        <v>240</v>
      </c>
      <c r="BO43" s="239">
        <v>260</v>
      </c>
    </row>
    <row r="44" spans="26:67" s="4" customFormat="1" ht="16.5" customHeight="1">
      <c r="Z44" s="266"/>
      <c r="AA44" s="244">
        <v>5500</v>
      </c>
      <c r="AB44" s="247">
        <v>38</v>
      </c>
      <c r="AC44" s="5">
        <v>38</v>
      </c>
      <c r="AD44" s="5">
        <v>38</v>
      </c>
      <c r="AE44" s="5">
        <v>38</v>
      </c>
      <c r="AF44" s="5">
        <v>35</v>
      </c>
      <c r="AG44" s="5">
        <v>32</v>
      </c>
      <c r="AH44" s="5">
        <v>31</v>
      </c>
      <c r="AI44" s="5">
        <v>30</v>
      </c>
      <c r="AJ44" s="5">
        <v>29</v>
      </c>
      <c r="AK44" s="5">
        <v>27</v>
      </c>
      <c r="AL44" s="5">
        <v>25</v>
      </c>
      <c r="AM44" s="5">
        <v>21</v>
      </c>
      <c r="AN44" s="5">
        <v>17</v>
      </c>
      <c r="AO44" s="5">
        <v>14</v>
      </c>
      <c r="AP44" s="5">
        <v>12</v>
      </c>
      <c r="AQ44" s="5">
        <v>9</v>
      </c>
      <c r="AR44" s="5">
        <v>7</v>
      </c>
      <c r="AS44" s="5">
        <v>4</v>
      </c>
      <c r="AT44" s="6">
        <v>4</v>
      </c>
      <c r="AV44" s="235">
        <v>0</v>
      </c>
      <c r="AW44" s="246">
        <f>AB30-AB54</f>
        <v>0</v>
      </c>
      <c r="AX44" s="15">
        <f t="shared" ref="AX44:BO44" si="42">AC30-AC54</f>
        <v>0</v>
      </c>
      <c r="AY44" s="15">
        <f t="shared" si="42"/>
        <v>0</v>
      </c>
      <c r="AZ44" s="15">
        <f t="shared" si="42"/>
        <v>0</v>
      </c>
      <c r="BA44" s="15">
        <f t="shared" si="42"/>
        <v>0</v>
      </c>
      <c r="BB44" s="15">
        <f t="shared" si="42"/>
        <v>0</v>
      </c>
      <c r="BC44" s="15">
        <f t="shared" si="42"/>
        <v>0</v>
      </c>
      <c r="BD44" s="15">
        <f t="shared" si="42"/>
        <v>0</v>
      </c>
      <c r="BE44" s="15">
        <f t="shared" si="42"/>
        <v>0</v>
      </c>
      <c r="BF44" s="15">
        <f t="shared" si="42"/>
        <v>0</v>
      </c>
      <c r="BG44" s="15">
        <f t="shared" si="42"/>
        <v>0</v>
      </c>
      <c r="BH44" s="15">
        <f t="shared" si="42"/>
        <v>0</v>
      </c>
      <c r="BI44" s="15">
        <f t="shared" si="42"/>
        <v>0</v>
      </c>
      <c r="BJ44" s="15">
        <f t="shared" si="42"/>
        <v>0</v>
      </c>
      <c r="BK44" s="15">
        <f t="shared" si="42"/>
        <v>0</v>
      </c>
      <c r="BL44" s="15">
        <f t="shared" si="42"/>
        <v>0</v>
      </c>
      <c r="BM44" s="15">
        <f t="shared" si="42"/>
        <v>0</v>
      </c>
      <c r="BN44" s="15">
        <f t="shared" si="42"/>
        <v>0</v>
      </c>
      <c r="BO44" s="16">
        <f t="shared" si="42"/>
        <v>0</v>
      </c>
    </row>
    <row r="45" spans="26:67" s="4" customFormat="1" ht="16.5" customHeight="1">
      <c r="Z45" s="266"/>
      <c r="AA45" s="244">
        <v>6000</v>
      </c>
      <c r="AB45" s="247">
        <v>38</v>
      </c>
      <c r="AC45" s="5">
        <v>38</v>
      </c>
      <c r="AD45" s="5">
        <v>38</v>
      </c>
      <c r="AE45" s="5">
        <v>38</v>
      </c>
      <c r="AF45" s="5">
        <v>35</v>
      </c>
      <c r="AG45" s="5">
        <v>34</v>
      </c>
      <c r="AH45" s="5">
        <v>32</v>
      </c>
      <c r="AI45" s="5">
        <v>32</v>
      </c>
      <c r="AJ45" s="5">
        <v>30</v>
      </c>
      <c r="AK45" s="5">
        <v>29</v>
      </c>
      <c r="AL45" s="5">
        <v>26</v>
      </c>
      <c r="AM45" s="5">
        <v>23</v>
      </c>
      <c r="AN45" s="5">
        <v>19</v>
      </c>
      <c r="AO45" s="5">
        <v>16</v>
      </c>
      <c r="AP45" s="5">
        <v>13</v>
      </c>
      <c r="AQ45" s="5">
        <v>10</v>
      </c>
      <c r="AR45" s="5">
        <v>8</v>
      </c>
      <c r="AS45" s="5">
        <v>6</v>
      </c>
      <c r="AT45" s="6">
        <v>5</v>
      </c>
      <c r="AV45" s="242">
        <v>500</v>
      </c>
      <c r="AW45" s="247">
        <f t="shared" ref="AW45:AW63" si="43">AB31-AB55</f>
        <v>0</v>
      </c>
      <c r="AX45" s="5">
        <f t="shared" ref="AX45:AX63" si="44">AC31-AC55</f>
        <v>0</v>
      </c>
      <c r="AY45" s="5">
        <f t="shared" ref="AY45:AY63" si="45">AD31-AD55</f>
        <v>0</v>
      </c>
      <c r="AZ45" s="5">
        <f t="shared" ref="AZ45:AZ63" si="46">AE31-AE55</f>
        <v>0</v>
      </c>
      <c r="BA45" s="5">
        <f t="shared" ref="BA45:BA63" si="47">AF31-AF55</f>
        <v>0</v>
      </c>
      <c r="BB45" s="5">
        <f t="shared" ref="BB45:BB63" si="48">AG31-AG55</f>
        <v>0</v>
      </c>
      <c r="BC45" s="5">
        <f t="shared" ref="BC45:BC63" si="49">AH31-AH55</f>
        <v>0</v>
      </c>
      <c r="BD45" s="5">
        <f t="shared" ref="BD45:BD63" si="50">AI31-AI55</f>
        <v>0</v>
      </c>
      <c r="BE45" s="5">
        <f t="shared" ref="BE45:BE63" si="51">AJ31-AJ55</f>
        <v>0</v>
      </c>
      <c r="BF45" s="5">
        <f t="shared" ref="BF45:BF63" si="52">AK31-AK55</f>
        <v>0</v>
      </c>
      <c r="BG45" s="5">
        <f t="shared" ref="BG45:BG63" si="53">AL31-AL55</f>
        <v>0</v>
      </c>
      <c r="BH45" s="5">
        <f t="shared" ref="BH45:BH63" si="54">AM31-AM55</f>
        <v>0</v>
      </c>
      <c r="BI45" s="5">
        <f t="shared" ref="BI45:BI63" si="55">AN31-AN55</f>
        <v>0</v>
      </c>
      <c r="BJ45" s="5">
        <f t="shared" ref="BJ45:BJ63" si="56">AO31-AO55</f>
        <v>0</v>
      </c>
      <c r="BK45" s="5">
        <f t="shared" ref="BK45:BK63" si="57">AP31-AP55</f>
        <v>0</v>
      </c>
      <c r="BL45" s="5">
        <f t="shared" ref="BL45:BL63" si="58">AQ31-AQ55</f>
        <v>0</v>
      </c>
      <c r="BM45" s="5">
        <f t="shared" ref="BM45:BM63" si="59">AR31-AR55</f>
        <v>0</v>
      </c>
      <c r="BN45" s="5">
        <f t="shared" ref="BN45:BN63" si="60">AS31-AS55</f>
        <v>0</v>
      </c>
      <c r="BO45" s="6">
        <f t="shared" ref="BO45:BO63" si="61">AT31-AT55</f>
        <v>0</v>
      </c>
    </row>
    <row r="46" spans="26:67" s="4" customFormat="1" ht="16.5" customHeight="1">
      <c r="Z46" s="266"/>
      <c r="AA46" s="244">
        <v>6500</v>
      </c>
      <c r="AB46" s="247">
        <v>38</v>
      </c>
      <c r="AC46" s="5">
        <v>38</v>
      </c>
      <c r="AD46" s="5">
        <v>38</v>
      </c>
      <c r="AE46" s="5">
        <v>38</v>
      </c>
      <c r="AF46" s="5">
        <v>38</v>
      </c>
      <c r="AG46" s="5">
        <v>37</v>
      </c>
      <c r="AH46" s="5">
        <v>35</v>
      </c>
      <c r="AI46" s="5">
        <v>34</v>
      </c>
      <c r="AJ46" s="5">
        <v>33</v>
      </c>
      <c r="AK46" s="5">
        <v>32</v>
      </c>
      <c r="AL46" s="5">
        <v>30</v>
      </c>
      <c r="AM46" s="5">
        <v>26</v>
      </c>
      <c r="AN46" s="5">
        <v>23</v>
      </c>
      <c r="AO46" s="5">
        <v>19</v>
      </c>
      <c r="AP46" s="5">
        <v>15</v>
      </c>
      <c r="AQ46" s="5">
        <v>11</v>
      </c>
      <c r="AR46" s="5">
        <v>9</v>
      </c>
      <c r="AS46" s="5">
        <v>8</v>
      </c>
      <c r="AT46" s="6">
        <v>7</v>
      </c>
      <c r="AV46" s="242">
        <v>750</v>
      </c>
      <c r="AW46" s="247">
        <f t="shared" si="43"/>
        <v>0</v>
      </c>
      <c r="AX46" s="5">
        <f t="shared" si="44"/>
        <v>0</v>
      </c>
      <c r="AY46" s="5">
        <f t="shared" si="45"/>
        <v>0</v>
      </c>
      <c r="AZ46" s="5">
        <f t="shared" si="46"/>
        <v>0</v>
      </c>
      <c r="BA46" s="5">
        <f t="shared" si="47"/>
        <v>0</v>
      </c>
      <c r="BB46" s="5">
        <f t="shared" si="48"/>
        <v>0</v>
      </c>
      <c r="BC46" s="5">
        <f t="shared" si="49"/>
        <v>0</v>
      </c>
      <c r="BD46" s="5">
        <f t="shared" si="50"/>
        <v>0</v>
      </c>
      <c r="BE46" s="5">
        <f t="shared" si="51"/>
        <v>0</v>
      </c>
      <c r="BF46" s="5">
        <f t="shared" si="52"/>
        <v>1</v>
      </c>
      <c r="BG46" s="5">
        <f t="shared" si="53"/>
        <v>3</v>
      </c>
      <c r="BH46" s="5">
        <f t="shared" si="54"/>
        <v>2</v>
      </c>
      <c r="BI46" s="5">
        <f t="shared" si="55"/>
        <v>1</v>
      </c>
      <c r="BJ46" s="5">
        <f t="shared" si="56"/>
        <v>2</v>
      </c>
      <c r="BK46" s="5">
        <f t="shared" si="57"/>
        <v>1</v>
      </c>
      <c r="BL46" s="5">
        <f t="shared" si="58"/>
        <v>0</v>
      </c>
      <c r="BM46" s="5">
        <f t="shared" si="59"/>
        <v>0</v>
      </c>
      <c r="BN46" s="5">
        <f t="shared" si="60"/>
        <v>0</v>
      </c>
      <c r="BO46" s="6">
        <f t="shared" si="61"/>
        <v>0</v>
      </c>
    </row>
    <row r="47" spans="26:67" s="4" customFormat="1" ht="16.5" customHeight="1">
      <c r="Z47" s="266"/>
      <c r="AA47" s="244">
        <v>7000</v>
      </c>
      <c r="AB47" s="247">
        <v>38</v>
      </c>
      <c r="AC47" s="5">
        <v>38</v>
      </c>
      <c r="AD47" s="5">
        <v>38</v>
      </c>
      <c r="AE47" s="5">
        <v>38</v>
      </c>
      <c r="AF47" s="5">
        <v>38</v>
      </c>
      <c r="AG47" s="5">
        <v>37</v>
      </c>
      <c r="AH47" s="5">
        <v>36</v>
      </c>
      <c r="AI47" s="5">
        <v>35</v>
      </c>
      <c r="AJ47" s="5">
        <v>34</v>
      </c>
      <c r="AK47" s="5">
        <v>34</v>
      </c>
      <c r="AL47" s="5">
        <v>32</v>
      </c>
      <c r="AM47" s="5">
        <v>29</v>
      </c>
      <c r="AN47" s="5">
        <v>26</v>
      </c>
      <c r="AO47" s="5">
        <v>22</v>
      </c>
      <c r="AP47" s="5">
        <v>17</v>
      </c>
      <c r="AQ47" s="5">
        <v>12</v>
      </c>
      <c r="AR47" s="5">
        <v>10</v>
      </c>
      <c r="AS47" s="5">
        <v>9</v>
      </c>
      <c r="AT47" s="6">
        <v>9</v>
      </c>
      <c r="AV47" s="242">
        <v>1000</v>
      </c>
      <c r="AW47" s="247">
        <f t="shared" si="43"/>
        <v>0</v>
      </c>
      <c r="AX47" s="5">
        <f t="shared" si="44"/>
        <v>0</v>
      </c>
      <c r="AY47" s="5">
        <f t="shared" si="45"/>
        <v>0</v>
      </c>
      <c r="AZ47" s="5">
        <f t="shared" si="46"/>
        <v>0</v>
      </c>
      <c r="BA47" s="5">
        <f t="shared" si="47"/>
        <v>0</v>
      </c>
      <c r="BB47" s="5">
        <f t="shared" si="48"/>
        <v>0</v>
      </c>
      <c r="BC47" s="5">
        <f t="shared" si="49"/>
        <v>0</v>
      </c>
      <c r="BD47" s="5">
        <f t="shared" si="50"/>
        <v>0</v>
      </c>
      <c r="BE47" s="5">
        <f t="shared" si="51"/>
        <v>1</v>
      </c>
      <c r="BF47" s="5">
        <f t="shared" si="52"/>
        <v>0</v>
      </c>
      <c r="BG47" s="5">
        <f t="shared" si="53"/>
        <v>-2</v>
      </c>
      <c r="BH47" s="5">
        <f t="shared" si="54"/>
        <v>-2</v>
      </c>
      <c r="BI47" s="5">
        <f t="shared" si="55"/>
        <v>-2</v>
      </c>
      <c r="BJ47" s="5">
        <f t="shared" si="56"/>
        <v>-1</v>
      </c>
      <c r="BK47" s="5">
        <f t="shared" si="57"/>
        <v>0</v>
      </c>
      <c r="BL47" s="5">
        <f t="shared" si="58"/>
        <v>1</v>
      </c>
      <c r="BM47" s="5">
        <f t="shared" si="59"/>
        <v>0</v>
      </c>
      <c r="BN47" s="5">
        <f t="shared" si="60"/>
        <v>0</v>
      </c>
      <c r="BO47" s="6">
        <f t="shared" si="61"/>
        <v>0</v>
      </c>
    </row>
    <row r="48" spans="26:67" s="4" customFormat="1" ht="16.5" customHeight="1">
      <c r="Z48" s="266"/>
      <c r="AA48" s="244">
        <v>7500</v>
      </c>
      <c r="AB48" s="247">
        <v>38</v>
      </c>
      <c r="AC48" s="5">
        <v>38</v>
      </c>
      <c r="AD48" s="5">
        <v>38</v>
      </c>
      <c r="AE48" s="5">
        <v>38</v>
      </c>
      <c r="AF48" s="5">
        <v>38</v>
      </c>
      <c r="AG48" s="5">
        <v>37</v>
      </c>
      <c r="AH48" s="5">
        <v>36</v>
      </c>
      <c r="AI48" s="5">
        <v>35</v>
      </c>
      <c r="AJ48" s="5">
        <v>35</v>
      </c>
      <c r="AK48" s="5">
        <v>34</v>
      </c>
      <c r="AL48" s="5">
        <v>33</v>
      </c>
      <c r="AM48" s="5">
        <v>30</v>
      </c>
      <c r="AN48" s="5">
        <v>27</v>
      </c>
      <c r="AO48" s="5">
        <v>22</v>
      </c>
      <c r="AP48" s="5">
        <v>17</v>
      </c>
      <c r="AQ48" s="5">
        <v>13</v>
      </c>
      <c r="AR48" s="5">
        <v>11</v>
      </c>
      <c r="AS48" s="5">
        <v>10</v>
      </c>
      <c r="AT48" s="6">
        <v>10</v>
      </c>
      <c r="AV48" s="243">
        <v>1250</v>
      </c>
      <c r="AW48" s="247">
        <f t="shared" si="43"/>
        <v>0</v>
      </c>
      <c r="AX48" s="5">
        <f t="shared" si="44"/>
        <v>0</v>
      </c>
      <c r="AY48" s="5">
        <f t="shared" si="45"/>
        <v>0</v>
      </c>
      <c r="AZ48" s="5">
        <f t="shared" si="46"/>
        <v>0</v>
      </c>
      <c r="BA48" s="5">
        <f t="shared" si="47"/>
        <v>0</v>
      </c>
      <c r="BB48" s="5">
        <f t="shared" si="48"/>
        <v>0</v>
      </c>
      <c r="BC48" s="5">
        <f t="shared" si="49"/>
        <v>0</v>
      </c>
      <c r="BD48" s="5">
        <f t="shared" si="50"/>
        <v>0</v>
      </c>
      <c r="BE48" s="5">
        <f t="shared" si="51"/>
        <v>-1</v>
      </c>
      <c r="BF48" s="5">
        <f t="shared" si="52"/>
        <v>2</v>
      </c>
      <c r="BG48" s="5">
        <f t="shared" si="53"/>
        <v>0</v>
      </c>
      <c r="BH48" s="5">
        <f t="shared" si="54"/>
        <v>2</v>
      </c>
      <c r="BI48" s="5">
        <f t="shared" si="55"/>
        <v>1</v>
      </c>
      <c r="BJ48" s="5">
        <f t="shared" si="56"/>
        <v>1</v>
      </c>
      <c r="BK48" s="5">
        <f t="shared" si="57"/>
        <v>1</v>
      </c>
      <c r="BL48" s="5">
        <f t="shared" si="58"/>
        <v>1</v>
      </c>
      <c r="BM48" s="5">
        <f t="shared" si="59"/>
        <v>2</v>
      </c>
      <c r="BN48" s="5">
        <f t="shared" si="60"/>
        <v>1</v>
      </c>
      <c r="BO48" s="6">
        <f t="shared" si="61"/>
        <v>0</v>
      </c>
    </row>
    <row r="49" spans="26:68" s="4" customFormat="1" ht="16.5" customHeight="1" thickBot="1">
      <c r="Z49" s="267"/>
      <c r="AA49" s="245">
        <v>11000</v>
      </c>
      <c r="AB49" s="248">
        <v>38</v>
      </c>
      <c r="AC49" s="7">
        <v>38</v>
      </c>
      <c r="AD49" s="7">
        <v>38</v>
      </c>
      <c r="AE49" s="7">
        <v>38</v>
      </c>
      <c r="AF49" s="7">
        <v>38</v>
      </c>
      <c r="AG49" s="7">
        <v>37</v>
      </c>
      <c r="AH49" s="7">
        <v>36</v>
      </c>
      <c r="AI49" s="7">
        <v>35</v>
      </c>
      <c r="AJ49" s="7">
        <v>35</v>
      </c>
      <c r="AK49" s="7">
        <v>34</v>
      </c>
      <c r="AL49" s="7">
        <v>33</v>
      </c>
      <c r="AM49" s="7">
        <v>30</v>
      </c>
      <c r="AN49" s="7">
        <v>27</v>
      </c>
      <c r="AO49" s="7">
        <v>22</v>
      </c>
      <c r="AP49" s="7">
        <v>18</v>
      </c>
      <c r="AQ49" s="7">
        <v>14</v>
      </c>
      <c r="AR49" s="7">
        <v>12</v>
      </c>
      <c r="AS49" s="7">
        <v>10</v>
      </c>
      <c r="AT49" s="8">
        <v>10</v>
      </c>
      <c r="AV49" s="243">
        <v>1500</v>
      </c>
      <c r="AW49" s="247">
        <f t="shared" si="43"/>
        <v>0</v>
      </c>
      <c r="AX49" s="5">
        <f t="shared" si="44"/>
        <v>0</v>
      </c>
      <c r="AY49" s="5">
        <f t="shared" si="45"/>
        <v>0</v>
      </c>
      <c r="AZ49" s="5">
        <f t="shared" si="46"/>
        <v>0</v>
      </c>
      <c r="BA49" s="5">
        <f t="shared" si="47"/>
        <v>0</v>
      </c>
      <c r="BB49" s="5">
        <f t="shared" si="48"/>
        <v>0</v>
      </c>
      <c r="BC49" s="5">
        <f t="shared" si="49"/>
        <v>0</v>
      </c>
      <c r="BD49" s="5">
        <f t="shared" si="50"/>
        <v>0</v>
      </c>
      <c r="BE49" s="5">
        <f t="shared" si="51"/>
        <v>-1</v>
      </c>
      <c r="BF49" s="5">
        <f t="shared" si="52"/>
        <v>0</v>
      </c>
      <c r="BG49" s="5">
        <f t="shared" si="53"/>
        <v>-1</v>
      </c>
      <c r="BH49" s="5">
        <f t="shared" si="54"/>
        <v>-1</v>
      </c>
      <c r="BI49" s="5">
        <f t="shared" si="55"/>
        <v>-1</v>
      </c>
      <c r="BJ49" s="5">
        <f t="shared" si="56"/>
        <v>-1</v>
      </c>
      <c r="BK49" s="5">
        <f t="shared" si="57"/>
        <v>-1</v>
      </c>
      <c r="BL49" s="5">
        <f t="shared" si="58"/>
        <v>-1</v>
      </c>
      <c r="BM49" s="5">
        <f t="shared" si="59"/>
        <v>-1</v>
      </c>
      <c r="BN49" s="5">
        <f t="shared" si="60"/>
        <v>0</v>
      </c>
      <c r="BO49" s="6">
        <f t="shared" si="61"/>
        <v>1</v>
      </c>
      <c r="BP49" s="3"/>
    </row>
    <row r="50" spans="26:68" ht="16.5" customHeight="1" thickBot="1">
      <c r="AV50" s="243">
        <v>1750</v>
      </c>
      <c r="AW50" s="247">
        <f t="shared" si="43"/>
        <v>0</v>
      </c>
      <c r="AX50" s="5">
        <f t="shared" si="44"/>
        <v>0</v>
      </c>
      <c r="AY50" s="5">
        <f t="shared" si="45"/>
        <v>0</v>
      </c>
      <c r="AZ50" s="5">
        <f t="shared" si="46"/>
        <v>0</v>
      </c>
      <c r="BA50" s="5">
        <f t="shared" si="47"/>
        <v>0</v>
      </c>
      <c r="BB50" s="5">
        <f t="shared" si="48"/>
        <v>0</v>
      </c>
      <c r="BC50" s="5">
        <f t="shared" si="49"/>
        <v>0</v>
      </c>
      <c r="BD50" s="5">
        <f t="shared" si="50"/>
        <v>0</v>
      </c>
      <c r="BE50" s="5">
        <f t="shared" si="51"/>
        <v>0</v>
      </c>
      <c r="BF50" s="5">
        <f t="shared" si="52"/>
        <v>0</v>
      </c>
      <c r="BG50" s="5">
        <f t="shared" si="53"/>
        <v>0</v>
      </c>
      <c r="BH50" s="5">
        <f t="shared" si="54"/>
        <v>0</v>
      </c>
      <c r="BI50" s="5">
        <f t="shared" si="55"/>
        <v>0</v>
      </c>
      <c r="BJ50" s="5">
        <f t="shared" si="56"/>
        <v>0</v>
      </c>
      <c r="BK50" s="5">
        <f t="shared" si="57"/>
        <v>0</v>
      </c>
      <c r="BL50" s="5">
        <f t="shared" si="58"/>
        <v>0</v>
      </c>
      <c r="BM50" s="5">
        <f t="shared" si="59"/>
        <v>0</v>
      </c>
      <c r="BN50" s="5">
        <f t="shared" si="60"/>
        <v>0</v>
      </c>
      <c r="BO50" s="6">
        <f t="shared" si="61"/>
        <v>1</v>
      </c>
    </row>
    <row r="51" spans="26:68" ht="16.5" customHeight="1" thickBot="1">
      <c r="Z51" s="278">
        <v>3</v>
      </c>
      <c r="AA51" s="279"/>
      <c r="AB51" s="271" t="s">
        <v>45</v>
      </c>
      <c r="AC51" s="272"/>
      <c r="AD51" s="272"/>
      <c r="AE51" s="272"/>
      <c r="AF51" s="272"/>
      <c r="AG51" s="272"/>
      <c r="AH51" s="272"/>
      <c r="AI51" s="272"/>
      <c r="AJ51" s="272"/>
      <c r="AK51" s="272"/>
      <c r="AL51" s="272"/>
      <c r="AM51" s="272"/>
      <c r="AN51" s="272"/>
      <c r="AO51" s="272"/>
      <c r="AP51" s="272"/>
      <c r="AQ51" s="272"/>
      <c r="AR51" s="272"/>
      <c r="AS51" s="272"/>
      <c r="AT51" s="273"/>
      <c r="AV51" s="243">
        <v>2000</v>
      </c>
      <c r="AW51" s="247">
        <f t="shared" si="43"/>
        <v>0</v>
      </c>
      <c r="AX51" s="5">
        <f t="shared" si="44"/>
        <v>0</v>
      </c>
      <c r="AY51" s="5">
        <f t="shared" si="45"/>
        <v>0</v>
      </c>
      <c r="AZ51" s="5">
        <f t="shared" si="46"/>
        <v>0</v>
      </c>
      <c r="BA51" s="5">
        <f t="shared" si="47"/>
        <v>0</v>
      </c>
      <c r="BB51" s="5">
        <f t="shared" si="48"/>
        <v>0</v>
      </c>
      <c r="BC51" s="5">
        <f t="shared" si="49"/>
        <v>0</v>
      </c>
      <c r="BD51" s="5">
        <f t="shared" si="50"/>
        <v>0</v>
      </c>
      <c r="BE51" s="5">
        <f t="shared" si="51"/>
        <v>-1</v>
      </c>
      <c r="BF51" s="5">
        <f t="shared" si="52"/>
        <v>0</v>
      </c>
      <c r="BG51" s="5">
        <f t="shared" si="53"/>
        <v>-1</v>
      </c>
      <c r="BH51" s="5">
        <f t="shared" si="54"/>
        <v>1</v>
      </c>
      <c r="BI51" s="5">
        <f t="shared" si="55"/>
        <v>-1</v>
      </c>
      <c r="BJ51" s="5">
        <f t="shared" si="56"/>
        <v>-1</v>
      </c>
      <c r="BK51" s="5">
        <f t="shared" si="57"/>
        <v>-1</v>
      </c>
      <c r="BL51" s="5">
        <f t="shared" si="58"/>
        <v>-1</v>
      </c>
      <c r="BM51" s="5">
        <f t="shared" si="59"/>
        <v>-1</v>
      </c>
      <c r="BN51" s="5">
        <f t="shared" si="60"/>
        <v>0</v>
      </c>
      <c r="BO51" s="6">
        <f t="shared" si="61"/>
        <v>1</v>
      </c>
    </row>
    <row r="52" spans="26:68" ht="16.5" customHeight="1" thickBot="1">
      <c r="Z52" s="280"/>
      <c r="AA52" s="281"/>
      <c r="AB52" s="274" t="s">
        <v>0</v>
      </c>
      <c r="AC52" s="275"/>
      <c r="AD52" s="276"/>
      <c r="AE52" s="276"/>
      <c r="AF52" s="276"/>
      <c r="AG52" s="276"/>
      <c r="AH52" s="276"/>
      <c r="AI52" s="276"/>
      <c r="AJ52" s="276"/>
      <c r="AK52" s="276"/>
      <c r="AL52" s="276"/>
      <c r="AM52" s="276"/>
      <c r="AN52" s="276"/>
      <c r="AO52" s="276"/>
      <c r="AP52" s="276"/>
      <c r="AQ52" s="276"/>
      <c r="AR52" s="276"/>
      <c r="AS52" s="276"/>
      <c r="AT52" s="277"/>
      <c r="AV52" s="243">
        <v>2500</v>
      </c>
      <c r="AW52" s="247">
        <f t="shared" si="43"/>
        <v>0</v>
      </c>
      <c r="AX52" s="5">
        <f t="shared" si="44"/>
        <v>0</v>
      </c>
      <c r="AY52" s="5">
        <f t="shared" si="45"/>
        <v>0</v>
      </c>
      <c r="AZ52" s="5">
        <f t="shared" si="46"/>
        <v>0</v>
      </c>
      <c r="BA52" s="5">
        <f t="shared" si="47"/>
        <v>0</v>
      </c>
      <c r="BB52" s="5">
        <f t="shared" si="48"/>
        <v>0</v>
      </c>
      <c r="BC52" s="5">
        <f t="shared" si="49"/>
        <v>0</v>
      </c>
      <c r="BD52" s="5">
        <f t="shared" si="50"/>
        <v>0</v>
      </c>
      <c r="BE52" s="5">
        <f t="shared" si="51"/>
        <v>0</v>
      </c>
      <c r="BF52" s="5">
        <f t="shared" si="52"/>
        <v>2</v>
      </c>
      <c r="BG52" s="5">
        <f t="shared" si="53"/>
        <v>-1</v>
      </c>
      <c r="BH52" s="5">
        <f t="shared" si="54"/>
        <v>0</v>
      </c>
      <c r="BI52" s="5">
        <f t="shared" si="55"/>
        <v>1</v>
      </c>
      <c r="BJ52" s="5">
        <f t="shared" si="56"/>
        <v>0</v>
      </c>
      <c r="BK52" s="5">
        <f t="shared" si="57"/>
        <v>1</v>
      </c>
      <c r="BL52" s="5">
        <f t="shared" si="58"/>
        <v>1</v>
      </c>
      <c r="BM52" s="5">
        <f t="shared" si="59"/>
        <v>1</v>
      </c>
      <c r="BN52" s="5">
        <f t="shared" si="60"/>
        <v>1</v>
      </c>
      <c r="BO52" s="6">
        <f t="shared" si="61"/>
        <v>2</v>
      </c>
    </row>
    <row r="53" spans="26:68" ht="16.5" customHeight="1" thickBot="1">
      <c r="Z53" s="282"/>
      <c r="AA53" s="283"/>
      <c r="AB53" s="235">
        <v>0</v>
      </c>
      <c r="AC53" s="236">
        <v>10</v>
      </c>
      <c r="AD53" s="236">
        <v>20</v>
      </c>
      <c r="AE53" s="236">
        <v>30</v>
      </c>
      <c r="AF53" s="236">
        <v>40</v>
      </c>
      <c r="AG53" s="237">
        <v>50</v>
      </c>
      <c r="AH53" s="237">
        <v>60</v>
      </c>
      <c r="AI53" s="237">
        <v>70</v>
      </c>
      <c r="AJ53" s="237">
        <v>80</v>
      </c>
      <c r="AK53" s="237">
        <v>90</v>
      </c>
      <c r="AL53" s="237">
        <v>100</v>
      </c>
      <c r="AM53" s="237">
        <v>120</v>
      </c>
      <c r="AN53" s="237">
        <v>140</v>
      </c>
      <c r="AO53" s="238">
        <v>160</v>
      </c>
      <c r="AP53" s="238">
        <v>180</v>
      </c>
      <c r="AQ53" s="238">
        <v>200</v>
      </c>
      <c r="AR53" s="238">
        <v>220</v>
      </c>
      <c r="AS53" s="238">
        <v>240</v>
      </c>
      <c r="AT53" s="239">
        <v>260</v>
      </c>
      <c r="AV53" s="243">
        <v>3000</v>
      </c>
      <c r="AW53" s="247">
        <f t="shared" si="43"/>
        <v>0</v>
      </c>
      <c r="AX53" s="5">
        <f t="shared" si="44"/>
        <v>0</v>
      </c>
      <c r="AY53" s="5">
        <f t="shared" si="45"/>
        <v>0</v>
      </c>
      <c r="AZ53" s="5">
        <f t="shared" si="46"/>
        <v>0</v>
      </c>
      <c r="BA53" s="5">
        <f t="shared" si="47"/>
        <v>0</v>
      </c>
      <c r="BB53" s="5">
        <f t="shared" si="48"/>
        <v>0</v>
      </c>
      <c r="BC53" s="5">
        <f t="shared" si="49"/>
        <v>0</v>
      </c>
      <c r="BD53" s="5">
        <f t="shared" si="50"/>
        <v>0</v>
      </c>
      <c r="BE53" s="5">
        <f t="shared" si="51"/>
        <v>-1</v>
      </c>
      <c r="BF53" s="5">
        <f t="shared" si="52"/>
        <v>-1</v>
      </c>
      <c r="BG53" s="5">
        <f t="shared" si="53"/>
        <v>0</v>
      </c>
      <c r="BH53" s="5">
        <f t="shared" si="54"/>
        <v>-1</v>
      </c>
      <c r="BI53" s="5">
        <f t="shared" si="55"/>
        <v>1</v>
      </c>
      <c r="BJ53" s="5">
        <f t="shared" si="56"/>
        <v>1</v>
      </c>
      <c r="BK53" s="5">
        <f t="shared" si="57"/>
        <v>0</v>
      </c>
      <c r="BL53" s="5">
        <f t="shared" si="58"/>
        <v>-1</v>
      </c>
      <c r="BM53" s="5">
        <f t="shared" si="59"/>
        <v>0</v>
      </c>
      <c r="BN53" s="5">
        <f t="shared" si="60"/>
        <v>0</v>
      </c>
      <c r="BO53" s="6">
        <f t="shared" si="61"/>
        <v>2</v>
      </c>
    </row>
    <row r="54" spans="26:68" ht="16.5" customHeight="1">
      <c r="Z54" s="265" t="s">
        <v>1</v>
      </c>
      <c r="AA54" s="235">
        <v>0</v>
      </c>
      <c r="AB54" s="246">
        <v>5</v>
      </c>
      <c r="AC54" s="15">
        <v>5</v>
      </c>
      <c r="AD54" s="15">
        <v>5</v>
      </c>
      <c r="AE54" s="15">
        <v>5</v>
      </c>
      <c r="AF54" s="15">
        <v>5</v>
      </c>
      <c r="AG54" s="15">
        <v>11</v>
      </c>
      <c r="AH54" s="15">
        <v>15</v>
      </c>
      <c r="AI54" s="15">
        <v>6</v>
      </c>
      <c r="AJ54" s="15">
        <v>3</v>
      </c>
      <c r="AK54" s="15">
        <v>2</v>
      </c>
      <c r="AL54" s="15">
        <v>-1</v>
      </c>
      <c r="AM54" s="15">
        <v>-2</v>
      </c>
      <c r="AN54" s="15">
        <v>-5</v>
      </c>
      <c r="AO54" s="15">
        <v>-8</v>
      </c>
      <c r="AP54" s="15">
        <v>-10</v>
      </c>
      <c r="AQ54" s="15">
        <v>-10</v>
      </c>
      <c r="AR54" s="15">
        <v>-10</v>
      </c>
      <c r="AS54" s="15">
        <v>-10</v>
      </c>
      <c r="AT54" s="16">
        <v>-10</v>
      </c>
      <c r="AV54" s="243">
        <v>3500</v>
      </c>
      <c r="AW54" s="247">
        <f t="shared" si="43"/>
        <v>0</v>
      </c>
      <c r="AX54" s="5">
        <f t="shared" si="44"/>
        <v>0</v>
      </c>
      <c r="AY54" s="5">
        <f t="shared" si="45"/>
        <v>0</v>
      </c>
      <c r="AZ54" s="5">
        <f t="shared" si="46"/>
        <v>0</v>
      </c>
      <c r="BA54" s="5">
        <f t="shared" si="47"/>
        <v>0</v>
      </c>
      <c r="BB54" s="5">
        <f t="shared" si="48"/>
        <v>0</v>
      </c>
      <c r="BC54" s="5">
        <f t="shared" si="49"/>
        <v>0</v>
      </c>
      <c r="BD54" s="5">
        <f t="shared" si="50"/>
        <v>0</v>
      </c>
      <c r="BE54" s="5">
        <f t="shared" si="51"/>
        <v>0</v>
      </c>
      <c r="BF54" s="5">
        <f t="shared" si="52"/>
        <v>-1</v>
      </c>
      <c r="BG54" s="5">
        <f t="shared" si="53"/>
        <v>-1</v>
      </c>
      <c r="BH54" s="5">
        <f t="shared" si="54"/>
        <v>-1</v>
      </c>
      <c r="BI54" s="5">
        <f t="shared" si="55"/>
        <v>0</v>
      </c>
      <c r="BJ54" s="5">
        <f t="shared" si="56"/>
        <v>0</v>
      </c>
      <c r="BK54" s="5">
        <f t="shared" si="57"/>
        <v>0</v>
      </c>
      <c r="BL54" s="5">
        <f t="shared" si="58"/>
        <v>-1</v>
      </c>
      <c r="BM54" s="5">
        <f t="shared" si="59"/>
        <v>-1</v>
      </c>
      <c r="BN54" s="5">
        <f t="shared" si="60"/>
        <v>-1</v>
      </c>
      <c r="BO54" s="6">
        <f t="shared" si="61"/>
        <v>0</v>
      </c>
    </row>
    <row r="55" spans="26:68" ht="16.5" customHeight="1">
      <c r="Z55" s="266"/>
      <c r="AA55" s="242">
        <v>500</v>
      </c>
      <c r="AB55" s="247">
        <v>5</v>
      </c>
      <c r="AC55" s="5">
        <v>5</v>
      </c>
      <c r="AD55" s="5">
        <v>5</v>
      </c>
      <c r="AE55" s="5">
        <v>5</v>
      </c>
      <c r="AF55" s="5">
        <v>5</v>
      </c>
      <c r="AG55" s="5">
        <v>8</v>
      </c>
      <c r="AH55" s="5">
        <v>13</v>
      </c>
      <c r="AI55" s="5">
        <v>6</v>
      </c>
      <c r="AJ55" s="5">
        <v>3</v>
      </c>
      <c r="AK55" s="5">
        <v>2</v>
      </c>
      <c r="AL55" s="5">
        <v>-1</v>
      </c>
      <c r="AM55" s="5">
        <v>-2</v>
      </c>
      <c r="AN55" s="5">
        <v>-5</v>
      </c>
      <c r="AO55" s="5">
        <v>-8</v>
      </c>
      <c r="AP55" s="5">
        <v>-10</v>
      </c>
      <c r="AQ55" s="5">
        <v>-10</v>
      </c>
      <c r="AR55" s="5">
        <v>-10</v>
      </c>
      <c r="AS55" s="5">
        <v>-10</v>
      </c>
      <c r="AT55" s="6">
        <v>-10</v>
      </c>
      <c r="AV55" s="243">
        <v>4000</v>
      </c>
      <c r="AW55" s="247">
        <f t="shared" si="43"/>
        <v>0</v>
      </c>
      <c r="AX55" s="5">
        <f t="shared" si="44"/>
        <v>0</v>
      </c>
      <c r="AY55" s="5">
        <f t="shared" si="45"/>
        <v>0</v>
      </c>
      <c r="AZ55" s="5">
        <f t="shared" si="46"/>
        <v>0</v>
      </c>
      <c r="BA55" s="5">
        <f t="shared" si="47"/>
        <v>0</v>
      </c>
      <c r="BB55" s="5">
        <f t="shared" si="48"/>
        <v>0</v>
      </c>
      <c r="BC55" s="5">
        <f t="shared" si="49"/>
        <v>0</v>
      </c>
      <c r="BD55" s="5">
        <f t="shared" si="50"/>
        <v>0</v>
      </c>
      <c r="BE55" s="5">
        <f t="shared" si="51"/>
        <v>0</v>
      </c>
      <c r="BF55" s="5">
        <f t="shared" si="52"/>
        <v>0</v>
      </c>
      <c r="BG55" s="5">
        <f t="shared" si="53"/>
        <v>-1</v>
      </c>
      <c r="BH55" s="5">
        <f t="shared" si="54"/>
        <v>0</v>
      </c>
      <c r="BI55" s="5">
        <f t="shared" si="55"/>
        <v>1</v>
      </c>
      <c r="BJ55" s="5">
        <f t="shared" si="56"/>
        <v>0</v>
      </c>
      <c r="BK55" s="5">
        <f t="shared" si="57"/>
        <v>0</v>
      </c>
      <c r="BL55" s="5">
        <f t="shared" si="58"/>
        <v>-1</v>
      </c>
      <c r="BM55" s="5">
        <f t="shared" si="59"/>
        <v>-2</v>
      </c>
      <c r="BN55" s="5">
        <f t="shared" si="60"/>
        <v>0</v>
      </c>
      <c r="BO55" s="6">
        <f t="shared" si="61"/>
        <v>1</v>
      </c>
    </row>
    <row r="56" spans="26:68" ht="16.5" customHeight="1">
      <c r="Z56" s="266"/>
      <c r="AA56" s="242">
        <v>750</v>
      </c>
      <c r="AB56" s="247">
        <v>5</v>
      </c>
      <c r="AC56" s="5">
        <v>5</v>
      </c>
      <c r="AD56" s="5">
        <v>5</v>
      </c>
      <c r="AE56" s="5">
        <v>5</v>
      </c>
      <c r="AF56" s="5">
        <v>5</v>
      </c>
      <c r="AG56" s="5">
        <v>9</v>
      </c>
      <c r="AH56" s="5">
        <v>13</v>
      </c>
      <c r="AI56" s="5">
        <v>10</v>
      </c>
      <c r="AJ56" s="5">
        <v>6</v>
      </c>
      <c r="AK56" s="5">
        <v>2</v>
      </c>
      <c r="AL56" s="5">
        <v>-2</v>
      </c>
      <c r="AM56" s="5">
        <v>-3</v>
      </c>
      <c r="AN56" s="5">
        <v>-5</v>
      </c>
      <c r="AO56" s="5">
        <v>-8</v>
      </c>
      <c r="AP56" s="5">
        <v>-10</v>
      </c>
      <c r="AQ56" s="5">
        <v>-10</v>
      </c>
      <c r="AR56" s="5">
        <v>-10</v>
      </c>
      <c r="AS56" s="5">
        <v>-10</v>
      </c>
      <c r="AT56" s="6">
        <v>-10</v>
      </c>
      <c r="AV56" s="243">
        <v>4500</v>
      </c>
      <c r="AW56" s="247">
        <f t="shared" si="43"/>
        <v>0</v>
      </c>
      <c r="AX56" s="5">
        <f t="shared" si="44"/>
        <v>0</v>
      </c>
      <c r="AY56" s="5">
        <f t="shared" si="45"/>
        <v>0</v>
      </c>
      <c r="AZ56" s="5">
        <f t="shared" si="46"/>
        <v>0</v>
      </c>
      <c r="BA56" s="5">
        <f t="shared" si="47"/>
        <v>0</v>
      </c>
      <c r="BB56" s="5">
        <f t="shared" si="48"/>
        <v>0</v>
      </c>
      <c r="BC56" s="5">
        <f t="shared" si="49"/>
        <v>0</v>
      </c>
      <c r="BD56" s="5">
        <f t="shared" si="50"/>
        <v>0</v>
      </c>
      <c r="BE56" s="5">
        <f t="shared" si="51"/>
        <v>0</v>
      </c>
      <c r="BF56" s="5">
        <f t="shared" si="52"/>
        <v>0</v>
      </c>
      <c r="BG56" s="5">
        <f t="shared" si="53"/>
        <v>-1</v>
      </c>
      <c r="BH56" s="5">
        <f t="shared" si="54"/>
        <v>0</v>
      </c>
      <c r="BI56" s="5">
        <f t="shared" si="55"/>
        <v>0</v>
      </c>
      <c r="BJ56" s="5">
        <f t="shared" si="56"/>
        <v>0</v>
      </c>
      <c r="BK56" s="5">
        <f t="shared" si="57"/>
        <v>0</v>
      </c>
      <c r="BL56" s="5">
        <f t="shared" si="58"/>
        <v>0</v>
      </c>
      <c r="BM56" s="5">
        <f t="shared" si="59"/>
        <v>1</v>
      </c>
      <c r="BN56" s="5">
        <f t="shared" si="60"/>
        <v>1</v>
      </c>
      <c r="BO56" s="6">
        <f t="shared" si="61"/>
        <v>3</v>
      </c>
    </row>
    <row r="57" spans="26:68" ht="16.5" customHeight="1">
      <c r="Z57" s="266"/>
      <c r="AA57" s="242">
        <v>1000</v>
      </c>
      <c r="AB57" s="247">
        <v>5</v>
      </c>
      <c r="AC57" s="5">
        <v>5</v>
      </c>
      <c r="AD57" s="5">
        <v>5</v>
      </c>
      <c r="AE57" s="5">
        <v>5</v>
      </c>
      <c r="AF57" s="5">
        <v>9</v>
      </c>
      <c r="AG57" s="5">
        <v>13</v>
      </c>
      <c r="AH57" s="5">
        <v>18</v>
      </c>
      <c r="AI57" s="5">
        <v>10</v>
      </c>
      <c r="AJ57" s="5">
        <v>8</v>
      </c>
      <c r="AK57" s="5">
        <v>7</v>
      </c>
      <c r="AL57" s="5">
        <v>7</v>
      </c>
      <c r="AM57" s="5">
        <v>4</v>
      </c>
      <c r="AN57" s="5">
        <v>1</v>
      </c>
      <c r="AO57" s="5">
        <v>-3</v>
      </c>
      <c r="AP57" s="5">
        <v>-6</v>
      </c>
      <c r="AQ57" s="5">
        <v>-10</v>
      </c>
      <c r="AR57" s="5">
        <v>-10</v>
      </c>
      <c r="AS57" s="5">
        <v>-10</v>
      </c>
      <c r="AT57" s="6">
        <v>-10</v>
      </c>
      <c r="AV57" s="244">
        <v>5000</v>
      </c>
      <c r="AW57" s="247">
        <f t="shared" si="43"/>
        <v>0</v>
      </c>
      <c r="AX57" s="5">
        <f t="shared" si="44"/>
        <v>0</v>
      </c>
      <c r="AY57" s="5">
        <f t="shared" si="45"/>
        <v>0</v>
      </c>
      <c r="AZ57" s="5">
        <f t="shared" si="46"/>
        <v>0</v>
      </c>
      <c r="BA57" s="5">
        <f t="shared" si="47"/>
        <v>0</v>
      </c>
      <c r="BB57" s="5">
        <f t="shared" si="48"/>
        <v>0</v>
      </c>
      <c r="BC57" s="5">
        <f t="shared" si="49"/>
        <v>0</v>
      </c>
      <c r="BD57" s="5">
        <f t="shared" si="50"/>
        <v>0</v>
      </c>
      <c r="BE57" s="5">
        <f t="shared" si="51"/>
        <v>0</v>
      </c>
      <c r="BF57" s="5">
        <f t="shared" si="52"/>
        <v>0</v>
      </c>
      <c r="BG57" s="5">
        <f t="shared" si="53"/>
        <v>-1</v>
      </c>
      <c r="BH57" s="5">
        <f t="shared" si="54"/>
        <v>0</v>
      </c>
      <c r="BI57" s="5">
        <f t="shared" si="55"/>
        <v>0</v>
      </c>
      <c r="BJ57" s="5">
        <f t="shared" si="56"/>
        <v>1</v>
      </c>
      <c r="BK57" s="5">
        <f t="shared" si="57"/>
        <v>1</v>
      </c>
      <c r="BL57" s="5">
        <f t="shared" si="58"/>
        <v>-1</v>
      </c>
      <c r="BM57" s="5">
        <f t="shared" si="59"/>
        <v>-1</v>
      </c>
      <c r="BN57" s="5">
        <f t="shared" si="60"/>
        <v>-1</v>
      </c>
      <c r="BO57" s="6">
        <f t="shared" si="61"/>
        <v>1</v>
      </c>
    </row>
    <row r="58" spans="26:68" ht="16.5" customHeight="1">
      <c r="Z58" s="266"/>
      <c r="AA58" s="243">
        <v>1250</v>
      </c>
      <c r="AB58" s="247">
        <v>8</v>
      </c>
      <c r="AC58" s="5">
        <v>8</v>
      </c>
      <c r="AD58" s="5">
        <v>12</v>
      </c>
      <c r="AE58" s="5">
        <v>12</v>
      </c>
      <c r="AF58" s="5">
        <v>16</v>
      </c>
      <c r="AG58" s="5">
        <v>20</v>
      </c>
      <c r="AH58" s="5">
        <v>20</v>
      </c>
      <c r="AI58" s="5">
        <v>17</v>
      </c>
      <c r="AJ58" s="5">
        <v>15</v>
      </c>
      <c r="AK58" s="5">
        <v>9</v>
      </c>
      <c r="AL58" s="5">
        <v>8</v>
      </c>
      <c r="AM58" s="5">
        <v>4</v>
      </c>
      <c r="AN58" s="5">
        <v>2</v>
      </c>
      <c r="AO58" s="5">
        <v>-1</v>
      </c>
      <c r="AP58" s="5">
        <v>-4</v>
      </c>
      <c r="AQ58" s="5">
        <v>-7</v>
      </c>
      <c r="AR58" s="5">
        <v>-10</v>
      </c>
      <c r="AS58" s="5">
        <v>-10</v>
      </c>
      <c r="AT58" s="6">
        <v>-10</v>
      </c>
      <c r="AV58" s="244">
        <v>5500</v>
      </c>
      <c r="AW58" s="247">
        <f t="shared" si="43"/>
        <v>0</v>
      </c>
      <c r="AX58" s="5">
        <f t="shared" si="44"/>
        <v>0</v>
      </c>
      <c r="AY58" s="5">
        <f t="shared" si="45"/>
        <v>0</v>
      </c>
      <c r="AZ58" s="5">
        <f t="shared" si="46"/>
        <v>0</v>
      </c>
      <c r="BA58" s="5">
        <f t="shared" si="47"/>
        <v>0</v>
      </c>
      <c r="BB58" s="5">
        <f t="shared" si="48"/>
        <v>0</v>
      </c>
      <c r="BC58" s="5">
        <f t="shared" si="49"/>
        <v>0</v>
      </c>
      <c r="BD58" s="5">
        <f t="shared" si="50"/>
        <v>0</v>
      </c>
      <c r="BE58" s="5">
        <f t="shared" si="51"/>
        <v>1</v>
      </c>
      <c r="BF58" s="5">
        <f t="shared" si="52"/>
        <v>0</v>
      </c>
      <c r="BG58" s="5">
        <f t="shared" si="53"/>
        <v>0</v>
      </c>
      <c r="BH58" s="5">
        <f t="shared" si="54"/>
        <v>1</v>
      </c>
      <c r="BI58" s="5">
        <f t="shared" si="55"/>
        <v>2</v>
      </c>
      <c r="BJ58" s="5">
        <f t="shared" si="56"/>
        <v>1</v>
      </c>
      <c r="BK58" s="5">
        <f t="shared" si="57"/>
        <v>1</v>
      </c>
      <c r="BL58" s="5">
        <f t="shared" si="58"/>
        <v>0</v>
      </c>
      <c r="BM58" s="5">
        <f t="shared" si="59"/>
        <v>1</v>
      </c>
      <c r="BN58" s="5">
        <f t="shared" si="60"/>
        <v>1</v>
      </c>
      <c r="BO58" s="6">
        <f t="shared" si="61"/>
        <v>4</v>
      </c>
    </row>
    <row r="59" spans="26:68" ht="16.5" customHeight="1">
      <c r="Z59" s="266"/>
      <c r="AA59" s="243">
        <v>1500</v>
      </c>
      <c r="AB59" s="247">
        <v>13</v>
      </c>
      <c r="AC59" s="5">
        <v>13</v>
      </c>
      <c r="AD59" s="5">
        <v>19</v>
      </c>
      <c r="AE59" s="5">
        <v>19</v>
      </c>
      <c r="AF59" s="5">
        <v>26</v>
      </c>
      <c r="AG59" s="5">
        <v>24</v>
      </c>
      <c r="AH59" s="5">
        <v>23</v>
      </c>
      <c r="AI59" s="5">
        <v>21</v>
      </c>
      <c r="AJ59" s="5">
        <v>19</v>
      </c>
      <c r="AK59" s="5">
        <v>14</v>
      </c>
      <c r="AL59" s="5">
        <v>12</v>
      </c>
      <c r="AM59" s="5">
        <v>10</v>
      </c>
      <c r="AN59" s="5">
        <v>7</v>
      </c>
      <c r="AO59" s="5">
        <v>4</v>
      </c>
      <c r="AP59" s="5">
        <v>1</v>
      </c>
      <c r="AQ59" s="5">
        <v>-2</v>
      </c>
      <c r="AR59" s="5">
        <v>-5</v>
      </c>
      <c r="AS59" s="5">
        <v>-8</v>
      </c>
      <c r="AT59" s="6">
        <v>-10</v>
      </c>
      <c r="AV59" s="244">
        <v>6000</v>
      </c>
      <c r="AW59" s="247">
        <f t="shared" si="43"/>
        <v>0</v>
      </c>
      <c r="AX59" s="5">
        <f t="shared" si="44"/>
        <v>0</v>
      </c>
      <c r="AY59" s="5">
        <f t="shared" si="45"/>
        <v>0</v>
      </c>
      <c r="AZ59" s="5">
        <f t="shared" si="46"/>
        <v>0</v>
      </c>
      <c r="BA59" s="5">
        <f t="shared" si="47"/>
        <v>0</v>
      </c>
      <c r="BB59" s="5">
        <f t="shared" si="48"/>
        <v>0</v>
      </c>
      <c r="BC59" s="5">
        <f t="shared" si="49"/>
        <v>0</v>
      </c>
      <c r="BD59" s="5">
        <f t="shared" si="50"/>
        <v>1</v>
      </c>
      <c r="BE59" s="5">
        <f t="shared" si="51"/>
        <v>0</v>
      </c>
      <c r="BF59" s="5">
        <f t="shared" si="52"/>
        <v>1</v>
      </c>
      <c r="BG59" s="5">
        <f t="shared" si="53"/>
        <v>0</v>
      </c>
      <c r="BH59" s="5">
        <f t="shared" si="54"/>
        <v>0</v>
      </c>
      <c r="BI59" s="5">
        <f t="shared" si="55"/>
        <v>1</v>
      </c>
      <c r="BJ59" s="5">
        <f t="shared" si="56"/>
        <v>0</v>
      </c>
      <c r="BK59" s="5">
        <f t="shared" si="57"/>
        <v>-1</v>
      </c>
      <c r="BL59" s="5">
        <f t="shared" si="58"/>
        <v>-3</v>
      </c>
      <c r="BM59" s="5">
        <f t="shared" si="59"/>
        <v>-2</v>
      </c>
      <c r="BN59" s="5">
        <f t="shared" si="60"/>
        <v>-1</v>
      </c>
      <c r="BO59" s="6">
        <f t="shared" si="61"/>
        <v>1</v>
      </c>
    </row>
    <row r="60" spans="26:68" ht="16.5" customHeight="1">
      <c r="Z60" s="266"/>
      <c r="AA60" s="243">
        <v>1750</v>
      </c>
      <c r="AB60" s="247">
        <v>18</v>
      </c>
      <c r="AC60" s="5">
        <v>18</v>
      </c>
      <c r="AD60" s="5">
        <v>25</v>
      </c>
      <c r="AE60" s="5">
        <v>25</v>
      </c>
      <c r="AF60" s="5">
        <v>27</v>
      </c>
      <c r="AG60" s="5">
        <v>25</v>
      </c>
      <c r="AH60" s="5">
        <v>24</v>
      </c>
      <c r="AI60" s="5">
        <v>23</v>
      </c>
      <c r="AJ60" s="5">
        <v>21</v>
      </c>
      <c r="AK60" s="5">
        <v>17</v>
      </c>
      <c r="AL60" s="5">
        <v>14</v>
      </c>
      <c r="AM60" s="5">
        <v>11</v>
      </c>
      <c r="AN60" s="5">
        <v>8</v>
      </c>
      <c r="AO60" s="5">
        <v>5</v>
      </c>
      <c r="AP60" s="5">
        <v>2</v>
      </c>
      <c r="AQ60" s="5">
        <v>-1</v>
      </c>
      <c r="AR60" s="5">
        <v>-4</v>
      </c>
      <c r="AS60" s="5">
        <v>-7</v>
      </c>
      <c r="AT60" s="6">
        <v>-9</v>
      </c>
      <c r="AV60" s="244">
        <v>6500</v>
      </c>
      <c r="AW60" s="247">
        <f t="shared" si="43"/>
        <v>0</v>
      </c>
      <c r="AX60" s="5">
        <f t="shared" si="44"/>
        <v>0</v>
      </c>
      <c r="AY60" s="5">
        <f t="shared" si="45"/>
        <v>0</v>
      </c>
      <c r="AZ60" s="5">
        <f t="shared" si="46"/>
        <v>0</v>
      </c>
      <c r="BA60" s="5">
        <f t="shared" si="47"/>
        <v>0</v>
      </c>
      <c r="BB60" s="5">
        <f t="shared" si="48"/>
        <v>0</v>
      </c>
      <c r="BC60" s="5">
        <f t="shared" si="49"/>
        <v>0</v>
      </c>
      <c r="BD60" s="5">
        <f t="shared" si="50"/>
        <v>0</v>
      </c>
      <c r="BE60" s="5">
        <f t="shared" si="51"/>
        <v>-1</v>
      </c>
      <c r="BF60" s="5">
        <f t="shared" si="52"/>
        <v>0</v>
      </c>
      <c r="BG60" s="5">
        <f t="shared" si="53"/>
        <v>0</v>
      </c>
      <c r="BH60" s="5">
        <f t="shared" si="54"/>
        <v>-1</v>
      </c>
      <c r="BI60" s="5">
        <f t="shared" si="55"/>
        <v>1</v>
      </c>
      <c r="BJ60" s="5">
        <f t="shared" si="56"/>
        <v>-1</v>
      </c>
      <c r="BK60" s="5">
        <f t="shared" si="57"/>
        <v>-3</v>
      </c>
      <c r="BL60" s="5">
        <f t="shared" si="58"/>
        <v>-4</v>
      </c>
      <c r="BM60" s="5">
        <f t="shared" si="59"/>
        <v>-3</v>
      </c>
      <c r="BN60" s="5">
        <f t="shared" si="60"/>
        <v>-1</v>
      </c>
      <c r="BO60" s="6">
        <f t="shared" si="61"/>
        <v>1</v>
      </c>
    </row>
    <row r="61" spans="26:68" ht="16.5" customHeight="1">
      <c r="Z61" s="266"/>
      <c r="AA61" s="243">
        <v>2000</v>
      </c>
      <c r="AB61" s="247">
        <v>24</v>
      </c>
      <c r="AC61" s="5">
        <v>24</v>
      </c>
      <c r="AD61" s="5">
        <v>32</v>
      </c>
      <c r="AE61" s="5">
        <v>32</v>
      </c>
      <c r="AF61" s="5">
        <v>29</v>
      </c>
      <c r="AG61" s="5">
        <v>26</v>
      </c>
      <c r="AH61" s="5">
        <v>26</v>
      </c>
      <c r="AI61" s="5">
        <v>25</v>
      </c>
      <c r="AJ61" s="5">
        <v>24</v>
      </c>
      <c r="AK61" s="5">
        <v>20</v>
      </c>
      <c r="AL61" s="5">
        <v>17</v>
      </c>
      <c r="AM61" s="5">
        <v>12</v>
      </c>
      <c r="AN61" s="5">
        <v>10</v>
      </c>
      <c r="AO61" s="5">
        <v>7</v>
      </c>
      <c r="AP61" s="5">
        <v>4</v>
      </c>
      <c r="AQ61" s="5">
        <v>1</v>
      </c>
      <c r="AR61" s="5">
        <v>-2</v>
      </c>
      <c r="AS61" s="5">
        <v>-5</v>
      </c>
      <c r="AT61" s="6">
        <v>-8</v>
      </c>
      <c r="AV61" s="244">
        <v>7000</v>
      </c>
      <c r="AW61" s="247">
        <f t="shared" si="43"/>
        <v>0</v>
      </c>
      <c r="AX61" s="5">
        <f t="shared" si="44"/>
        <v>0</v>
      </c>
      <c r="AY61" s="5">
        <f t="shared" si="45"/>
        <v>0</v>
      </c>
      <c r="AZ61" s="5">
        <f t="shared" si="46"/>
        <v>0</v>
      </c>
      <c r="BA61" s="5">
        <f t="shared" si="47"/>
        <v>0</v>
      </c>
      <c r="BB61" s="5">
        <f t="shared" si="48"/>
        <v>0</v>
      </c>
      <c r="BC61" s="5">
        <f t="shared" si="49"/>
        <v>0</v>
      </c>
      <c r="BD61" s="5">
        <f t="shared" si="50"/>
        <v>0</v>
      </c>
      <c r="BE61" s="5">
        <f t="shared" si="51"/>
        <v>-1</v>
      </c>
      <c r="BF61" s="5">
        <f t="shared" si="52"/>
        <v>0</v>
      </c>
      <c r="BG61" s="5">
        <f t="shared" si="53"/>
        <v>-2</v>
      </c>
      <c r="BH61" s="5">
        <f t="shared" si="54"/>
        <v>-2</v>
      </c>
      <c r="BI61" s="5">
        <f t="shared" si="55"/>
        <v>0</v>
      </c>
      <c r="BJ61" s="5">
        <f t="shared" si="56"/>
        <v>-2</v>
      </c>
      <c r="BK61" s="5">
        <f t="shared" si="57"/>
        <v>-4</v>
      </c>
      <c r="BL61" s="5">
        <f t="shared" si="58"/>
        <v>-6</v>
      </c>
      <c r="BM61" s="5">
        <f t="shared" si="59"/>
        <v>-5</v>
      </c>
      <c r="BN61" s="5">
        <f t="shared" si="60"/>
        <v>-3</v>
      </c>
      <c r="BO61" s="6">
        <f t="shared" si="61"/>
        <v>0</v>
      </c>
    </row>
    <row r="62" spans="26:68" ht="16.5" customHeight="1" thickBot="1">
      <c r="Z62" s="266"/>
      <c r="AA62" s="243">
        <v>2500</v>
      </c>
      <c r="AB62" s="247">
        <v>24</v>
      </c>
      <c r="AC62" s="5">
        <v>24</v>
      </c>
      <c r="AD62" s="5">
        <v>34</v>
      </c>
      <c r="AE62" s="5">
        <v>34</v>
      </c>
      <c r="AF62" s="5">
        <v>32</v>
      </c>
      <c r="AG62" s="5">
        <v>30</v>
      </c>
      <c r="AH62" s="5">
        <v>29</v>
      </c>
      <c r="AI62" s="5">
        <v>27</v>
      </c>
      <c r="AJ62" s="5">
        <v>25</v>
      </c>
      <c r="AK62" s="5">
        <v>20</v>
      </c>
      <c r="AL62" s="5">
        <v>20</v>
      </c>
      <c r="AM62" s="5">
        <v>15</v>
      </c>
      <c r="AN62" s="5">
        <v>9</v>
      </c>
      <c r="AO62" s="5">
        <v>7</v>
      </c>
      <c r="AP62" s="5">
        <v>4</v>
      </c>
      <c r="AQ62" s="5">
        <v>1</v>
      </c>
      <c r="AR62" s="13">
        <v>-2</v>
      </c>
      <c r="AS62" s="13">
        <v>-5</v>
      </c>
      <c r="AT62" s="14">
        <v>-8</v>
      </c>
      <c r="AV62" s="244">
        <v>7500</v>
      </c>
      <c r="AW62" s="247">
        <f t="shared" si="43"/>
        <v>0</v>
      </c>
      <c r="AX62" s="5">
        <f t="shared" si="44"/>
        <v>0</v>
      </c>
      <c r="AY62" s="5">
        <f t="shared" si="45"/>
        <v>0</v>
      </c>
      <c r="AZ62" s="5">
        <f t="shared" si="46"/>
        <v>0</v>
      </c>
      <c r="BA62" s="5">
        <f t="shared" si="47"/>
        <v>0</v>
      </c>
      <c r="BB62" s="5">
        <f t="shared" si="48"/>
        <v>0</v>
      </c>
      <c r="BC62" s="5">
        <f t="shared" si="49"/>
        <v>0</v>
      </c>
      <c r="BD62" s="5">
        <f t="shared" si="50"/>
        <v>0</v>
      </c>
      <c r="BE62" s="5">
        <f t="shared" si="51"/>
        <v>0</v>
      </c>
      <c r="BF62" s="5">
        <f t="shared" si="52"/>
        <v>0</v>
      </c>
      <c r="BG62" s="5">
        <f t="shared" si="53"/>
        <v>-1</v>
      </c>
      <c r="BH62" s="5">
        <f t="shared" si="54"/>
        <v>-1</v>
      </c>
      <c r="BI62" s="5">
        <f t="shared" si="55"/>
        <v>1</v>
      </c>
      <c r="BJ62" s="5">
        <f t="shared" si="56"/>
        <v>-2</v>
      </c>
      <c r="BK62" s="5">
        <f t="shared" si="57"/>
        <v>-4</v>
      </c>
      <c r="BL62" s="5">
        <f t="shared" si="58"/>
        <v>-5</v>
      </c>
      <c r="BM62" s="5">
        <f t="shared" si="59"/>
        <v>-4</v>
      </c>
      <c r="BN62" s="5">
        <f t="shared" si="60"/>
        <v>-2</v>
      </c>
      <c r="BO62" s="6">
        <f t="shared" si="61"/>
        <v>1</v>
      </c>
    </row>
    <row r="63" spans="26:68" ht="16.5" customHeight="1" thickBot="1">
      <c r="Z63" s="266"/>
      <c r="AA63" s="243">
        <v>3000</v>
      </c>
      <c r="AB63" s="247">
        <v>28</v>
      </c>
      <c r="AC63" s="5">
        <v>28</v>
      </c>
      <c r="AD63" s="5">
        <v>38</v>
      </c>
      <c r="AE63" s="5">
        <v>38</v>
      </c>
      <c r="AF63" s="5">
        <v>35</v>
      </c>
      <c r="AG63" s="5">
        <v>32</v>
      </c>
      <c r="AH63" s="5">
        <v>30</v>
      </c>
      <c r="AI63" s="5">
        <v>29</v>
      </c>
      <c r="AJ63" s="5">
        <v>28</v>
      </c>
      <c r="AK63" s="5">
        <v>26</v>
      </c>
      <c r="AL63" s="5">
        <v>22</v>
      </c>
      <c r="AM63" s="5">
        <v>18</v>
      </c>
      <c r="AN63" s="5">
        <v>12</v>
      </c>
      <c r="AO63" s="5">
        <v>7</v>
      </c>
      <c r="AP63" s="5">
        <v>6</v>
      </c>
      <c r="AQ63" s="12">
        <v>5</v>
      </c>
      <c r="AR63" s="17">
        <v>1</v>
      </c>
      <c r="AS63" s="18">
        <v>-2</v>
      </c>
      <c r="AT63" s="19">
        <v>-5</v>
      </c>
      <c r="AV63" s="245">
        <v>11000</v>
      </c>
      <c r="AW63" s="248">
        <f t="shared" si="43"/>
        <v>0</v>
      </c>
      <c r="AX63" s="7">
        <f t="shared" si="44"/>
        <v>0</v>
      </c>
      <c r="AY63" s="7">
        <f t="shared" si="45"/>
        <v>0</v>
      </c>
      <c r="AZ63" s="7">
        <f t="shared" si="46"/>
        <v>0</v>
      </c>
      <c r="BA63" s="7">
        <f t="shared" si="47"/>
        <v>0</v>
      </c>
      <c r="BB63" s="7">
        <f t="shared" si="48"/>
        <v>0</v>
      </c>
      <c r="BC63" s="7">
        <f t="shared" si="49"/>
        <v>0</v>
      </c>
      <c r="BD63" s="7">
        <f t="shared" si="50"/>
        <v>0</v>
      </c>
      <c r="BE63" s="7">
        <f t="shared" si="51"/>
        <v>0</v>
      </c>
      <c r="BF63" s="7">
        <f t="shared" si="52"/>
        <v>0</v>
      </c>
      <c r="BG63" s="7">
        <f t="shared" si="53"/>
        <v>-1</v>
      </c>
      <c r="BH63" s="7">
        <f t="shared" si="54"/>
        <v>-1</v>
      </c>
      <c r="BI63" s="7">
        <f t="shared" si="55"/>
        <v>1</v>
      </c>
      <c r="BJ63" s="7">
        <f t="shared" si="56"/>
        <v>-2</v>
      </c>
      <c r="BK63" s="7">
        <f t="shared" si="57"/>
        <v>-3</v>
      </c>
      <c r="BL63" s="7">
        <f t="shared" si="58"/>
        <v>-4</v>
      </c>
      <c r="BM63" s="7">
        <f t="shared" si="59"/>
        <v>-3</v>
      </c>
      <c r="BN63" s="7">
        <f t="shared" si="60"/>
        <v>-2</v>
      </c>
      <c r="BO63" s="8">
        <f t="shared" si="61"/>
        <v>1</v>
      </c>
    </row>
    <row r="64" spans="26:68" ht="16.5" customHeight="1">
      <c r="Z64" s="266"/>
      <c r="AA64" s="243">
        <v>3500</v>
      </c>
      <c r="AB64" s="247">
        <v>28</v>
      </c>
      <c r="AC64" s="5">
        <v>28</v>
      </c>
      <c r="AD64" s="5">
        <v>38</v>
      </c>
      <c r="AE64" s="5">
        <v>38</v>
      </c>
      <c r="AF64" s="5">
        <v>35</v>
      </c>
      <c r="AG64" s="5">
        <v>32</v>
      </c>
      <c r="AH64" s="5">
        <v>31</v>
      </c>
      <c r="AI64" s="5">
        <v>30</v>
      </c>
      <c r="AJ64" s="5">
        <v>28</v>
      </c>
      <c r="AK64" s="5">
        <v>27</v>
      </c>
      <c r="AL64" s="5">
        <v>25</v>
      </c>
      <c r="AM64" s="5">
        <v>20</v>
      </c>
      <c r="AN64" s="5">
        <v>15</v>
      </c>
      <c r="AO64" s="5">
        <v>11</v>
      </c>
      <c r="AP64" s="5">
        <v>8</v>
      </c>
      <c r="AQ64" s="12">
        <v>7</v>
      </c>
      <c r="AR64" s="20">
        <v>5</v>
      </c>
      <c r="AS64" s="10">
        <v>2</v>
      </c>
      <c r="AT64" s="11">
        <v>-1</v>
      </c>
    </row>
    <row r="65" spans="26:46" ht="16.5" customHeight="1" thickBot="1">
      <c r="Z65" s="266"/>
      <c r="AA65" s="243">
        <v>4000</v>
      </c>
      <c r="AB65" s="247">
        <v>28</v>
      </c>
      <c r="AC65" s="5">
        <v>28</v>
      </c>
      <c r="AD65" s="5">
        <v>38</v>
      </c>
      <c r="AE65" s="5">
        <v>38</v>
      </c>
      <c r="AF65" s="5">
        <v>35</v>
      </c>
      <c r="AG65" s="5">
        <v>32</v>
      </c>
      <c r="AH65" s="5">
        <v>31</v>
      </c>
      <c r="AI65" s="5">
        <v>30</v>
      </c>
      <c r="AJ65" s="5">
        <v>28</v>
      </c>
      <c r="AK65" s="5">
        <v>27</v>
      </c>
      <c r="AL65" s="5">
        <v>25</v>
      </c>
      <c r="AM65" s="5">
        <v>20</v>
      </c>
      <c r="AN65" s="5">
        <v>15</v>
      </c>
      <c r="AO65" s="5">
        <v>12</v>
      </c>
      <c r="AP65" s="5">
        <v>9</v>
      </c>
      <c r="AQ65" s="12">
        <v>8</v>
      </c>
      <c r="AR65" s="21">
        <v>7</v>
      </c>
      <c r="AS65" s="22">
        <v>3</v>
      </c>
      <c r="AT65" s="23">
        <v>0</v>
      </c>
    </row>
    <row r="66" spans="26:46" ht="16.5" customHeight="1">
      <c r="Z66" s="266"/>
      <c r="AA66" s="243">
        <v>4500</v>
      </c>
      <c r="AB66" s="247">
        <v>33</v>
      </c>
      <c r="AC66" s="5">
        <v>33</v>
      </c>
      <c r="AD66" s="5">
        <v>38</v>
      </c>
      <c r="AE66" s="5">
        <v>38</v>
      </c>
      <c r="AF66" s="5">
        <v>35</v>
      </c>
      <c r="AG66" s="5">
        <v>32</v>
      </c>
      <c r="AH66" s="5">
        <v>31</v>
      </c>
      <c r="AI66" s="5">
        <v>30</v>
      </c>
      <c r="AJ66" s="5">
        <v>28</v>
      </c>
      <c r="AK66" s="5">
        <v>27</v>
      </c>
      <c r="AL66" s="5">
        <v>25</v>
      </c>
      <c r="AM66" s="5">
        <v>20</v>
      </c>
      <c r="AN66" s="5">
        <v>16</v>
      </c>
      <c r="AO66" s="5">
        <v>13</v>
      </c>
      <c r="AP66" s="5">
        <v>10</v>
      </c>
      <c r="AQ66" s="5">
        <v>8</v>
      </c>
      <c r="AR66" s="15">
        <v>5</v>
      </c>
      <c r="AS66" s="15">
        <v>2</v>
      </c>
      <c r="AT66" s="16">
        <v>-1</v>
      </c>
    </row>
    <row r="67" spans="26:46" ht="16.5" customHeight="1">
      <c r="Z67" s="266"/>
      <c r="AA67" s="244">
        <v>5000</v>
      </c>
      <c r="AB67" s="247">
        <v>38</v>
      </c>
      <c r="AC67" s="5">
        <v>38</v>
      </c>
      <c r="AD67" s="5">
        <v>38</v>
      </c>
      <c r="AE67" s="5">
        <v>38</v>
      </c>
      <c r="AF67" s="5">
        <v>35</v>
      </c>
      <c r="AG67" s="5">
        <v>32</v>
      </c>
      <c r="AH67" s="5">
        <v>31</v>
      </c>
      <c r="AI67" s="5">
        <v>30</v>
      </c>
      <c r="AJ67" s="5">
        <v>28</v>
      </c>
      <c r="AK67" s="5">
        <v>27</v>
      </c>
      <c r="AL67" s="5">
        <v>25</v>
      </c>
      <c r="AM67" s="5">
        <v>20</v>
      </c>
      <c r="AN67" s="5">
        <v>16</v>
      </c>
      <c r="AO67" s="5">
        <v>12</v>
      </c>
      <c r="AP67" s="5">
        <v>10</v>
      </c>
      <c r="AQ67" s="5">
        <v>10</v>
      </c>
      <c r="AR67" s="5">
        <v>7</v>
      </c>
      <c r="AS67" s="5">
        <v>4</v>
      </c>
      <c r="AT67" s="6">
        <v>1</v>
      </c>
    </row>
    <row r="68" spans="26:46" ht="16.5" customHeight="1">
      <c r="Z68" s="266"/>
      <c r="AA68" s="244">
        <v>5500</v>
      </c>
      <c r="AB68" s="247">
        <v>38</v>
      </c>
      <c r="AC68" s="5">
        <v>38</v>
      </c>
      <c r="AD68" s="5">
        <v>38</v>
      </c>
      <c r="AE68" s="5">
        <v>38</v>
      </c>
      <c r="AF68" s="5">
        <v>35</v>
      </c>
      <c r="AG68" s="5">
        <v>32</v>
      </c>
      <c r="AH68" s="5">
        <v>31</v>
      </c>
      <c r="AI68" s="5">
        <v>30</v>
      </c>
      <c r="AJ68" s="5">
        <v>28</v>
      </c>
      <c r="AK68" s="5">
        <v>27</v>
      </c>
      <c r="AL68" s="5">
        <v>25</v>
      </c>
      <c r="AM68" s="5">
        <v>20</v>
      </c>
      <c r="AN68" s="5">
        <v>15</v>
      </c>
      <c r="AO68" s="5">
        <v>13</v>
      </c>
      <c r="AP68" s="5">
        <v>11</v>
      </c>
      <c r="AQ68" s="5">
        <v>9</v>
      </c>
      <c r="AR68" s="5">
        <v>6</v>
      </c>
      <c r="AS68" s="5">
        <v>3</v>
      </c>
      <c r="AT68" s="6">
        <v>0</v>
      </c>
    </row>
    <row r="69" spans="26:46" ht="16.5" customHeight="1">
      <c r="Z69" s="266"/>
      <c r="AA69" s="244">
        <v>6000</v>
      </c>
      <c r="AB69" s="247">
        <v>38</v>
      </c>
      <c r="AC69" s="5">
        <v>38</v>
      </c>
      <c r="AD69" s="5">
        <v>38</v>
      </c>
      <c r="AE69" s="5">
        <v>38</v>
      </c>
      <c r="AF69" s="5">
        <v>35</v>
      </c>
      <c r="AG69" s="5">
        <v>34</v>
      </c>
      <c r="AH69" s="5">
        <v>32</v>
      </c>
      <c r="AI69" s="5">
        <v>31</v>
      </c>
      <c r="AJ69" s="5">
        <v>30</v>
      </c>
      <c r="AK69" s="5">
        <v>28</v>
      </c>
      <c r="AL69" s="5">
        <v>26</v>
      </c>
      <c r="AM69" s="5">
        <v>23</v>
      </c>
      <c r="AN69" s="5">
        <v>18</v>
      </c>
      <c r="AO69" s="5">
        <v>16</v>
      </c>
      <c r="AP69" s="5">
        <v>14</v>
      </c>
      <c r="AQ69" s="5">
        <v>13</v>
      </c>
      <c r="AR69" s="5">
        <v>10</v>
      </c>
      <c r="AS69" s="5">
        <v>7</v>
      </c>
      <c r="AT69" s="6">
        <v>4</v>
      </c>
    </row>
    <row r="70" spans="26:46" ht="16.5" customHeight="1">
      <c r="Z70" s="266"/>
      <c r="AA70" s="244">
        <v>6500</v>
      </c>
      <c r="AB70" s="247">
        <v>38</v>
      </c>
      <c r="AC70" s="5">
        <v>38</v>
      </c>
      <c r="AD70" s="5">
        <v>38</v>
      </c>
      <c r="AE70" s="5">
        <v>38</v>
      </c>
      <c r="AF70" s="5">
        <v>38</v>
      </c>
      <c r="AG70" s="5">
        <v>37</v>
      </c>
      <c r="AH70" s="5">
        <v>35</v>
      </c>
      <c r="AI70" s="5">
        <v>34</v>
      </c>
      <c r="AJ70" s="5">
        <v>34</v>
      </c>
      <c r="AK70" s="5">
        <v>32</v>
      </c>
      <c r="AL70" s="5">
        <v>30</v>
      </c>
      <c r="AM70" s="5">
        <v>27</v>
      </c>
      <c r="AN70" s="5">
        <v>22</v>
      </c>
      <c r="AO70" s="5">
        <v>20</v>
      </c>
      <c r="AP70" s="5">
        <v>18</v>
      </c>
      <c r="AQ70" s="5">
        <v>15</v>
      </c>
      <c r="AR70" s="5">
        <v>12</v>
      </c>
      <c r="AS70" s="5">
        <v>9</v>
      </c>
      <c r="AT70" s="6">
        <v>6</v>
      </c>
    </row>
    <row r="71" spans="26:46" ht="16.5" customHeight="1">
      <c r="Z71" s="266"/>
      <c r="AA71" s="244">
        <v>7000</v>
      </c>
      <c r="AB71" s="247">
        <v>38</v>
      </c>
      <c r="AC71" s="5">
        <v>38</v>
      </c>
      <c r="AD71" s="5">
        <v>38</v>
      </c>
      <c r="AE71" s="5">
        <v>38</v>
      </c>
      <c r="AF71" s="5">
        <v>38</v>
      </c>
      <c r="AG71" s="5">
        <v>37</v>
      </c>
      <c r="AH71" s="5">
        <v>36</v>
      </c>
      <c r="AI71" s="5">
        <v>35</v>
      </c>
      <c r="AJ71" s="5">
        <v>35</v>
      </c>
      <c r="AK71" s="5">
        <v>34</v>
      </c>
      <c r="AL71" s="5">
        <v>34</v>
      </c>
      <c r="AM71" s="5">
        <v>31</v>
      </c>
      <c r="AN71" s="5">
        <v>26</v>
      </c>
      <c r="AO71" s="5">
        <v>24</v>
      </c>
      <c r="AP71" s="5">
        <v>21</v>
      </c>
      <c r="AQ71" s="5">
        <v>18</v>
      </c>
      <c r="AR71" s="5">
        <v>15</v>
      </c>
      <c r="AS71" s="5">
        <v>12</v>
      </c>
      <c r="AT71" s="6">
        <v>9</v>
      </c>
    </row>
    <row r="72" spans="26:46" ht="16.5" customHeight="1">
      <c r="Z72" s="266"/>
      <c r="AA72" s="244">
        <v>7500</v>
      </c>
      <c r="AB72" s="247">
        <v>38</v>
      </c>
      <c r="AC72" s="5">
        <v>38</v>
      </c>
      <c r="AD72" s="5">
        <v>38</v>
      </c>
      <c r="AE72" s="5">
        <v>38</v>
      </c>
      <c r="AF72" s="5">
        <v>38</v>
      </c>
      <c r="AG72" s="5">
        <v>37</v>
      </c>
      <c r="AH72" s="5">
        <v>36</v>
      </c>
      <c r="AI72" s="5">
        <v>35</v>
      </c>
      <c r="AJ72" s="5">
        <v>35</v>
      </c>
      <c r="AK72" s="5">
        <v>34</v>
      </c>
      <c r="AL72" s="5">
        <v>34</v>
      </c>
      <c r="AM72" s="5">
        <v>31</v>
      </c>
      <c r="AN72" s="5">
        <v>26</v>
      </c>
      <c r="AO72" s="5">
        <v>24</v>
      </c>
      <c r="AP72" s="5">
        <v>21</v>
      </c>
      <c r="AQ72" s="5">
        <v>18</v>
      </c>
      <c r="AR72" s="5">
        <v>15</v>
      </c>
      <c r="AS72" s="5">
        <v>12</v>
      </c>
      <c r="AT72" s="6">
        <v>9</v>
      </c>
    </row>
    <row r="73" spans="26:46" ht="16.5" customHeight="1" thickBot="1">
      <c r="Z73" s="267"/>
      <c r="AA73" s="245">
        <v>11000</v>
      </c>
      <c r="AB73" s="248">
        <v>38</v>
      </c>
      <c r="AC73" s="7">
        <v>38</v>
      </c>
      <c r="AD73" s="7">
        <v>38</v>
      </c>
      <c r="AE73" s="7">
        <v>38</v>
      </c>
      <c r="AF73" s="7">
        <v>38</v>
      </c>
      <c r="AG73" s="7">
        <v>37</v>
      </c>
      <c r="AH73" s="7">
        <v>36</v>
      </c>
      <c r="AI73" s="7">
        <v>35</v>
      </c>
      <c r="AJ73" s="7">
        <v>35</v>
      </c>
      <c r="AK73" s="7">
        <v>34</v>
      </c>
      <c r="AL73" s="7">
        <v>34</v>
      </c>
      <c r="AM73" s="7">
        <v>31</v>
      </c>
      <c r="AN73" s="7">
        <v>26</v>
      </c>
      <c r="AO73" s="7">
        <v>24</v>
      </c>
      <c r="AP73" s="7">
        <v>21</v>
      </c>
      <c r="AQ73" s="7">
        <v>18</v>
      </c>
      <c r="AR73" s="7">
        <v>15</v>
      </c>
      <c r="AS73" s="7">
        <v>12</v>
      </c>
      <c r="AT73" s="8">
        <v>9</v>
      </c>
    </row>
  </sheetData>
  <mergeCells count="14">
    <mergeCell ref="Z3:AA5"/>
    <mergeCell ref="Z27:AA29"/>
    <mergeCell ref="Z51:AA53"/>
    <mergeCell ref="AW17:BO17"/>
    <mergeCell ref="AB3:AT3"/>
    <mergeCell ref="AB4:AT4"/>
    <mergeCell ref="Z54:Z73"/>
    <mergeCell ref="AW42:BO42"/>
    <mergeCell ref="Z30:Z49"/>
    <mergeCell ref="Z6:Z25"/>
    <mergeCell ref="AB27:AT27"/>
    <mergeCell ref="AB51:AT51"/>
    <mergeCell ref="AB52:AT52"/>
    <mergeCell ref="AB28:AT28"/>
  </mergeCells>
  <phoneticPr fontId="1" type="noConversion"/>
  <conditionalFormatting sqref="AB6:AT25">
    <cfRule type="cellIs" dxfId="103" priority="1" stopIfTrue="1" operator="lessThan">
      <formula>AB30</formula>
    </cfRule>
    <cfRule type="cellIs" dxfId="102" priority="2" stopIfTrue="1" operator="greaterThan">
      <formula>AB30</formula>
    </cfRule>
  </conditionalFormatting>
  <conditionalFormatting sqref="AW19:BO38 AW44:BO63">
    <cfRule type="cellIs" dxfId="101" priority="3" stopIfTrue="1" operator="greaterThan">
      <formula>0</formula>
    </cfRule>
    <cfRule type="cellIs" dxfId="100" priority="4" stopIfTrue="1" operator="lessThan">
      <formula>0</formula>
    </cfRule>
  </conditionalFormatting>
  <printOptions horizontalCentered="1"/>
  <pageMargins left="0.25" right="0.25" top="1" bottom="1" header="0.5" footer="0.5"/>
  <pageSetup paperSize="17"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sheetPr codeName="Sheet17"/>
  <dimension ref="A1:CC116"/>
  <sheetViews>
    <sheetView zoomScale="55" workbookViewId="0">
      <selection activeCell="BW37" sqref="BW37"/>
    </sheetView>
  </sheetViews>
  <sheetFormatPr defaultColWidth="9.140625" defaultRowHeight="12.75"/>
  <cols>
    <col min="1" max="1" width="1.5703125" style="37" customWidth="1"/>
    <col min="2" max="20" width="4.5703125" style="37" customWidth="1"/>
    <col min="21" max="21" width="3.28515625" style="37" customWidth="1"/>
    <col min="22" max="22" width="6" style="37" customWidth="1"/>
    <col min="23" max="23" width="5.7109375" style="37" customWidth="1"/>
    <col min="24" max="24" width="5.7109375" style="37" bestFit="1" customWidth="1"/>
    <col min="25" max="33" width="5.7109375" style="37" customWidth="1"/>
    <col min="34" max="34" width="5.7109375" style="37" bestFit="1" customWidth="1"/>
    <col min="35" max="40" width="5.7109375" style="37" customWidth="1"/>
    <col min="41" max="44" width="3.140625" style="37" customWidth="1"/>
    <col min="45" max="45" width="5.5703125" style="38" bestFit="1" customWidth="1"/>
    <col min="46" max="62" width="6.7109375" style="39" bestFit="1" customWidth="1"/>
    <col min="63" max="63" width="5.42578125" style="40" bestFit="1" customWidth="1"/>
    <col min="64" max="69" width="6.140625" style="37" bestFit="1" customWidth="1"/>
    <col min="70" max="81" width="6.42578125" style="37" bestFit="1" customWidth="1"/>
    <col min="82" max="87" width="4.5703125" style="37" customWidth="1"/>
    <col min="88" max="16384" width="9.140625" style="37"/>
  </cols>
  <sheetData>
    <row r="1" spans="1:81" ht="18" customHeight="1" thickBot="1">
      <c r="A1" s="75"/>
      <c r="B1" s="75"/>
      <c r="C1" s="75"/>
      <c r="D1" s="75"/>
      <c r="U1" s="326" t="s">
        <v>11</v>
      </c>
      <c r="V1" s="326"/>
      <c r="W1" s="296" t="s">
        <v>14</v>
      </c>
      <c r="X1" s="297"/>
      <c r="Y1" s="297"/>
      <c r="Z1" s="328" t="s">
        <v>12</v>
      </c>
      <c r="AA1" s="328"/>
      <c r="AB1" s="80">
        <v>3</v>
      </c>
      <c r="AC1" s="81"/>
      <c r="AD1" s="333" t="s">
        <v>13</v>
      </c>
      <c r="AE1" s="333"/>
      <c r="AF1" s="82">
        <v>2</v>
      </c>
      <c r="AG1" s="83"/>
      <c r="AH1" s="85"/>
      <c r="AI1" s="85"/>
      <c r="AJ1" s="85"/>
      <c r="AK1" s="84"/>
      <c r="AM1" s="88"/>
      <c r="AN1" s="78"/>
      <c r="AP1" s="304" t="s">
        <v>9</v>
      </c>
      <c r="AQ1" s="305"/>
      <c r="AR1" s="305"/>
      <c r="AS1" s="305"/>
      <c r="AT1" s="305"/>
      <c r="AU1" s="305"/>
      <c r="AV1" s="305"/>
      <c r="AW1" s="305"/>
      <c r="AX1" s="305"/>
      <c r="AY1" s="305"/>
      <c r="AZ1" s="305"/>
      <c r="BA1" s="305"/>
      <c r="BB1" s="305"/>
      <c r="BC1" s="305"/>
      <c r="BD1" s="305"/>
      <c r="BE1" s="305"/>
      <c r="BF1" s="305"/>
      <c r="BG1" s="305"/>
      <c r="BH1" s="305"/>
      <c r="BI1" s="306"/>
    </row>
    <row r="2" spans="1:81" ht="20.25" customHeight="1" thickBot="1">
      <c r="U2" s="315" t="s">
        <v>10</v>
      </c>
      <c r="V2" s="315"/>
      <c r="W2" s="299" t="s">
        <v>15</v>
      </c>
      <c r="X2" s="300"/>
      <c r="Y2" s="300"/>
      <c r="Z2" s="298">
        <f>-AB1</f>
        <v>-3</v>
      </c>
      <c r="AA2" s="298"/>
      <c r="AB2" s="86"/>
      <c r="AC2" s="86"/>
      <c r="AD2" s="320">
        <f>AF1</f>
        <v>2</v>
      </c>
      <c r="AE2" s="320"/>
      <c r="AF2" s="87"/>
      <c r="AH2" s="86"/>
      <c r="AI2" s="89" t="b">
        <v>1</v>
      </c>
      <c r="AJ2" s="85"/>
      <c r="AK2" s="86"/>
      <c r="AL2" s="88"/>
      <c r="AM2" s="88"/>
    </row>
    <row r="3" spans="1:81" ht="15" customHeight="1" thickBot="1">
      <c r="A3" s="36"/>
      <c r="U3" s="278">
        <v>1</v>
      </c>
      <c r="V3" s="279"/>
      <c r="W3" s="304" t="s">
        <v>9</v>
      </c>
      <c r="X3" s="305"/>
      <c r="Y3" s="305"/>
      <c r="Z3" s="305"/>
      <c r="AA3" s="305"/>
      <c r="AB3" s="305"/>
      <c r="AC3" s="305"/>
      <c r="AD3" s="305"/>
      <c r="AE3" s="305"/>
      <c r="AF3" s="305"/>
      <c r="AG3" s="305"/>
      <c r="AH3" s="305"/>
      <c r="AI3" s="305"/>
      <c r="AJ3" s="305"/>
      <c r="AK3" s="305"/>
      <c r="AL3" s="305"/>
      <c r="AM3" s="305"/>
      <c r="AN3" s="306"/>
    </row>
    <row r="4" spans="1:81" ht="15" customHeight="1" thickBot="1">
      <c r="A4" s="36"/>
      <c r="U4" s="280"/>
      <c r="V4" s="281"/>
      <c r="W4" s="284" t="s">
        <v>0</v>
      </c>
      <c r="X4" s="285"/>
      <c r="Y4" s="285"/>
      <c r="Z4" s="285"/>
      <c r="AA4" s="285"/>
      <c r="AB4" s="285"/>
      <c r="AC4" s="285"/>
      <c r="AD4" s="285"/>
      <c r="AE4" s="285"/>
      <c r="AF4" s="285"/>
      <c r="AG4" s="285"/>
      <c r="AH4" s="285"/>
      <c r="AI4" s="285"/>
      <c r="AJ4" s="285"/>
      <c r="AK4" s="285"/>
      <c r="AL4" s="285"/>
      <c r="AM4" s="285"/>
      <c r="AN4" s="286"/>
    </row>
    <row r="5" spans="1:81" ht="15" customHeight="1" thickBot="1">
      <c r="A5" s="36"/>
      <c r="U5" s="282"/>
      <c r="V5" s="283"/>
      <c r="W5" s="42">
        <v>10</v>
      </c>
      <c r="X5" s="43">
        <v>20</v>
      </c>
      <c r="Y5" s="43">
        <v>30</v>
      </c>
      <c r="Z5" s="43">
        <v>40</v>
      </c>
      <c r="AA5" s="44">
        <v>50</v>
      </c>
      <c r="AB5" s="44">
        <v>60</v>
      </c>
      <c r="AC5" s="44">
        <v>70</v>
      </c>
      <c r="AD5" s="44">
        <v>80</v>
      </c>
      <c r="AE5" s="44">
        <v>90</v>
      </c>
      <c r="AF5" s="44">
        <v>100</v>
      </c>
      <c r="AG5" s="44">
        <v>120</v>
      </c>
      <c r="AH5" s="44">
        <v>140</v>
      </c>
      <c r="AI5" s="45">
        <v>160</v>
      </c>
      <c r="AJ5" s="45">
        <v>180</v>
      </c>
      <c r="AK5" s="45">
        <v>200</v>
      </c>
      <c r="AL5" s="45">
        <v>220</v>
      </c>
      <c r="AM5" s="45">
        <v>240</v>
      </c>
      <c r="AN5" s="46">
        <v>260</v>
      </c>
    </row>
    <row r="6" spans="1:81" ht="15" customHeight="1">
      <c r="A6" s="36"/>
      <c r="U6" s="301" t="s">
        <v>1</v>
      </c>
      <c r="V6" s="47">
        <v>500</v>
      </c>
      <c r="W6" s="48">
        <f>14.7*128/IF(AND($AI$2,W77),MIN($AL$22,MAX($AL$23,$AA$21+W100)),MIN($AL$22,MAX($AL$23,($AA$21+MAX(W100+$Z$2,MIN(W100+$AD$2,ROUND(AVERAGE(W100,W100,W100,W100,W100:X101),0)))))))</f>
        <v>13.634782608695652</v>
      </c>
      <c r="X6" s="48">
        <f t="shared" ref="X6:AM6" si="0">14.7*128/IF(AND($AI$2,X77),MIN($AL$22,MAX($AL$23,$AA$21+X100)),MIN($AL$22,MAX($AL$23,($AA$21+MAX(X100+$Z$2,MIN(X100+$AD$2,ROUND(AVERAGE(X100,X100,X100,X100,W100:Y101),0)))))))</f>
        <v>13.634782608695652</v>
      </c>
      <c r="Y6" s="48">
        <f t="shared" si="0"/>
        <v>13.634782608695652</v>
      </c>
      <c r="Z6" s="48">
        <f t="shared" si="0"/>
        <v>13.634782608695652</v>
      </c>
      <c r="AA6" s="48">
        <f t="shared" si="0"/>
        <v>13.634782608695652</v>
      </c>
      <c r="AB6" s="48">
        <f t="shared" si="0"/>
        <v>13.634782608695652</v>
      </c>
      <c r="AC6" s="48">
        <f t="shared" si="0"/>
        <v>13.634782608695652</v>
      </c>
      <c r="AD6" s="48">
        <f t="shared" si="0"/>
        <v>13.536690647482013</v>
      </c>
      <c r="AE6" s="48">
        <f t="shared" si="0"/>
        <v>12.799999999999999</v>
      </c>
      <c r="AF6" s="48">
        <f t="shared" si="0"/>
        <v>12.713513513513513</v>
      </c>
      <c r="AG6" s="48">
        <f t="shared" si="0"/>
        <v>12.543999999999999</v>
      </c>
      <c r="AH6" s="48">
        <f t="shared" si="0"/>
        <v>12.298039215686273</v>
      </c>
      <c r="AI6" s="48">
        <f t="shared" si="0"/>
        <v>12.061538461538461</v>
      </c>
      <c r="AJ6" s="48">
        <f t="shared" si="0"/>
        <v>11.833962264150943</v>
      </c>
      <c r="AK6" s="48">
        <f t="shared" si="0"/>
        <v>11.614814814814814</v>
      </c>
      <c r="AL6" s="48">
        <f t="shared" si="0"/>
        <v>11.403636363636362</v>
      </c>
      <c r="AM6" s="48">
        <f t="shared" si="0"/>
        <v>11.2</v>
      </c>
      <c r="AN6" s="56">
        <f>14.7*128/IF(AND($AI$2,AN77),MIN($AL$22,MAX($AL$23,$AA$21+AN100)),MIN($AL$22,MAX($AL$23,($AA$21+MAX(AN100+$Z$2,MIN(AN100+$AD$2,ROUND(AVERAGE(AN100,AN100,AN100,AN100,AM100:AN101),0)))))))</f>
        <v>11.003508771929823</v>
      </c>
    </row>
    <row r="7" spans="1:81" ht="15" customHeight="1">
      <c r="A7" s="36"/>
      <c r="U7" s="302"/>
      <c r="V7" s="49">
        <v>1000</v>
      </c>
      <c r="W7" s="48">
        <f t="shared" ref="W7:W19" si="1">14.7*128/IF(AND($AI$2,W78),MIN($AL$22,MAX($AL$23,$AA$21+W101)),MIN($AL$22,MAX($AL$23,($AA$21+MAX(W101+$Z$2,MIN(W101+$AD$2,ROUND(AVERAGE(W101,W101,W101,W101,W100:X102),0)))))))</f>
        <v>14.7</v>
      </c>
      <c r="X7" s="48">
        <f t="shared" ref="X7:AM7" si="2">14.7*128/IF(AND($AI$2,X78),MIN($AL$22,MAX($AL$23,$AA$21+X101)),MIN($AL$22,MAX($AL$23,($AA$21+MAX(X101+$Z$2,MIN(X101+$AD$2,ROUND(AVERAGE(X101,X101,X101,X101,W100:Y102),0)))))))</f>
        <v>14.7</v>
      </c>
      <c r="Y7" s="48">
        <f t="shared" si="2"/>
        <v>14.7</v>
      </c>
      <c r="Z7" s="48">
        <f t="shared" si="2"/>
        <v>14.7</v>
      </c>
      <c r="AA7" s="48">
        <f t="shared" si="2"/>
        <v>14.7</v>
      </c>
      <c r="AB7" s="48">
        <f t="shared" si="2"/>
        <v>14.7</v>
      </c>
      <c r="AC7" s="48">
        <f t="shared" si="2"/>
        <v>14.7</v>
      </c>
      <c r="AD7" s="48">
        <f t="shared" si="2"/>
        <v>14.7</v>
      </c>
      <c r="AE7" s="48">
        <f t="shared" si="2"/>
        <v>13.536690647482013</v>
      </c>
      <c r="AF7" s="48">
        <f t="shared" si="2"/>
        <v>13.250704225352113</v>
      </c>
      <c r="AG7" s="48">
        <f t="shared" si="2"/>
        <v>12.976551724137931</v>
      </c>
      <c r="AH7" s="48">
        <f t="shared" si="2"/>
        <v>12.628187919463087</v>
      </c>
      <c r="AI7" s="48">
        <f t="shared" si="2"/>
        <v>12.460927152317881</v>
      </c>
      <c r="AJ7" s="48">
        <f t="shared" si="2"/>
        <v>12.218181818181817</v>
      </c>
      <c r="AK7" s="48">
        <f t="shared" si="2"/>
        <v>11.984713375796177</v>
      </c>
      <c r="AL7" s="48">
        <f t="shared" si="2"/>
        <v>11.76</v>
      </c>
      <c r="AM7" s="48">
        <f t="shared" si="2"/>
        <v>11.543558282208588</v>
      </c>
      <c r="AN7" s="56">
        <f t="shared" ref="AN7:AN19" si="3">14.7*128/IF(AND($AI$2,AN78),MIN($AL$22,MAX($AL$23,$AA$21+AN101)),MIN($AL$22,MAX($AL$23,($AA$21+MAX(AN101+$Z$2,MIN(AN101+$AD$2,ROUND(AVERAGE(AN101,AN101,AN101,AN101,AM100:AN102),0)))))))</f>
        <v>11.403636363636362</v>
      </c>
    </row>
    <row r="8" spans="1:81" ht="15" customHeight="1">
      <c r="A8" s="36"/>
      <c r="U8" s="302"/>
      <c r="V8" s="50">
        <v>1500</v>
      </c>
      <c r="W8" s="48">
        <f t="shared" si="1"/>
        <v>14.7</v>
      </c>
      <c r="X8" s="48">
        <f t="shared" ref="X8:AM8" si="4">14.7*128/IF(AND($AI$2,X79),MIN($AL$22,MAX($AL$23,$AA$21+X102)),MIN($AL$22,MAX($AL$23,($AA$21+MAX(X102+$Z$2,MIN(X102+$AD$2,ROUND(AVERAGE(X102,X102,X102,X102,W101:Y103),0)))))))</f>
        <v>14.7</v>
      </c>
      <c r="Y8" s="48">
        <f t="shared" si="4"/>
        <v>14.7</v>
      </c>
      <c r="Z8" s="48">
        <f t="shared" si="4"/>
        <v>14.7</v>
      </c>
      <c r="AA8" s="48">
        <f t="shared" si="4"/>
        <v>14.7</v>
      </c>
      <c r="AB8" s="48">
        <f t="shared" si="4"/>
        <v>14.7</v>
      </c>
      <c r="AC8" s="48">
        <f t="shared" si="4"/>
        <v>14.7</v>
      </c>
      <c r="AD8" s="48">
        <f t="shared" si="4"/>
        <v>14.7</v>
      </c>
      <c r="AE8" s="48">
        <f t="shared" si="4"/>
        <v>14.147368421052631</v>
      </c>
      <c r="AF8" s="48">
        <f t="shared" si="4"/>
        <v>13.734306569343065</v>
      </c>
      <c r="AG8" s="48">
        <f t="shared" si="4"/>
        <v>13.250704225352113</v>
      </c>
      <c r="AH8" s="48">
        <f t="shared" si="4"/>
        <v>12.976551724137931</v>
      </c>
      <c r="AI8" s="48">
        <f t="shared" si="4"/>
        <v>12.713513513513513</v>
      </c>
      <c r="AJ8" s="48">
        <f t="shared" si="4"/>
        <v>12.460927152317881</v>
      </c>
      <c r="AK8" s="48">
        <f t="shared" si="4"/>
        <v>12.298039215686273</v>
      </c>
      <c r="AL8" s="48">
        <f t="shared" si="4"/>
        <v>12.061538461538461</v>
      </c>
      <c r="AM8" s="48">
        <f t="shared" si="4"/>
        <v>11.833962264150943</v>
      </c>
      <c r="AN8" s="56">
        <f t="shared" si="3"/>
        <v>11.68695652173913</v>
      </c>
    </row>
    <row r="9" spans="1:81" ht="15" customHeight="1">
      <c r="A9" s="36"/>
      <c r="U9" s="302"/>
      <c r="V9" s="50">
        <v>2000</v>
      </c>
      <c r="W9" s="48">
        <f t="shared" si="1"/>
        <v>14.7</v>
      </c>
      <c r="X9" s="48">
        <f t="shared" ref="X9:AM9" si="5">14.7*128/IF(AND($AI$2,X80),MIN($AL$22,MAX($AL$23,$AA$21+X103)),MIN($AL$22,MAX($AL$23,($AA$21+MAX(X103+$Z$2,MIN(X103+$AD$2,ROUND(AVERAGE(X103,X103,X103,X103,W102:Y104),0)))))))</f>
        <v>14.7</v>
      </c>
      <c r="Y9" s="48">
        <f t="shared" si="5"/>
        <v>14.7</v>
      </c>
      <c r="Z9" s="48">
        <f t="shared" si="5"/>
        <v>14.7</v>
      </c>
      <c r="AA9" s="48">
        <f t="shared" si="5"/>
        <v>14.7</v>
      </c>
      <c r="AB9" s="48">
        <f t="shared" si="5"/>
        <v>14.7</v>
      </c>
      <c r="AC9" s="48">
        <f t="shared" si="5"/>
        <v>14.7</v>
      </c>
      <c r="AD9" s="48">
        <f t="shared" si="5"/>
        <v>14.7</v>
      </c>
      <c r="AE9" s="48">
        <f t="shared" si="5"/>
        <v>14.254545454545454</v>
      </c>
      <c r="AF9" s="48">
        <f t="shared" si="5"/>
        <v>13.835294117647058</v>
      </c>
      <c r="AG9" s="48">
        <f t="shared" si="5"/>
        <v>13.536690647482013</v>
      </c>
      <c r="AH9" s="48">
        <f t="shared" si="5"/>
        <v>13.158041958041958</v>
      </c>
      <c r="AI9" s="48">
        <f t="shared" si="5"/>
        <v>12.887671232876711</v>
      </c>
      <c r="AJ9" s="48">
        <f t="shared" si="5"/>
        <v>12.713513513513513</v>
      </c>
      <c r="AK9" s="48">
        <f t="shared" si="5"/>
        <v>12.460927152317881</v>
      </c>
      <c r="AL9" s="48">
        <f t="shared" si="5"/>
        <v>12.218181818181817</v>
      </c>
      <c r="AM9" s="48">
        <f t="shared" si="5"/>
        <v>11.984713375796177</v>
      </c>
      <c r="AN9" s="56">
        <f t="shared" si="3"/>
        <v>11.76</v>
      </c>
    </row>
    <row r="10" spans="1:81" ht="15" customHeight="1">
      <c r="A10" s="36"/>
      <c r="U10" s="302"/>
      <c r="V10" s="50">
        <v>2500</v>
      </c>
      <c r="W10" s="48">
        <f t="shared" si="1"/>
        <v>14.7</v>
      </c>
      <c r="X10" s="48">
        <f t="shared" ref="X10:AM10" si="6">14.7*128/IF(AND($AI$2,X81),MIN($AL$22,MAX($AL$23,$AA$21+X104)),MIN($AL$22,MAX($AL$23,($AA$21+MAX(X104+$Z$2,MIN(X104+$AD$2,ROUND(AVERAGE(X104,X104,X104,X104,W103:Y105),0)))))))</f>
        <v>14.7</v>
      </c>
      <c r="Y10" s="48">
        <f t="shared" si="6"/>
        <v>14.7</v>
      </c>
      <c r="Z10" s="48">
        <f t="shared" si="6"/>
        <v>14.7</v>
      </c>
      <c r="AA10" s="48">
        <f t="shared" si="6"/>
        <v>14.7</v>
      </c>
      <c r="AB10" s="48">
        <f t="shared" si="6"/>
        <v>14.7</v>
      </c>
      <c r="AC10" s="48">
        <f t="shared" si="6"/>
        <v>14.7</v>
      </c>
      <c r="AD10" s="48">
        <f t="shared" si="6"/>
        <v>14.7</v>
      </c>
      <c r="AE10" s="48">
        <f t="shared" si="6"/>
        <v>14.363358778625953</v>
      </c>
      <c r="AF10" s="48">
        <f t="shared" si="6"/>
        <v>14.041791044776119</v>
      </c>
      <c r="AG10" s="48">
        <f t="shared" si="6"/>
        <v>13.734306569343065</v>
      </c>
      <c r="AH10" s="48">
        <f t="shared" si="6"/>
        <v>13.250704225352113</v>
      </c>
      <c r="AI10" s="48">
        <f t="shared" si="6"/>
        <v>12.976551724137931</v>
      </c>
      <c r="AJ10" s="48">
        <f t="shared" si="6"/>
        <v>12.799999999999999</v>
      </c>
      <c r="AK10" s="48">
        <f t="shared" si="6"/>
        <v>12.543999999999999</v>
      </c>
      <c r="AL10" s="48">
        <f t="shared" si="6"/>
        <v>12.298039215686273</v>
      </c>
      <c r="AM10" s="48">
        <f t="shared" si="6"/>
        <v>12.061538461538461</v>
      </c>
      <c r="AN10" s="56">
        <f t="shared" si="3"/>
        <v>11.833962264150943</v>
      </c>
    </row>
    <row r="11" spans="1:81" ht="15" customHeight="1" thickBot="1">
      <c r="A11" s="36"/>
      <c r="U11" s="302"/>
      <c r="V11" s="51">
        <v>3000</v>
      </c>
      <c r="W11" s="48">
        <f t="shared" si="1"/>
        <v>14.7</v>
      </c>
      <c r="X11" s="48">
        <f t="shared" ref="X11:AM11" si="7">14.7*128/IF(AND($AI$2,X82),MIN($AL$22,MAX($AL$23,$AA$21+X105)),MIN($AL$22,MAX($AL$23,($AA$21+MAX(X105+$Z$2,MIN(X105+$AD$2,ROUND(AVERAGE(X105,X105,X105,X105,W104:Y106),0)))))))</f>
        <v>14.7</v>
      </c>
      <c r="Y11" s="48">
        <f t="shared" si="7"/>
        <v>14.7</v>
      </c>
      <c r="Z11" s="48">
        <f t="shared" si="7"/>
        <v>14.7</v>
      </c>
      <c r="AA11" s="48">
        <f t="shared" si="7"/>
        <v>14.7</v>
      </c>
      <c r="AB11" s="48">
        <f t="shared" si="7"/>
        <v>14.7</v>
      </c>
      <c r="AC11" s="48">
        <f t="shared" si="7"/>
        <v>14.7</v>
      </c>
      <c r="AD11" s="48">
        <f t="shared" si="7"/>
        <v>14.7</v>
      </c>
      <c r="AE11" s="48">
        <f t="shared" si="7"/>
        <v>14.363358778625953</v>
      </c>
      <c r="AF11" s="48">
        <f t="shared" si="7"/>
        <v>14.147368421052631</v>
      </c>
      <c r="AG11" s="48">
        <f t="shared" si="7"/>
        <v>13.835294117647058</v>
      </c>
      <c r="AH11" s="48">
        <f t="shared" si="7"/>
        <v>13.066666666666666</v>
      </c>
      <c r="AI11" s="48">
        <f t="shared" si="7"/>
        <v>11.984713375796177</v>
      </c>
      <c r="AJ11" s="48">
        <f t="shared" si="7"/>
        <v>11.543558282208588</v>
      </c>
      <c r="AK11" s="48">
        <f t="shared" si="7"/>
        <v>11.267065868263472</v>
      </c>
      <c r="AL11" s="48">
        <f t="shared" si="7"/>
        <v>11.133727810650887</v>
      </c>
      <c r="AM11" s="48">
        <f t="shared" si="7"/>
        <v>10.939534883720929</v>
      </c>
      <c r="AN11" s="56">
        <f t="shared" si="3"/>
        <v>10.751999999999999</v>
      </c>
    </row>
    <row r="12" spans="1:81" ht="15" customHeight="1" thickBot="1">
      <c r="A12" s="36"/>
      <c r="U12" s="302"/>
      <c r="V12" s="51">
        <v>3500</v>
      </c>
      <c r="W12" s="48">
        <f t="shared" si="1"/>
        <v>14.7</v>
      </c>
      <c r="X12" s="48">
        <f t="shared" ref="X12:AM12" si="8">14.7*128/IF(AND($AI$2,X83),MIN($AL$22,MAX($AL$23,$AA$21+X106)),MIN($AL$22,MAX($AL$23,($AA$21+MAX(X106+$Z$2,MIN(X106+$AD$2,ROUND(AVERAGE(X106,X106,X106,X106,W105:Y107),0)))))))</f>
        <v>14.7</v>
      </c>
      <c r="Y12" s="48">
        <f t="shared" si="8"/>
        <v>14.7</v>
      </c>
      <c r="Z12" s="48">
        <f t="shared" si="8"/>
        <v>14.7</v>
      </c>
      <c r="AA12" s="48">
        <f t="shared" si="8"/>
        <v>14.7</v>
      </c>
      <c r="AB12" s="48">
        <f t="shared" si="8"/>
        <v>14.7</v>
      </c>
      <c r="AC12" s="48">
        <f t="shared" si="8"/>
        <v>14.7</v>
      </c>
      <c r="AD12" s="48">
        <f t="shared" si="8"/>
        <v>14.7</v>
      </c>
      <c r="AE12" s="48">
        <f t="shared" si="8"/>
        <v>14.363358778625953</v>
      </c>
      <c r="AF12" s="48">
        <f t="shared" si="8"/>
        <v>13.937777777777777</v>
      </c>
      <c r="AG12" s="48">
        <f t="shared" si="8"/>
        <v>13.250704225352113</v>
      </c>
      <c r="AH12" s="48">
        <f t="shared" si="8"/>
        <v>12.298039215686273</v>
      </c>
      <c r="AI12" s="48">
        <f t="shared" si="8"/>
        <v>11.543558282208588</v>
      </c>
      <c r="AJ12" s="48">
        <f t="shared" si="8"/>
        <v>11.003508771929823</v>
      </c>
      <c r="AK12" s="48">
        <f t="shared" si="8"/>
        <v>10.813793103448276</v>
      </c>
      <c r="AL12" s="48">
        <f t="shared" si="8"/>
        <v>10.751999999999999</v>
      </c>
      <c r="AM12" s="48">
        <f t="shared" si="8"/>
        <v>10.570786516853932</v>
      </c>
      <c r="AN12" s="56">
        <f t="shared" si="3"/>
        <v>10.511731843575419</v>
      </c>
      <c r="BK12" s="338" t="s">
        <v>6</v>
      </c>
      <c r="BL12" s="339"/>
      <c r="BM12" s="339"/>
      <c r="BN12" s="339"/>
      <c r="BO12" s="339"/>
      <c r="BP12" s="339"/>
      <c r="BQ12" s="339"/>
      <c r="BR12" s="339"/>
      <c r="BS12" s="339"/>
      <c r="BT12" s="339"/>
      <c r="BU12" s="339"/>
      <c r="BV12" s="339"/>
      <c r="BW12" s="339"/>
      <c r="BX12" s="339"/>
      <c r="BY12" s="339"/>
      <c r="BZ12" s="339"/>
      <c r="CA12" s="339"/>
      <c r="CB12" s="339"/>
      <c r="CC12" s="340"/>
    </row>
    <row r="13" spans="1:81" ht="15" customHeight="1" thickBot="1">
      <c r="A13" s="36"/>
      <c r="U13" s="302"/>
      <c r="V13" s="51">
        <v>4000</v>
      </c>
      <c r="W13" s="48">
        <f t="shared" si="1"/>
        <v>14.7</v>
      </c>
      <c r="X13" s="48">
        <f t="shared" ref="X13:AM13" si="9">14.7*128/IF(AND($AI$2,X84),MIN($AL$22,MAX($AL$23,$AA$21+X107)),MIN($AL$22,MAX($AL$23,($AA$21+MAX(X107+$Z$2,MIN(X107+$AD$2,ROUND(AVERAGE(X107,X107,X107,X107,W106:Y108),0)))))))</f>
        <v>14.7</v>
      </c>
      <c r="Y13" s="48">
        <f t="shared" si="9"/>
        <v>14.7</v>
      </c>
      <c r="Z13" s="48">
        <f t="shared" si="9"/>
        <v>14.7</v>
      </c>
      <c r="AA13" s="48">
        <f t="shared" si="9"/>
        <v>14.7</v>
      </c>
      <c r="AB13" s="48">
        <f t="shared" si="9"/>
        <v>14.7</v>
      </c>
      <c r="AC13" s="48">
        <f t="shared" si="9"/>
        <v>14.7</v>
      </c>
      <c r="AD13" s="48">
        <f t="shared" si="9"/>
        <v>14.7</v>
      </c>
      <c r="AE13" s="48">
        <f t="shared" si="9"/>
        <v>14.041791044776119</v>
      </c>
      <c r="AF13" s="48">
        <f t="shared" si="9"/>
        <v>13.44</v>
      </c>
      <c r="AG13" s="48">
        <f t="shared" si="9"/>
        <v>12.543999999999999</v>
      </c>
      <c r="AH13" s="48">
        <f t="shared" si="9"/>
        <v>11.76</v>
      </c>
      <c r="AI13" s="48">
        <f t="shared" si="9"/>
        <v>11.267065868263472</v>
      </c>
      <c r="AJ13" s="48">
        <f t="shared" si="9"/>
        <v>10.876300578034682</v>
      </c>
      <c r="AK13" s="48">
        <f t="shared" si="9"/>
        <v>10.69090909090909</v>
      </c>
      <c r="AL13" s="48">
        <f t="shared" si="9"/>
        <v>10.570786516853932</v>
      </c>
      <c r="AM13" s="48">
        <f t="shared" si="9"/>
        <v>10.453333333333333</v>
      </c>
      <c r="AN13" s="56">
        <f t="shared" si="3"/>
        <v>10.338461538461537</v>
      </c>
      <c r="BK13" s="191"/>
      <c r="BL13" s="193">
        <v>10</v>
      </c>
      <c r="BM13" s="194">
        <v>20</v>
      </c>
      <c r="BN13" s="194">
        <v>30</v>
      </c>
      <c r="BO13" s="194">
        <v>40</v>
      </c>
      <c r="BP13" s="195">
        <v>50</v>
      </c>
      <c r="BQ13" s="195">
        <v>60</v>
      </c>
      <c r="BR13" s="195">
        <v>70</v>
      </c>
      <c r="BS13" s="195">
        <v>80</v>
      </c>
      <c r="BT13" s="195">
        <v>90</v>
      </c>
      <c r="BU13" s="195">
        <v>100</v>
      </c>
      <c r="BV13" s="195">
        <v>120</v>
      </c>
      <c r="BW13" s="195">
        <v>140</v>
      </c>
      <c r="BX13" s="196">
        <v>160</v>
      </c>
      <c r="BY13" s="196">
        <v>180</v>
      </c>
      <c r="BZ13" s="196">
        <v>200</v>
      </c>
      <c r="CA13" s="196">
        <v>220</v>
      </c>
      <c r="CB13" s="196">
        <v>240</v>
      </c>
      <c r="CC13" s="197">
        <v>260</v>
      </c>
    </row>
    <row r="14" spans="1:81" ht="15" customHeight="1">
      <c r="A14" s="36"/>
      <c r="U14" s="302"/>
      <c r="V14" s="51">
        <v>4500</v>
      </c>
      <c r="W14" s="48">
        <f t="shared" si="1"/>
        <v>14.7</v>
      </c>
      <c r="X14" s="48">
        <f t="shared" ref="X14:AM14" si="10">14.7*128/IF(AND($AI$2,X85),MIN($AL$22,MAX($AL$23,$AA$21+X108)),MIN($AL$22,MAX($AL$23,($AA$21+MAX(X108+$Z$2,MIN(X108+$AD$2,ROUND(AVERAGE(X108,X108,X108,X108,W107:Y109),0)))))))</f>
        <v>14.7</v>
      </c>
      <c r="Y14" s="48">
        <f t="shared" si="10"/>
        <v>14.7</v>
      </c>
      <c r="Z14" s="48">
        <f t="shared" si="10"/>
        <v>14.7</v>
      </c>
      <c r="AA14" s="48">
        <f t="shared" si="10"/>
        <v>14.7</v>
      </c>
      <c r="AB14" s="48">
        <f t="shared" si="10"/>
        <v>14.7</v>
      </c>
      <c r="AC14" s="48">
        <f t="shared" si="10"/>
        <v>14.254545454545454</v>
      </c>
      <c r="AD14" s="48">
        <f t="shared" si="10"/>
        <v>13.835294117647058</v>
      </c>
      <c r="AE14" s="48">
        <f t="shared" si="10"/>
        <v>13.44</v>
      </c>
      <c r="AF14" s="48">
        <f t="shared" si="10"/>
        <v>12.799999999999999</v>
      </c>
      <c r="AG14" s="48">
        <f t="shared" si="10"/>
        <v>12.139354838709677</v>
      </c>
      <c r="AH14" s="48">
        <f t="shared" si="10"/>
        <v>11.543558282208588</v>
      </c>
      <c r="AI14" s="48">
        <f t="shared" si="10"/>
        <v>11.068235294117647</v>
      </c>
      <c r="AJ14" s="48">
        <f t="shared" si="10"/>
        <v>10.813793103448276</v>
      </c>
      <c r="AK14" s="48">
        <f t="shared" si="10"/>
        <v>10.630508474576271</v>
      </c>
      <c r="AL14" s="48">
        <f t="shared" si="10"/>
        <v>10.511731843575419</v>
      </c>
      <c r="AM14" s="48">
        <f t="shared" si="10"/>
        <v>10.338461538461537</v>
      </c>
      <c r="AN14" s="56">
        <f t="shared" si="3"/>
        <v>10.226086956521739</v>
      </c>
      <c r="BK14" s="193">
        <v>500</v>
      </c>
      <c r="BL14" s="232">
        <f t="shared" ref="BL14:BL28" si="11">W6-W29</f>
        <v>0.29008260869565206</v>
      </c>
      <c r="BM14" s="199">
        <f t="shared" ref="BM14:BM28" si="12">X6-X29</f>
        <v>0.29008260869565206</v>
      </c>
      <c r="BN14" s="199">
        <f t="shared" ref="BN14:BN28" si="13">Y6-Y29</f>
        <v>0.29008260869565206</v>
      </c>
      <c r="BO14" s="199">
        <f t="shared" ref="BO14:BO28" si="14">Z6-Z29</f>
        <v>0.29008260869565206</v>
      </c>
      <c r="BP14" s="199">
        <f t="shared" ref="BP14:BP28" si="15">AA6-AA29</f>
        <v>0.29008260869565206</v>
      </c>
      <c r="BQ14" s="199">
        <f t="shared" ref="BQ14:BQ28" si="16">AB6-AB29</f>
        <v>0.29008260869565206</v>
      </c>
      <c r="BR14" s="199">
        <f t="shared" ref="BR14:BR28" si="17">AC6-AC29</f>
        <v>0.29008260869565206</v>
      </c>
      <c r="BS14" s="199">
        <f t="shared" ref="BS14:BS28" si="18">AD6-AD29</f>
        <v>0.19199064748201344</v>
      </c>
      <c r="BT14" s="199">
        <f t="shared" ref="BT14:BT28" si="19">AE6-AE29</f>
        <v>0.25599999999999845</v>
      </c>
      <c r="BU14" s="199">
        <f t="shared" ref="BU14:BU28" si="20">AF6-AF29</f>
        <v>0.16951351351351285</v>
      </c>
      <c r="BV14" s="199">
        <f t="shared" ref="BV14:BV28" si="21">AG6-AG29</f>
        <v>0.24599999999999866</v>
      </c>
      <c r="BW14" s="199">
        <f t="shared" ref="BW14:BW28" si="22">AH6-AH29</f>
        <v>0.2365392156862729</v>
      </c>
      <c r="BX14" s="199">
        <f t="shared" ref="BX14:BX28" si="23">AI6-AI29</f>
        <v>0.22753846153846169</v>
      </c>
      <c r="BY14" s="199">
        <f t="shared" ref="BY14:BY28" si="24">AJ6-AJ29</f>
        <v>0.21916226415094187</v>
      </c>
      <c r="BZ14" s="199">
        <f t="shared" ref="BZ14:BZ28" si="25">AK6-AK29</f>
        <v>0.21121481481481297</v>
      </c>
      <c r="CA14" s="199">
        <f t="shared" ref="CA14:CA28" si="26">AL6-AL29</f>
        <v>0.20363636363636317</v>
      </c>
      <c r="CB14" s="199">
        <f t="shared" ref="CB14:CB28" si="27">AM6-AM29</f>
        <v>0.19649999999999856</v>
      </c>
      <c r="CC14" s="200">
        <f t="shared" ref="CC14:CC28" si="28">AN6-AN29</f>
        <v>0.18970877192982272</v>
      </c>
    </row>
    <row r="15" spans="1:81" ht="15" customHeight="1">
      <c r="A15" s="36"/>
      <c r="U15" s="302"/>
      <c r="V15" s="51">
        <v>5000</v>
      </c>
      <c r="W15" s="48">
        <f t="shared" si="1"/>
        <v>14.7</v>
      </c>
      <c r="X15" s="48">
        <f t="shared" ref="X15:AM15" si="29">14.7*128/IF(AND($AI$2,X86),MIN($AL$22,MAX($AL$23,$AA$21+X109)),MIN($AL$22,MAX($AL$23,($AA$21+MAX(X109+$Z$2,MIN(X109+$AD$2,ROUND(AVERAGE(X109,X109,X109,X109,W108:Y110),0)))))))</f>
        <v>14.7</v>
      </c>
      <c r="Y15" s="48">
        <f t="shared" si="29"/>
        <v>14.7</v>
      </c>
      <c r="Z15" s="48">
        <f t="shared" si="29"/>
        <v>14.7</v>
      </c>
      <c r="AA15" s="48">
        <f t="shared" si="29"/>
        <v>14.7</v>
      </c>
      <c r="AB15" s="48">
        <f t="shared" si="29"/>
        <v>14.363358778625953</v>
      </c>
      <c r="AC15" s="48">
        <f t="shared" si="29"/>
        <v>13.937777777777777</v>
      </c>
      <c r="AD15" s="48">
        <f t="shared" si="29"/>
        <v>13.34468085106383</v>
      </c>
      <c r="AE15" s="48">
        <f t="shared" si="29"/>
        <v>12.799999999999999</v>
      </c>
      <c r="AF15" s="48">
        <f t="shared" si="29"/>
        <v>12.298039215686273</v>
      </c>
      <c r="AG15" s="48">
        <f t="shared" si="29"/>
        <v>11.833962264150943</v>
      </c>
      <c r="AH15" s="48">
        <f t="shared" si="29"/>
        <v>11.334939759036144</v>
      </c>
      <c r="AI15" s="48">
        <f t="shared" si="29"/>
        <v>10.939534883720929</v>
      </c>
      <c r="AJ15" s="48">
        <f t="shared" si="29"/>
        <v>10.630508474576271</v>
      </c>
      <c r="AK15" s="48">
        <f t="shared" si="29"/>
        <v>10.453333333333333</v>
      </c>
      <c r="AL15" s="48">
        <f t="shared" si="29"/>
        <v>10.338461538461537</v>
      </c>
      <c r="AM15" s="48">
        <f t="shared" si="29"/>
        <v>10.17081081081081</v>
      </c>
      <c r="AN15" s="56">
        <f t="shared" si="3"/>
        <v>10.062032085561496</v>
      </c>
      <c r="BK15" s="222">
        <v>1000</v>
      </c>
      <c r="BL15" s="233">
        <f t="shared" si="11"/>
        <v>0</v>
      </c>
      <c r="BM15" s="70">
        <f t="shared" si="12"/>
        <v>0</v>
      </c>
      <c r="BN15" s="70">
        <f t="shared" si="13"/>
        <v>0</v>
      </c>
      <c r="BO15" s="70">
        <f t="shared" si="14"/>
        <v>0</v>
      </c>
      <c r="BP15" s="70">
        <f t="shared" si="15"/>
        <v>0</v>
      </c>
      <c r="BQ15" s="70">
        <f t="shared" si="16"/>
        <v>0</v>
      </c>
      <c r="BR15" s="70">
        <f t="shared" si="17"/>
        <v>0</v>
      </c>
      <c r="BS15" s="70">
        <f t="shared" si="18"/>
        <v>0</v>
      </c>
      <c r="BT15" s="70">
        <f t="shared" si="19"/>
        <v>9.6690647482013503E-2</v>
      </c>
      <c r="BU15" s="70">
        <f t="shared" si="20"/>
        <v>-0.18929577464788672</v>
      </c>
      <c r="BV15" s="70">
        <f t="shared" si="21"/>
        <v>-0.1814482758620688</v>
      </c>
      <c r="BW15" s="70">
        <f t="shared" si="22"/>
        <v>-0.17181208053691321</v>
      </c>
      <c r="BX15" s="70">
        <f t="shared" si="23"/>
        <v>-8.3072847682119644E-2</v>
      </c>
      <c r="BY15" s="70">
        <f t="shared" si="24"/>
        <v>-7.981818181818312E-2</v>
      </c>
      <c r="BZ15" s="70">
        <f t="shared" si="25"/>
        <v>-7.6786624203823095E-2</v>
      </c>
      <c r="CA15" s="70">
        <f t="shared" si="26"/>
        <v>-7.3999999999999844E-2</v>
      </c>
      <c r="CB15" s="70">
        <f t="shared" si="27"/>
        <v>-7.124171779141264E-2</v>
      </c>
      <c r="CC15" s="71">
        <f t="shared" si="28"/>
        <v>-6.9563636363637826E-2</v>
      </c>
    </row>
    <row r="16" spans="1:81" ht="15" customHeight="1">
      <c r="A16" s="36"/>
      <c r="U16" s="302"/>
      <c r="V16" s="51">
        <v>5500</v>
      </c>
      <c r="W16" s="48">
        <f t="shared" si="1"/>
        <v>14.7</v>
      </c>
      <c r="X16" s="48">
        <f t="shared" ref="X16:AM16" si="30">14.7*128/IF(AND($AI$2,X87),MIN($AL$22,MAX($AL$23,$AA$21+X110)),MIN($AL$22,MAX($AL$23,($AA$21+MAX(X110+$Z$2,MIN(X110+$AD$2,ROUND(AVERAGE(X110,X110,X110,X110,W109:Y111),0)))))))</f>
        <v>14.7</v>
      </c>
      <c r="Y16" s="48">
        <f t="shared" si="30"/>
        <v>14.7</v>
      </c>
      <c r="Z16" s="48">
        <f t="shared" si="30"/>
        <v>14.7</v>
      </c>
      <c r="AA16" s="48">
        <f t="shared" si="30"/>
        <v>14.363358778625953</v>
      </c>
      <c r="AB16" s="48">
        <f t="shared" si="30"/>
        <v>13.937777777777777</v>
      </c>
      <c r="AC16" s="48">
        <f t="shared" si="30"/>
        <v>13.44</v>
      </c>
      <c r="AD16" s="48">
        <f t="shared" si="30"/>
        <v>12.799999999999999</v>
      </c>
      <c r="AE16" s="48">
        <f t="shared" si="30"/>
        <v>12.218181818181817</v>
      </c>
      <c r="AF16" s="48">
        <f t="shared" si="30"/>
        <v>11.90886075949367</v>
      </c>
      <c r="AG16" s="48">
        <f t="shared" si="30"/>
        <v>11.543558282208588</v>
      </c>
      <c r="AH16" s="48">
        <f t="shared" si="30"/>
        <v>11.068235294117647</v>
      </c>
      <c r="AI16" s="48">
        <f t="shared" si="30"/>
        <v>10.69090909090909</v>
      </c>
      <c r="AJ16" s="48">
        <f t="shared" si="30"/>
        <v>10.395580110497237</v>
      </c>
      <c r="AK16" s="48">
        <f t="shared" si="30"/>
        <v>10.226086956521739</v>
      </c>
      <c r="AL16" s="48">
        <f t="shared" si="30"/>
        <v>10.062032085561496</v>
      </c>
      <c r="AM16" s="48">
        <f t="shared" si="30"/>
        <v>9.9031578947368413</v>
      </c>
      <c r="AN16" s="56">
        <f t="shared" si="3"/>
        <v>9.8513089005235592</v>
      </c>
      <c r="BK16" s="223">
        <v>1500</v>
      </c>
      <c r="BL16" s="233">
        <f t="shared" si="11"/>
        <v>0</v>
      </c>
      <c r="BM16" s="70">
        <f t="shared" si="12"/>
        <v>0</v>
      </c>
      <c r="BN16" s="70">
        <f t="shared" si="13"/>
        <v>0</v>
      </c>
      <c r="BO16" s="70">
        <f t="shared" si="14"/>
        <v>0</v>
      </c>
      <c r="BP16" s="70">
        <f t="shared" si="15"/>
        <v>0</v>
      </c>
      <c r="BQ16" s="70">
        <f t="shared" si="16"/>
        <v>0</v>
      </c>
      <c r="BR16" s="70">
        <f t="shared" si="17"/>
        <v>0</v>
      </c>
      <c r="BS16" s="70">
        <f t="shared" si="18"/>
        <v>0</v>
      </c>
      <c r="BT16" s="70">
        <f t="shared" si="19"/>
        <v>-0.10713157894736902</v>
      </c>
      <c r="BU16" s="70">
        <f t="shared" si="20"/>
        <v>-0.10099343065693489</v>
      </c>
      <c r="BV16" s="70">
        <f t="shared" si="21"/>
        <v>9.2704225352113312E-2</v>
      </c>
      <c r="BW16" s="70">
        <f t="shared" si="22"/>
        <v>-4.8275862068791753E-5</v>
      </c>
      <c r="BX16" s="70">
        <f t="shared" si="23"/>
        <v>-8.6486486486487379E-2</v>
      </c>
      <c r="BY16" s="70">
        <f t="shared" si="24"/>
        <v>-8.3072847682119644E-2</v>
      </c>
      <c r="BZ16" s="70">
        <f t="shared" si="25"/>
        <v>3.9215686273408323E-5</v>
      </c>
      <c r="CA16" s="70">
        <f t="shared" si="26"/>
        <v>3.846153846076561E-5</v>
      </c>
      <c r="CB16" s="70">
        <f t="shared" si="27"/>
        <v>-3.7735849057085602E-5</v>
      </c>
      <c r="CC16" s="71">
        <f t="shared" si="28"/>
        <v>7.2156521739129786E-2</v>
      </c>
    </row>
    <row r="17" spans="1:81" ht="15" customHeight="1">
      <c r="A17" s="36"/>
      <c r="U17" s="302"/>
      <c r="V17" s="51">
        <v>6000</v>
      </c>
      <c r="W17" s="48">
        <f t="shared" si="1"/>
        <v>14.363358778625953</v>
      </c>
      <c r="X17" s="48">
        <f t="shared" ref="X17:AM17" si="31">14.7*128/IF(AND($AI$2,X88),MIN($AL$22,MAX($AL$23,$AA$21+X111)),MIN($AL$22,MAX($AL$23,($AA$21+MAX(X111+$Z$2,MIN(X111+$AD$2,ROUND(AVERAGE(X111,X111,X111,X111,W110:Y112),0)))))))</f>
        <v>14.363358778625953</v>
      </c>
      <c r="Y17" s="48">
        <f t="shared" si="31"/>
        <v>14.363358778625953</v>
      </c>
      <c r="Z17" s="48">
        <f t="shared" si="31"/>
        <v>14.254545454545454</v>
      </c>
      <c r="AA17" s="48">
        <f t="shared" si="31"/>
        <v>13.835294117647058</v>
      </c>
      <c r="AB17" s="48">
        <f t="shared" si="31"/>
        <v>13.34468085106383</v>
      </c>
      <c r="AC17" s="48">
        <f t="shared" si="31"/>
        <v>12.713513513513513</v>
      </c>
      <c r="AD17" s="48">
        <f t="shared" si="31"/>
        <v>12.061538461538461</v>
      </c>
      <c r="AE17" s="48">
        <f t="shared" si="31"/>
        <v>11.76</v>
      </c>
      <c r="AF17" s="48">
        <f t="shared" si="31"/>
        <v>11.543558282208588</v>
      </c>
      <c r="AG17" s="48">
        <f t="shared" si="31"/>
        <v>11.267065868263472</v>
      </c>
      <c r="AH17" s="48">
        <f t="shared" si="31"/>
        <v>10.876300578034682</v>
      </c>
      <c r="AI17" s="48">
        <f t="shared" si="31"/>
        <v>10.570786516853932</v>
      </c>
      <c r="AJ17" s="48">
        <f t="shared" si="31"/>
        <v>10.281967213114754</v>
      </c>
      <c r="AK17" s="48">
        <f t="shared" si="31"/>
        <v>10.008510638297873</v>
      </c>
      <c r="AL17" s="48">
        <f t="shared" si="31"/>
        <v>9.8513089005235592</v>
      </c>
      <c r="AM17" s="48">
        <f t="shared" si="31"/>
        <v>9.7492227979274606</v>
      </c>
      <c r="AN17" s="56">
        <f t="shared" si="3"/>
        <v>9.6492307692307691</v>
      </c>
      <c r="BK17" s="223">
        <v>2000</v>
      </c>
      <c r="BL17" s="233">
        <f t="shared" si="11"/>
        <v>0</v>
      </c>
      <c r="BM17" s="70">
        <f t="shared" si="12"/>
        <v>0</v>
      </c>
      <c r="BN17" s="70">
        <f t="shared" si="13"/>
        <v>0</v>
      </c>
      <c r="BO17" s="70">
        <f t="shared" si="14"/>
        <v>0</v>
      </c>
      <c r="BP17" s="70">
        <f t="shared" si="15"/>
        <v>0</v>
      </c>
      <c r="BQ17" s="70">
        <f t="shared" si="16"/>
        <v>0</v>
      </c>
      <c r="BR17" s="70">
        <f t="shared" si="17"/>
        <v>0</v>
      </c>
      <c r="BS17" s="70">
        <f t="shared" si="18"/>
        <v>0</v>
      </c>
      <c r="BT17" s="70">
        <f t="shared" si="19"/>
        <v>4.5454545453793571E-5</v>
      </c>
      <c r="BU17" s="70">
        <f t="shared" si="20"/>
        <v>-5.8823529425211518E-6</v>
      </c>
      <c r="BV17" s="70">
        <f t="shared" si="21"/>
        <v>9.6690647482013503E-2</v>
      </c>
      <c r="BW17" s="70">
        <f t="shared" si="22"/>
        <v>9.1341958041956772E-2</v>
      </c>
      <c r="BX17" s="70">
        <f t="shared" si="23"/>
        <v>8.7671232876710192E-2</v>
      </c>
      <c r="BY17" s="70">
        <f t="shared" si="24"/>
        <v>8.5313513513513684E-2</v>
      </c>
      <c r="BZ17" s="70">
        <f t="shared" si="25"/>
        <v>8.2027152317881047E-2</v>
      </c>
      <c r="CA17" s="70">
        <f t="shared" si="26"/>
        <v>7.8781818181816732E-2</v>
      </c>
      <c r="CB17" s="70">
        <f t="shared" si="27"/>
        <v>7.5813375796178306E-2</v>
      </c>
      <c r="CC17" s="71">
        <f t="shared" si="28"/>
        <v>7.3000000000000398E-2</v>
      </c>
    </row>
    <row r="18" spans="1:81" ht="15" customHeight="1">
      <c r="A18" s="36"/>
      <c r="U18" s="302"/>
      <c r="V18" s="51">
        <v>6500</v>
      </c>
      <c r="W18" s="48">
        <f t="shared" si="1"/>
        <v>14.147368421052631</v>
      </c>
      <c r="X18" s="48">
        <f t="shared" ref="X18:AM18" si="32">14.7*128/IF(AND($AI$2,X89),MIN($AL$22,MAX($AL$23,$AA$21+X112)),MIN($AL$22,MAX($AL$23,($AA$21+MAX(X112+$Z$2,MIN(X112+$AD$2,ROUND(AVERAGE(X112,X112,X112,X112,W111:Y113),0)))))))</f>
        <v>14.147368421052631</v>
      </c>
      <c r="Y18" s="48">
        <f t="shared" si="32"/>
        <v>14.041791044776119</v>
      </c>
      <c r="Z18" s="48">
        <f t="shared" si="32"/>
        <v>13.734306569343065</v>
      </c>
      <c r="AA18" s="48">
        <f t="shared" si="32"/>
        <v>13.250704225352113</v>
      </c>
      <c r="AB18" s="48">
        <f t="shared" si="32"/>
        <v>12.713513513513513</v>
      </c>
      <c r="AC18" s="48">
        <f t="shared" si="32"/>
        <v>12.139354838709677</v>
      </c>
      <c r="AD18" s="48">
        <f t="shared" si="32"/>
        <v>11.614814814814814</v>
      </c>
      <c r="AE18" s="48">
        <f t="shared" si="32"/>
        <v>11.473170731707317</v>
      </c>
      <c r="AF18" s="48">
        <f t="shared" si="32"/>
        <v>11.334939759036144</v>
      </c>
      <c r="AG18" s="48">
        <f t="shared" si="32"/>
        <v>11.068235294117647</v>
      </c>
      <c r="AH18" s="48">
        <f t="shared" si="32"/>
        <v>10.69090909090909</v>
      </c>
      <c r="AI18" s="48">
        <f t="shared" si="32"/>
        <v>10.395580110497237</v>
      </c>
      <c r="AJ18" s="48">
        <f t="shared" si="32"/>
        <v>10.116129032258064</v>
      </c>
      <c r="AK18" s="48">
        <f t="shared" si="32"/>
        <v>9.9031578947368413</v>
      </c>
      <c r="AL18" s="48">
        <f t="shared" si="32"/>
        <v>9.7492227979274606</v>
      </c>
      <c r="AM18" s="48">
        <f t="shared" si="32"/>
        <v>9.6492307692307691</v>
      </c>
      <c r="AN18" s="56">
        <f t="shared" si="3"/>
        <v>9.6</v>
      </c>
      <c r="BK18" s="223">
        <v>2500</v>
      </c>
      <c r="BL18" s="233">
        <f t="shared" si="11"/>
        <v>0</v>
      </c>
      <c r="BM18" s="70">
        <f t="shared" si="12"/>
        <v>0</v>
      </c>
      <c r="BN18" s="70">
        <f t="shared" si="13"/>
        <v>0</v>
      </c>
      <c r="BO18" s="70">
        <f t="shared" si="14"/>
        <v>0</v>
      </c>
      <c r="BP18" s="70">
        <f t="shared" si="15"/>
        <v>0</v>
      </c>
      <c r="BQ18" s="70">
        <f t="shared" si="16"/>
        <v>0</v>
      </c>
      <c r="BR18" s="70">
        <f t="shared" si="17"/>
        <v>0</v>
      </c>
      <c r="BS18" s="70">
        <f t="shared" si="18"/>
        <v>0</v>
      </c>
      <c r="BT18" s="70">
        <f t="shared" si="19"/>
        <v>-4.1221374047495374E-5</v>
      </c>
      <c r="BU18" s="70">
        <f t="shared" si="20"/>
        <v>-0.10560895522388059</v>
      </c>
      <c r="BV18" s="70">
        <f t="shared" si="21"/>
        <v>-0.10099343065693489</v>
      </c>
      <c r="BW18" s="70">
        <f t="shared" si="22"/>
        <v>-0.18929577464788672</v>
      </c>
      <c r="BX18" s="70">
        <f t="shared" si="23"/>
        <v>-0.1814482758620688</v>
      </c>
      <c r="BY18" s="70">
        <f t="shared" si="24"/>
        <v>-0.17660000000000053</v>
      </c>
      <c r="BZ18" s="70">
        <f t="shared" si="25"/>
        <v>-0.16950000000000109</v>
      </c>
      <c r="CA18" s="70">
        <f t="shared" si="26"/>
        <v>-0.16286078431372708</v>
      </c>
      <c r="CB18" s="70">
        <f t="shared" si="27"/>
        <v>-0.15666153846153819</v>
      </c>
      <c r="CC18" s="71">
        <f t="shared" si="28"/>
        <v>-0.15073773584905759</v>
      </c>
    </row>
    <row r="19" spans="1:81" ht="15" customHeight="1">
      <c r="A19" s="36"/>
      <c r="U19" s="302"/>
      <c r="V19" s="51">
        <v>7000</v>
      </c>
      <c r="W19" s="48">
        <f t="shared" si="1"/>
        <v>14.041791044776119</v>
      </c>
      <c r="X19" s="48">
        <f t="shared" ref="X19:AM19" si="33">14.7*128/IF(AND($AI$2,X90),MIN($AL$22,MAX($AL$23,$AA$21+X113)),MIN($AL$22,MAX($AL$23,($AA$21+MAX(X113+$Z$2,MIN(X113+$AD$2,ROUND(AVERAGE(X113,X113,X113,X113,W112:Y114),0)))))))</f>
        <v>14.041791044776119</v>
      </c>
      <c r="Y19" s="48">
        <f t="shared" si="33"/>
        <v>13.937777777777777</v>
      </c>
      <c r="Z19" s="48">
        <f t="shared" si="33"/>
        <v>13.536690647482013</v>
      </c>
      <c r="AA19" s="48">
        <f t="shared" si="33"/>
        <v>12.976551724137931</v>
      </c>
      <c r="AB19" s="48">
        <f t="shared" si="33"/>
        <v>12.298039215686273</v>
      </c>
      <c r="AC19" s="48">
        <f t="shared" si="33"/>
        <v>11.76</v>
      </c>
      <c r="AD19" s="48">
        <f t="shared" si="33"/>
        <v>11.473170731707317</v>
      </c>
      <c r="AE19" s="48">
        <f t="shared" si="33"/>
        <v>11.334939759036144</v>
      </c>
      <c r="AF19" s="48">
        <f t="shared" si="33"/>
        <v>11.2</v>
      </c>
      <c r="AG19" s="48">
        <f t="shared" si="33"/>
        <v>10.939534883720929</v>
      </c>
      <c r="AH19" s="48">
        <f t="shared" si="33"/>
        <v>10.630508474576271</v>
      </c>
      <c r="AI19" s="48">
        <f t="shared" si="33"/>
        <v>10.281967213114754</v>
      </c>
      <c r="AJ19" s="48">
        <f t="shared" si="33"/>
        <v>9.9555555555555557</v>
      </c>
      <c r="AK19" s="48">
        <f t="shared" si="33"/>
        <v>9.6989690721649477</v>
      </c>
      <c r="AL19" s="48">
        <f t="shared" si="33"/>
        <v>9.6492307692307691</v>
      </c>
      <c r="AM19" s="48">
        <f t="shared" si="33"/>
        <v>9.6</v>
      </c>
      <c r="AN19" s="56">
        <f t="shared" si="3"/>
        <v>9.6</v>
      </c>
      <c r="BK19" s="224">
        <v>3000</v>
      </c>
      <c r="BL19" s="233">
        <f t="shared" si="11"/>
        <v>0</v>
      </c>
      <c r="BM19" s="70">
        <f t="shared" si="12"/>
        <v>0</v>
      </c>
      <c r="BN19" s="70">
        <f t="shared" si="13"/>
        <v>0</v>
      </c>
      <c r="BO19" s="70">
        <f t="shared" si="14"/>
        <v>0</v>
      </c>
      <c r="BP19" s="70">
        <f t="shared" si="15"/>
        <v>0</v>
      </c>
      <c r="BQ19" s="70">
        <f t="shared" si="16"/>
        <v>0</v>
      </c>
      <c r="BR19" s="70">
        <f t="shared" si="17"/>
        <v>0</v>
      </c>
      <c r="BS19" s="70">
        <f t="shared" si="18"/>
        <v>0</v>
      </c>
      <c r="BT19" s="70">
        <f t="shared" si="19"/>
        <v>-4.1221374047495374E-5</v>
      </c>
      <c r="BU19" s="70">
        <f t="shared" si="20"/>
        <v>-3.157894736816047E-5</v>
      </c>
      <c r="BV19" s="70">
        <f t="shared" si="21"/>
        <v>-0.20650588235294265</v>
      </c>
      <c r="BW19" s="70">
        <f t="shared" si="22"/>
        <v>-0.18403333333333372</v>
      </c>
      <c r="BX19" s="70">
        <f t="shared" si="23"/>
        <v>0.22471337579617767</v>
      </c>
      <c r="BY19" s="70">
        <f t="shared" si="24"/>
        <v>0.20865828220858873</v>
      </c>
      <c r="BZ19" s="70">
        <f t="shared" si="25"/>
        <v>0.19886586826347319</v>
      </c>
      <c r="CA19" s="70">
        <f t="shared" si="26"/>
        <v>0.19422781065088657</v>
      </c>
      <c r="CB19" s="70">
        <f t="shared" si="27"/>
        <v>0.18753488372092875</v>
      </c>
      <c r="CC19" s="71">
        <f t="shared" si="28"/>
        <v>0.1811999999999987</v>
      </c>
    </row>
    <row r="20" spans="1:81" ht="15" customHeight="1" thickBot="1">
      <c r="A20" s="36"/>
      <c r="U20" s="303"/>
      <c r="V20" s="57">
        <v>7500</v>
      </c>
      <c r="W20" s="62">
        <f>14.7*128/IF(AND($AI$2,W91),MIN($AL$22,MAX($AL$23,$AA$21+W114)),MIN($AL$22,MAX($AL$23,($AA$21+MAX(W114+$Z$2,MIN(W114+$AD$2,ROUND(AVERAGE(W114,W114,W114,W114,W113:X114),0)))))))</f>
        <v>14.041791044776119</v>
      </c>
      <c r="X20" s="62">
        <f t="shared" ref="X20:AM20" si="34">14.7*128/IF(AND($AI$2,X91),MIN($AL$22,MAX($AL$23,$AA$21+X114)),MIN($AL$22,MAX($AL$23,($AA$21+MAX(X114+$Z$2,MIN(X114+$AD$2,ROUND(AVERAGE(X114,X114,X114,X114,W113:Y114),0)))))))</f>
        <v>14.041791044776119</v>
      </c>
      <c r="Y20" s="62">
        <f t="shared" si="34"/>
        <v>13.937777777777777</v>
      </c>
      <c r="Z20" s="62">
        <f t="shared" si="34"/>
        <v>13.44</v>
      </c>
      <c r="AA20" s="62">
        <f t="shared" si="34"/>
        <v>12.887671232876711</v>
      </c>
      <c r="AB20" s="62">
        <f t="shared" si="34"/>
        <v>12.218181818181817</v>
      </c>
      <c r="AC20" s="62">
        <f t="shared" si="34"/>
        <v>11.68695652173913</v>
      </c>
      <c r="AD20" s="62">
        <f t="shared" si="34"/>
        <v>11.403636363636362</v>
      </c>
      <c r="AE20" s="62">
        <f t="shared" si="34"/>
        <v>11.267065868263472</v>
      </c>
      <c r="AF20" s="62">
        <f t="shared" si="34"/>
        <v>11.133727810650887</v>
      </c>
      <c r="AG20" s="62">
        <f t="shared" si="34"/>
        <v>10.939534883720929</v>
      </c>
      <c r="AH20" s="62">
        <f t="shared" si="34"/>
        <v>10.570786516853932</v>
      </c>
      <c r="AI20" s="62">
        <f t="shared" si="34"/>
        <v>10.281967213114754</v>
      </c>
      <c r="AJ20" s="62">
        <f t="shared" si="34"/>
        <v>9.9031578947368413</v>
      </c>
      <c r="AK20" s="62">
        <f t="shared" si="34"/>
        <v>9.6492307692307691</v>
      </c>
      <c r="AL20" s="62">
        <f t="shared" si="34"/>
        <v>9.6</v>
      </c>
      <c r="AM20" s="62">
        <f t="shared" si="34"/>
        <v>9.6</v>
      </c>
      <c r="AN20" s="63">
        <f>14.7*128/IF(AND($AI$2,AN91),MIN($AL$22,MAX($AL$23,$AA$21+AN114)),MIN($AL$22,MAX($AL$23,($AA$21+MAX(AN114+$Z$2,MIN(AN114+$AD$2,ROUND(AVERAGE(AN114,AN114,AN114,AN114,AM113:AN114),0)))))))</f>
        <v>9.6</v>
      </c>
      <c r="BK20" s="224">
        <v>3500</v>
      </c>
      <c r="BL20" s="233">
        <f t="shared" si="11"/>
        <v>0</v>
      </c>
      <c r="BM20" s="70">
        <f t="shared" si="12"/>
        <v>0</v>
      </c>
      <c r="BN20" s="70">
        <f t="shared" si="13"/>
        <v>0</v>
      </c>
      <c r="BO20" s="70">
        <f t="shared" si="14"/>
        <v>0</v>
      </c>
      <c r="BP20" s="70">
        <f t="shared" si="15"/>
        <v>0</v>
      </c>
      <c r="BQ20" s="70">
        <f t="shared" si="16"/>
        <v>0</v>
      </c>
      <c r="BR20" s="70">
        <f t="shared" si="17"/>
        <v>0</v>
      </c>
      <c r="BS20" s="70">
        <f t="shared" si="18"/>
        <v>0</v>
      </c>
      <c r="BT20" s="70">
        <f t="shared" si="19"/>
        <v>-4.1221374047495374E-5</v>
      </c>
      <c r="BU20" s="70">
        <f t="shared" si="20"/>
        <v>-0.20962222222222238</v>
      </c>
      <c r="BV20" s="70">
        <f t="shared" si="21"/>
        <v>-0.18929577464788672</v>
      </c>
      <c r="BW20" s="70">
        <f t="shared" si="22"/>
        <v>7.9839215686273945E-2</v>
      </c>
      <c r="BX20" s="70">
        <f t="shared" si="23"/>
        <v>7.0358282208587752E-2</v>
      </c>
      <c r="BY20" s="70">
        <f t="shared" si="24"/>
        <v>0.12720877192982272</v>
      </c>
      <c r="BZ20" s="70">
        <f t="shared" si="25"/>
        <v>-6.8965517243668728E-6</v>
      </c>
      <c r="CA20" s="70">
        <f t="shared" si="26"/>
        <v>0</v>
      </c>
      <c r="CB20" s="70">
        <f t="shared" si="27"/>
        <v>-1.3483146068082874E-5</v>
      </c>
      <c r="CC20" s="71">
        <f t="shared" si="28"/>
        <v>3.1843575419188141E-5</v>
      </c>
    </row>
    <row r="21" spans="1:81" ht="15" customHeight="1" thickBot="1">
      <c r="V21" s="307" t="s">
        <v>20</v>
      </c>
      <c r="W21" s="308"/>
      <c r="X21" s="309"/>
      <c r="Y21" s="336" t="s">
        <v>13</v>
      </c>
      <c r="Z21" s="337"/>
      <c r="AA21" s="327">
        <f>AB21-128</f>
        <v>0</v>
      </c>
      <c r="AB21" s="208">
        <v>128</v>
      </c>
      <c r="BK21" s="224">
        <v>4000</v>
      </c>
      <c r="BL21" s="233">
        <f t="shared" si="11"/>
        <v>0</v>
      </c>
      <c r="BM21" s="70">
        <f t="shared" si="12"/>
        <v>0</v>
      </c>
      <c r="BN21" s="70">
        <f t="shared" si="13"/>
        <v>0</v>
      </c>
      <c r="BO21" s="70">
        <f t="shared" si="14"/>
        <v>0</v>
      </c>
      <c r="BP21" s="70">
        <f t="shared" si="15"/>
        <v>0</v>
      </c>
      <c r="BQ21" s="70">
        <f t="shared" si="16"/>
        <v>0</v>
      </c>
      <c r="BR21" s="70">
        <f t="shared" si="17"/>
        <v>0</v>
      </c>
      <c r="BS21" s="70">
        <f t="shared" si="18"/>
        <v>0</v>
      </c>
      <c r="BT21" s="70">
        <f t="shared" si="19"/>
        <v>-0.10560895522388059</v>
      </c>
      <c r="BU21" s="70">
        <f t="shared" si="20"/>
        <v>-0.19480000000000075</v>
      </c>
      <c r="BV21" s="70">
        <f t="shared" si="21"/>
        <v>8.3099999999998175E-2</v>
      </c>
      <c r="BW21" s="70">
        <f t="shared" si="22"/>
        <v>0.14519999999999911</v>
      </c>
      <c r="BX21" s="70">
        <f t="shared" si="23"/>
        <v>6.706586826347305E-2</v>
      </c>
      <c r="BY21" s="70">
        <f t="shared" si="24"/>
        <v>0.12430057803468131</v>
      </c>
      <c r="BZ21" s="70">
        <f t="shared" si="25"/>
        <v>6.0409090909089969E-2</v>
      </c>
      <c r="CA21" s="70">
        <f t="shared" si="26"/>
        <v>-1.3483146068082874E-5</v>
      </c>
      <c r="CB21" s="70">
        <f t="shared" si="27"/>
        <v>5.7733333333333192E-2</v>
      </c>
      <c r="CC21" s="71">
        <f t="shared" si="28"/>
        <v>0.11236153846153663</v>
      </c>
    </row>
    <row r="22" spans="1:81" s="41" customFormat="1" ht="18" customHeight="1" thickBot="1">
      <c r="V22" s="310"/>
      <c r="W22" s="311"/>
      <c r="X22" s="312"/>
      <c r="Y22" s="316" t="s">
        <v>12</v>
      </c>
      <c r="Z22" s="317"/>
      <c r="AA22" s="319"/>
      <c r="AB22" s="77"/>
      <c r="AH22" s="334" t="s">
        <v>16</v>
      </c>
      <c r="AI22" s="335" t="s">
        <v>16</v>
      </c>
      <c r="AJ22" s="329" t="s">
        <v>17</v>
      </c>
      <c r="AK22" s="330"/>
      <c r="AL22" s="79">
        <v>217</v>
      </c>
      <c r="AM22" s="331">
        <f>14.7*128/AL22</f>
        <v>8.6709677419354829</v>
      </c>
      <c r="AN22" s="332"/>
      <c r="AP22" s="58"/>
      <c r="AQ22" s="58"/>
      <c r="BK22" s="224">
        <v>4500</v>
      </c>
      <c r="BL22" s="233">
        <f t="shared" si="11"/>
        <v>0</v>
      </c>
      <c r="BM22" s="70">
        <f t="shared" si="12"/>
        <v>0</v>
      </c>
      <c r="BN22" s="70">
        <f t="shared" si="13"/>
        <v>0</v>
      </c>
      <c r="BO22" s="70">
        <f t="shared" si="14"/>
        <v>0</v>
      </c>
      <c r="BP22" s="70">
        <f t="shared" si="15"/>
        <v>0</v>
      </c>
      <c r="BQ22" s="70">
        <f t="shared" si="16"/>
        <v>0</v>
      </c>
      <c r="BR22" s="70">
        <f t="shared" si="17"/>
        <v>0.10714545454545465</v>
      </c>
      <c r="BS22" s="70">
        <f t="shared" si="18"/>
        <v>0.10099411764705835</v>
      </c>
      <c r="BT22" s="70">
        <f t="shared" si="19"/>
        <v>0</v>
      </c>
      <c r="BU22" s="70">
        <f t="shared" si="20"/>
        <v>0</v>
      </c>
      <c r="BV22" s="70">
        <f t="shared" si="21"/>
        <v>7.7854838709676244E-2</v>
      </c>
      <c r="BW22" s="70">
        <f t="shared" si="22"/>
        <v>7.0358282208587752E-2</v>
      </c>
      <c r="BX22" s="70">
        <f t="shared" si="23"/>
        <v>3.5294117648021484E-5</v>
      </c>
      <c r="BY22" s="70">
        <f t="shared" si="24"/>
        <v>-6.8965517243668728E-6</v>
      </c>
      <c r="BZ22" s="70">
        <f t="shared" si="25"/>
        <v>-0.1214915254237301</v>
      </c>
      <c r="CA22" s="70">
        <f t="shared" si="26"/>
        <v>-5.906815642458163E-2</v>
      </c>
      <c r="CB22" s="70">
        <f t="shared" si="27"/>
        <v>-5.7138461538462693E-2</v>
      </c>
      <c r="CC22" s="71">
        <f t="shared" si="28"/>
        <v>-1.3043478261920427E-5</v>
      </c>
    </row>
    <row r="23" spans="1:81" s="41" customFormat="1" ht="18" customHeight="1" thickBot="1">
      <c r="V23" s="322" t="s">
        <v>21</v>
      </c>
      <c r="W23" s="323"/>
      <c r="X23" s="324"/>
      <c r="Y23" s="313" t="s">
        <v>13</v>
      </c>
      <c r="Z23" s="314"/>
      <c r="AA23" s="318">
        <f>AB23-128</f>
        <v>0</v>
      </c>
      <c r="AB23" s="76">
        <v>128</v>
      </c>
      <c r="AH23" s="341" t="s">
        <v>15</v>
      </c>
      <c r="AI23" s="342"/>
      <c r="AJ23" s="329" t="s">
        <v>18</v>
      </c>
      <c r="AK23" s="330"/>
      <c r="AL23" s="79">
        <v>128</v>
      </c>
      <c r="AM23" s="331">
        <f>14.7*128/AL23</f>
        <v>14.7</v>
      </c>
      <c r="AN23" s="332"/>
      <c r="AP23" s="59"/>
      <c r="AQ23" s="59"/>
      <c r="BK23" s="224">
        <v>5000</v>
      </c>
      <c r="BL23" s="233">
        <f t="shared" si="11"/>
        <v>0</v>
      </c>
      <c r="BM23" s="70">
        <f t="shared" si="12"/>
        <v>0</v>
      </c>
      <c r="BN23" s="70">
        <f t="shared" si="13"/>
        <v>0</v>
      </c>
      <c r="BO23" s="70">
        <f t="shared" si="14"/>
        <v>0</v>
      </c>
      <c r="BP23" s="70">
        <f t="shared" si="15"/>
        <v>0</v>
      </c>
      <c r="BQ23" s="70">
        <f t="shared" si="16"/>
        <v>-0.11044122137404777</v>
      </c>
      <c r="BR23" s="70">
        <f t="shared" si="17"/>
        <v>-0.20962222222222238</v>
      </c>
      <c r="BS23" s="70">
        <f t="shared" si="18"/>
        <v>-9.5319148936169995E-2</v>
      </c>
      <c r="BT23" s="70">
        <f t="shared" si="19"/>
        <v>0</v>
      </c>
      <c r="BU23" s="70">
        <f t="shared" si="20"/>
        <v>7.9839215686273945E-2</v>
      </c>
      <c r="BV23" s="70">
        <f t="shared" si="21"/>
        <v>-3.7735849057085602E-5</v>
      </c>
      <c r="BW23" s="70">
        <f t="shared" si="22"/>
        <v>-0.13826024096385581</v>
      </c>
      <c r="BX23" s="70">
        <f t="shared" si="23"/>
        <v>3.4883720928746698E-5</v>
      </c>
      <c r="BY23" s="70">
        <f t="shared" si="24"/>
        <v>5.9708474576270376E-2</v>
      </c>
      <c r="BZ23" s="70">
        <f t="shared" si="25"/>
        <v>3.3333333332663528E-5</v>
      </c>
      <c r="CA23" s="70">
        <f t="shared" si="26"/>
        <v>-5.7138461538462693E-2</v>
      </c>
      <c r="CB23" s="70">
        <f t="shared" si="27"/>
        <v>-5.5289189189190679E-2</v>
      </c>
      <c r="CC23" s="71">
        <f t="shared" si="28"/>
        <v>3.2085561496586479E-5</v>
      </c>
    </row>
    <row r="24" spans="1:81" s="41" customFormat="1" ht="18" customHeight="1" thickBot="1">
      <c r="V24" s="310"/>
      <c r="W24" s="311"/>
      <c r="X24" s="312"/>
      <c r="Y24" s="316" t="s">
        <v>12</v>
      </c>
      <c r="Z24" s="317"/>
      <c r="AA24" s="319"/>
      <c r="AB24" s="77"/>
      <c r="AO24" s="59"/>
      <c r="AP24" s="59"/>
      <c r="AQ24" s="59"/>
      <c r="BK24" s="224">
        <v>5500</v>
      </c>
      <c r="BL24" s="233">
        <f t="shared" si="11"/>
        <v>0</v>
      </c>
      <c r="BM24" s="70">
        <f t="shared" si="12"/>
        <v>0</v>
      </c>
      <c r="BN24" s="70">
        <f t="shared" si="13"/>
        <v>0</v>
      </c>
      <c r="BO24" s="70">
        <f t="shared" si="14"/>
        <v>0</v>
      </c>
      <c r="BP24" s="70">
        <f t="shared" si="15"/>
        <v>-0.11044122137404777</v>
      </c>
      <c r="BQ24" s="70">
        <f t="shared" si="16"/>
        <v>-0.10402222222222335</v>
      </c>
      <c r="BR24" s="70">
        <f t="shared" si="17"/>
        <v>-0.19480000000000075</v>
      </c>
      <c r="BS24" s="70">
        <f t="shared" si="18"/>
        <v>0</v>
      </c>
      <c r="BT24" s="70">
        <f t="shared" si="19"/>
        <v>-1.8181818182583243E-5</v>
      </c>
      <c r="BU24" s="70">
        <f t="shared" si="20"/>
        <v>-3.9240506328752645E-5</v>
      </c>
      <c r="BV24" s="70">
        <f t="shared" si="21"/>
        <v>-7.124171779141264E-2</v>
      </c>
      <c r="BW24" s="70">
        <f t="shared" si="22"/>
        <v>0.1287352941176465</v>
      </c>
      <c r="BX24" s="70">
        <f t="shared" si="23"/>
        <v>6.0409090909089969E-2</v>
      </c>
      <c r="BY24" s="70">
        <f t="shared" si="24"/>
        <v>5.7080110497237158E-2</v>
      </c>
      <c r="BZ24" s="70">
        <f t="shared" si="25"/>
        <v>5.5286956521738873E-2</v>
      </c>
      <c r="CA24" s="70">
        <f t="shared" si="26"/>
        <v>3.2085561496586479E-5</v>
      </c>
      <c r="CB24" s="70">
        <f t="shared" si="27"/>
        <v>-2.1052631584694836E-6</v>
      </c>
      <c r="CC24" s="71">
        <f t="shared" si="28"/>
        <v>5.130890052355852E-2</v>
      </c>
    </row>
    <row r="25" spans="1:81" s="41" customFormat="1" ht="15" customHeight="1" thickBot="1">
      <c r="U25" s="321"/>
      <c r="V25" s="321"/>
      <c r="W25" s="321"/>
      <c r="X25" s="321"/>
      <c r="Y25" s="321"/>
      <c r="Z25" s="321"/>
      <c r="AA25" s="321"/>
      <c r="AO25" s="60"/>
      <c r="AP25" s="60"/>
      <c r="AQ25" s="60"/>
      <c r="BK25" s="224">
        <v>6000</v>
      </c>
      <c r="BL25" s="233">
        <f t="shared" si="11"/>
        <v>-4.1221374047495374E-5</v>
      </c>
      <c r="BM25" s="70">
        <f t="shared" si="12"/>
        <v>-4.1221374047495374E-5</v>
      </c>
      <c r="BN25" s="70">
        <f t="shared" si="13"/>
        <v>-4.1221374047495374E-5</v>
      </c>
      <c r="BO25" s="70">
        <f t="shared" si="14"/>
        <v>-0.10885454545454643</v>
      </c>
      <c r="BP25" s="70">
        <f t="shared" si="15"/>
        <v>-0.10250588235294167</v>
      </c>
      <c r="BQ25" s="70">
        <f t="shared" si="16"/>
        <v>-9.5319148936169995E-2</v>
      </c>
      <c r="BR25" s="70">
        <f t="shared" si="17"/>
        <v>1.3513513513530029E-5</v>
      </c>
      <c r="BS25" s="70">
        <f t="shared" si="18"/>
        <v>0.22753846153846169</v>
      </c>
      <c r="BT25" s="70">
        <f t="shared" si="19"/>
        <v>7.3000000000000398E-2</v>
      </c>
      <c r="BU25" s="70">
        <f t="shared" si="20"/>
        <v>7.0358282208587752E-2</v>
      </c>
      <c r="BV25" s="70">
        <f t="shared" si="21"/>
        <v>-3.4131736526887835E-5</v>
      </c>
      <c r="BW25" s="70">
        <f t="shared" si="22"/>
        <v>5.7803468145323222E-7</v>
      </c>
      <c r="BX25" s="70">
        <f t="shared" si="23"/>
        <v>-1.3483146068082874E-5</v>
      </c>
      <c r="BY25" s="70">
        <f t="shared" si="24"/>
        <v>-3.2786885245883468E-5</v>
      </c>
      <c r="BZ25" s="70">
        <f t="shared" si="25"/>
        <v>5.2950638297872388E-2</v>
      </c>
      <c r="CA25" s="70">
        <f t="shared" si="26"/>
        <v>5.130890052355852E-2</v>
      </c>
      <c r="CB25" s="70">
        <f t="shared" si="27"/>
        <v>9.9992797927461297E-2</v>
      </c>
      <c r="CC25" s="71">
        <f t="shared" si="28"/>
        <v>4.9230769230769411E-2</v>
      </c>
    </row>
    <row r="26" spans="1:81" s="41" customFormat="1" ht="15" customHeight="1" thickBot="1">
      <c r="U26" s="278">
        <v>2</v>
      </c>
      <c r="V26" s="279"/>
      <c r="W26" s="304" t="s">
        <v>8</v>
      </c>
      <c r="X26" s="305"/>
      <c r="Y26" s="305"/>
      <c r="Z26" s="305"/>
      <c r="AA26" s="305"/>
      <c r="AB26" s="305"/>
      <c r="AC26" s="305"/>
      <c r="AD26" s="305"/>
      <c r="AE26" s="305"/>
      <c r="AF26" s="305"/>
      <c r="AG26" s="305"/>
      <c r="AH26" s="305"/>
      <c r="AI26" s="305"/>
      <c r="AJ26" s="305"/>
      <c r="AK26" s="305"/>
      <c r="AL26" s="305"/>
      <c r="AM26" s="305"/>
      <c r="AN26" s="306"/>
      <c r="AO26" s="60"/>
      <c r="AP26" s="60"/>
      <c r="AQ26" s="60"/>
      <c r="BK26" s="224">
        <v>6500</v>
      </c>
      <c r="BL26" s="233">
        <f t="shared" si="11"/>
        <v>-3.157894736816047E-5</v>
      </c>
      <c r="BM26" s="70">
        <f t="shared" si="12"/>
        <v>-3.157894736816047E-5</v>
      </c>
      <c r="BN26" s="70">
        <f t="shared" si="13"/>
        <v>-0.10560895522388059</v>
      </c>
      <c r="BO26" s="70">
        <f t="shared" si="14"/>
        <v>9.950656934306501E-2</v>
      </c>
      <c r="BP26" s="70">
        <f t="shared" si="15"/>
        <v>4.2253521126411897E-6</v>
      </c>
      <c r="BQ26" s="70">
        <f t="shared" si="16"/>
        <v>1.3513513513530029E-5</v>
      </c>
      <c r="BR26" s="70">
        <f t="shared" si="17"/>
        <v>7.7854838709676244E-2</v>
      </c>
      <c r="BS26" s="70">
        <f t="shared" si="18"/>
        <v>0.14161481481481353</v>
      </c>
      <c r="BT26" s="70">
        <f t="shared" si="19"/>
        <v>-2.9268292683681807E-5</v>
      </c>
      <c r="BU26" s="70">
        <f t="shared" si="20"/>
        <v>3.9759036145170512E-5</v>
      </c>
      <c r="BV26" s="70">
        <f t="shared" si="21"/>
        <v>3.5294117648021484E-5</v>
      </c>
      <c r="BW26" s="70">
        <f t="shared" si="22"/>
        <v>9.0909090904034429E-6</v>
      </c>
      <c r="BX26" s="70">
        <f t="shared" si="23"/>
        <v>-1.9889502762993061E-5</v>
      </c>
      <c r="BY26" s="70">
        <f t="shared" si="24"/>
        <v>2.9032258064276562E-5</v>
      </c>
      <c r="BZ26" s="70">
        <f t="shared" si="25"/>
        <v>-2.1052631584694836E-6</v>
      </c>
      <c r="CA26" s="70">
        <f t="shared" si="26"/>
        <v>-5.0777202072540106E-2</v>
      </c>
      <c r="CB26" s="70">
        <f t="shared" si="27"/>
        <v>7.6923076974821925E-7</v>
      </c>
      <c r="CC26" s="71">
        <f t="shared" si="28"/>
        <v>0</v>
      </c>
    </row>
    <row r="27" spans="1:81" s="41" customFormat="1" ht="15" customHeight="1" thickBot="1">
      <c r="U27" s="280"/>
      <c r="V27" s="281"/>
      <c r="W27" s="284" t="s">
        <v>0</v>
      </c>
      <c r="X27" s="285"/>
      <c r="Y27" s="285"/>
      <c r="Z27" s="285"/>
      <c r="AA27" s="285"/>
      <c r="AB27" s="285"/>
      <c r="AC27" s="285"/>
      <c r="AD27" s="285"/>
      <c r="AE27" s="285"/>
      <c r="AF27" s="285"/>
      <c r="AG27" s="285"/>
      <c r="AH27" s="285"/>
      <c r="AI27" s="285"/>
      <c r="AJ27" s="285"/>
      <c r="AK27" s="285"/>
      <c r="AL27" s="285"/>
      <c r="AM27" s="285"/>
      <c r="AN27" s="286"/>
      <c r="AO27" s="60"/>
      <c r="AP27" s="60"/>
      <c r="AQ27" s="60"/>
      <c r="BK27" s="224">
        <v>7000</v>
      </c>
      <c r="BL27" s="233">
        <f t="shared" si="11"/>
        <v>-8.9552238815571172E-6</v>
      </c>
      <c r="BM27" s="70">
        <f t="shared" si="12"/>
        <v>-8.9552238815571172E-6</v>
      </c>
      <c r="BN27" s="70">
        <f t="shared" si="13"/>
        <v>-0.10402222222222335</v>
      </c>
      <c r="BO27" s="70">
        <f t="shared" si="14"/>
        <v>9.6690647482013503E-2</v>
      </c>
      <c r="BP27" s="70">
        <f t="shared" si="15"/>
        <v>-4.8275862068791753E-5</v>
      </c>
      <c r="BQ27" s="70">
        <f t="shared" si="16"/>
        <v>7.9839215686273945E-2</v>
      </c>
      <c r="BR27" s="70">
        <f t="shared" si="17"/>
        <v>0.14519999999999911</v>
      </c>
      <c r="BS27" s="70">
        <f t="shared" si="18"/>
        <v>0.1382707317073173</v>
      </c>
      <c r="BT27" s="70">
        <f t="shared" si="19"/>
        <v>6.7839759036145253E-2</v>
      </c>
      <c r="BU27" s="70">
        <f t="shared" si="20"/>
        <v>0</v>
      </c>
      <c r="BV27" s="70">
        <f t="shared" si="21"/>
        <v>3.4883720928746698E-5</v>
      </c>
      <c r="BW27" s="70">
        <f t="shared" si="22"/>
        <v>5.9708474576270376E-2</v>
      </c>
      <c r="BX27" s="70">
        <f t="shared" si="23"/>
        <v>-3.2786885245883468E-5</v>
      </c>
      <c r="BY27" s="70">
        <f t="shared" si="24"/>
        <v>5.2395555555555973E-2</v>
      </c>
      <c r="BZ27" s="70">
        <f t="shared" si="25"/>
        <v>9.8969072164948102E-2</v>
      </c>
      <c r="CA27" s="70">
        <f t="shared" si="26"/>
        <v>4.9230769230769411E-2</v>
      </c>
      <c r="CB27" s="70">
        <f t="shared" si="27"/>
        <v>0</v>
      </c>
      <c r="CC27" s="71">
        <f t="shared" si="28"/>
        <v>0</v>
      </c>
    </row>
    <row r="28" spans="1:81" s="41" customFormat="1" ht="15" customHeight="1" thickBot="1">
      <c r="U28" s="282"/>
      <c r="V28" s="283"/>
      <c r="W28" s="193">
        <v>10</v>
      </c>
      <c r="X28" s="194">
        <v>20</v>
      </c>
      <c r="Y28" s="194">
        <v>30</v>
      </c>
      <c r="Z28" s="194">
        <v>40</v>
      </c>
      <c r="AA28" s="195">
        <v>50</v>
      </c>
      <c r="AB28" s="195">
        <v>60</v>
      </c>
      <c r="AC28" s="195">
        <v>70</v>
      </c>
      <c r="AD28" s="195">
        <v>80</v>
      </c>
      <c r="AE28" s="195">
        <v>90</v>
      </c>
      <c r="AF28" s="195">
        <v>100</v>
      </c>
      <c r="AG28" s="195">
        <v>120</v>
      </c>
      <c r="AH28" s="195">
        <v>140</v>
      </c>
      <c r="AI28" s="196">
        <v>160</v>
      </c>
      <c r="AJ28" s="196">
        <v>180</v>
      </c>
      <c r="AK28" s="196">
        <v>200</v>
      </c>
      <c r="AL28" s="196">
        <v>220</v>
      </c>
      <c r="AM28" s="196">
        <v>240</v>
      </c>
      <c r="AN28" s="197">
        <v>260</v>
      </c>
      <c r="AO28" s="60"/>
      <c r="AP28" s="60"/>
      <c r="AQ28" s="60"/>
      <c r="BK28" s="226">
        <v>7500</v>
      </c>
      <c r="BL28" s="234">
        <f t="shared" si="11"/>
        <v>-8.9552238815571172E-6</v>
      </c>
      <c r="BM28" s="73">
        <f t="shared" si="12"/>
        <v>-8.9552238815571172E-6</v>
      </c>
      <c r="BN28" s="73">
        <f t="shared" si="13"/>
        <v>-0.10402222222222335</v>
      </c>
      <c r="BO28" s="73">
        <f t="shared" si="14"/>
        <v>0</v>
      </c>
      <c r="BP28" s="73">
        <f t="shared" si="15"/>
        <v>-8.8928767123288566E-2</v>
      </c>
      <c r="BQ28" s="73">
        <f t="shared" si="16"/>
        <v>-1.8181818182583243E-5</v>
      </c>
      <c r="BR28" s="73">
        <f t="shared" si="17"/>
        <v>7.2156521739129786E-2</v>
      </c>
      <c r="BS28" s="73">
        <f t="shared" si="18"/>
        <v>6.8736363636363151E-2</v>
      </c>
      <c r="BT28" s="73">
        <f t="shared" si="19"/>
        <v>-3.4131736526887835E-5</v>
      </c>
      <c r="BU28" s="73">
        <f t="shared" si="20"/>
        <v>-6.6272189349112054E-2</v>
      </c>
      <c r="BV28" s="73">
        <f t="shared" si="21"/>
        <v>3.4883720928746698E-5</v>
      </c>
      <c r="BW28" s="73">
        <f t="shared" si="22"/>
        <v>-1.3483146068082874E-5</v>
      </c>
      <c r="BX28" s="73">
        <f t="shared" si="23"/>
        <v>-3.2786885245883468E-5</v>
      </c>
      <c r="BY28" s="73">
        <f t="shared" si="24"/>
        <v>-2.1052631584694836E-6</v>
      </c>
      <c r="BZ28" s="73">
        <f t="shared" si="25"/>
        <v>4.9230769230769411E-2</v>
      </c>
      <c r="CA28" s="73">
        <f t="shared" si="26"/>
        <v>0</v>
      </c>
      <c r="CB28" s="73">
        <f t="shared" si="27"/>
        <v>0</v>
      </c>
      <c r="CC28" s="74">
        <f t="shared" si="28"/>
        <v>0</v>
      </c>
    </row>
    <row r="29" spans="1:81" s="41" customFormat="1" ht="15" customHeight="1">
      <c r="U29" s="301" t="s">
        <v>1</v>
      </c>
      <c r="V29" s="193">
        <v>500</v>
      </c>
      <c r="W29" s="204">
        <v>13.3447</v>
      </c>
      <c r="X29" s="202">
        <v>13.3447</v>
      </c>
      <c r="Y29" s="202">
        <v>13.3447</v>
      </c>
      <c r="Z29" s="202">
        <v>13.3447</v>
      </c>
      <c r="AA29" s="202">
        <v>13.3447</v>
      </c>
      <c r="AB29" s="202">
        <v>13.3447</v>
      </c>
      <c r="AC29" s="202">
        <v>13.3447</v>
      </c>
      <c r="AD29" s="202">
        <v>13.3447</v>
      </c>
      <c r="AE29" s="202">
        <v>12.544</v>
      </c>
      <c r="AF29" s="202">
        <v>12.544</v>
      </c>
      <c r="AG29" s="202">
        <v>12.298</v>
      </c>
      <c r="AH29" s="202">
        <v>12.061500000000001</v>
      </c>
      <c r="AI29" s="202">
        <v>11.834</v>
      </c>
      <c r="AJ29" s="202">
        <v>11.614800000000001</v>
      </c>
      <c r="AK29" s="202">
        <v>11.403600000000001</v>
      </c>
      <c r="AL29" s="202">
        <v>11.2</v>
      </c>
      <c r="AM29" s="202">
        <v>11.003500000000001</v>
      </c>
      <c r="AN29" s="203">
        <v>10.813800000000001</v>
      </c>
      <c r="AO29" s="60"/>
      <c r="AP29" s="60"/>
      <c r="AQ29" s="60"/>
    </row>
    <row r="30" spans="1:81" s="41" customFormat="1" ht="15" customHeight="1">
      <c r="U30" s="302"/>
      <c r="V30" s="222">
        <v>1000</v>
      </c>
      <c r="W30" s="205">
        <v>14.7</v>
      </c>
      <c r="X30" s="48">
        <v>14.7</v>
      </c>
      <c r="Y30" s="48">
        <v>14.7</v>
      </c>
      <c r="Z30" s="48">
        <v>14.7</v>
      </c>
      <c r="AA30" s="48">
        <v>14.7</v>
      </c>
      <c r="AB30" s="48">
        <v>14.7</v>
      </c>
      <c r="AC30" s="48">
        <v>14.7</v>
      </c>
      <c r="AD30" s="48">
        <v>14.7</v>
      </c>
      <c r="AE30" s="48">
        <v>13.44</v>
      </c>
      <c r="AF30" s="48">
        <v>13.44</v>
      </c>
      <c r="AG30" s="48">
        <v>13.157999999999999</v>
      </c>
      <c r="AH30" s="48">
        <v>12.8</v>
      </c>
      <c r="AI30" s="48">
        <v>12.544</v>
      </c>
      <c r="AJ30" s="48">
        <v>12.298</v>
      </c>
      <c r="AK30" s="48">
        <v>12.061500000000001</v>
      </c>
      <c r="AL30" s="48">
        <v>11.834</v>
      </c>
      <c r="AM30" s="48">
        <v>11.614800000000001</v>
      </c>
      <c r="AN30" s="56">
        <v>11.4732</v>
      </c>
      <c r="AO30" s="60"/>
      <c r="AP30" s="60"/>
      <c r="AQ30" s="60"/>
    </row>
    <row r="31" spans="1:81" s="41" customFormat="1" ht="15" customHeight="1" thickBot="1">
      <c r="U31" s="302"/>
      <c r="V31" s="223">
        <v>1500</v>
      </c>
      <c r="W31" s="205">
        <v>14.7</v>
      </c>
      <c r="X31" s="48">
        <v>14.7</v>
      </c>
      <c r="Y31" s="48">
        <v>14.7</v>
      </c>
      <c r="Z31" s="48">
        <v>14.7</v>
      </c>
      <c r="AA31" s="48">
        <v>14.7</v>
      </c>
      <c r="AB31" s="48">
        <v>14.7</v>
      </c>
      <c r="AC31" s="48">
        <v>14.7</v>
      </c>
      <c r="AD31" s="48">
        <v>14.7</v>
      </c>
      <c r="AE31" s="48">
        <v>14.2545</v>
      </c>
      <c r="AF31" s="48">
        <v>13.8353</v>
      </c>
      <c r="AG31" s="48">
        <v>13.157999999999999</v>
      </c>
      <c r="AH31" s="48">
        <v>12.976599999999999</v>
      </c>
      <c r="AI31" s="48">
        <v>12.8</v>
      </c>
      <c r="AJ31" s="48">
        <v>12.544</v>
      </c>
      <c r="AK31" s="48">
        <v>12.298</v>
      </c>
      <c r="AL31" s="48">
        <v>12.061500000000001</v>
      </c>
      <c r="AM31" s="48">
        <v>11.834</v>
      </c>
      <c r="AN31" s="56">
        <v>11.614800000000001</v>
      </c>
      <c r="AO31" s="60"/>
      <c r="AP31" s="60"/>
      <c r="AQ31" s="60"/>
    </row>
    <row r="32" spans="1:81" s="41" customFormat="1" ht="15" customHeight="1" thickBot="1">
      <c r="U32" s="302"/>
      <c r="V32" s="223">
        <v>2000</v>
      </c>
      <c r="W32" s="205">
        <v>14.7</v>
      </c>
      <c r="X32" s="48">
        <v>14.7</v>
      </c>
      <c r="Y32" s="48">
        <v>14.7</v>
      </c>
      <c r="Z32" s="48">
        <v>14.7</v>
      </c>
      <c r="AA32" s="48">
        <v>14.7</v>
      </c>
      <c r="AB32" s="48">
        <v>14.7</v>
      </c>
      <c r="AC32" s="48">
        <v>14.7</v>
      </c>
      <c r="AD32" s="48">
        <v>14.7</v>
      </c>
      <c r="AE32" s="48">
        <v>14.2545</v>
      </c>
      <c r="AF32" s="48">
        <v>13.8353</v>
      </c>
      <c r="AG32" s="48">
        <v>13.44</v>
      </c>
      <c r="AH32" s="48">
        <v>13.066700000000001</v>
      </c>
      <c r="AI32" s="48">
        <v>12.8</v>
      </c>
      <c r="AJ32" s="48">
        <v>12.6282</v>
      </c>
      <c r="AK32" s="48">
        <v>12.3789</v>
      </c>
      <c r="AL32" s="48">
        <v>12.1394</v>
      </c>
      <c r="AM32" s="48">
        <v>11.908899999999999</v>
      </c>
      <c r="AN32" s="56">
        <v>11.686999999999999</v>
      </c>
      <c r="AO32" s="60"/>
      <c r="AP32" s="304" t="s">
        <v>8</v>
      </c>
      <c r="AQ32" s="305"/>
      <c r="AR32" s="305"/>
      <c r="AS32" s="305"/>
      <c r="AT32" s="305"/>
      <c r="AU32" s="305"/>
      <c r="AV32" s="305"/>
      <c r="AW32" s="305"/>
      <c r="AX32" s="305"/>
      <c r="AY32" s="305"/>
      <c r="AZ32" s="305"/>
      <c r="BA32" s="305"/>
      <c r="BB32" s="305"/>
      <c r="BC32" s="305"/>
      <c r="BD32" s="305"/>
      <c r="BE32" s="305"/>
      <c r="BF32" s="305"/>
      <c r="BG32" s="306"/>
    </row>
    <row r="33" spans="21:81" s="41" customFormat="1" ht="15" customHeight="1">
      <c r="U33" s="302"/>
      <c r="V33" s="223">
        <v>2500</v>
      </c>
      <c r="W33" s="205">
        <v>14.7</v>
      </c>
      <c r="X33" s="48">
        <v>14.7</v>
      </c>
      <c r="Y33" s="48">
        <v>14.7</v>
      </c>
      <c r="Z33" s="48">
        <v>14.7</v>
      </c>
      <c r="AA33" s="48">
        <v>14.7</v>
      </c>
      <c r="AB33" s="48">
        <v>14.7</v>
      </c>
      <c r="AC33" s="48">
        <v>14.7</v>
      </c>
      <c r="AD33" s="48">
        <v>14.7</v>
      </c>
      <c r="AE33" s="48">
        <v>14.3634</v>
      </c>
      <c r="AF33" s="48">
        <v>14.147399999999999</v>
      </c>
      <c r="AG33" s="48">
        <v>13.8353</v>
      </c>
      <c r="AH33" s="48">
        <v>13.44</v>
      </c>
      <c r="AI33" s="48">
        <v>13.157999999999999</v>
      </c>
      <c r="AJ33" s="48">
        <v>12.976599999999999</v>
      </c>
      <c r="AK33" s="48">
        <v>12.7135</v>
      </c>
      <c r="AL33" s="48">
        <v>12.460900000000001</v>
      </c>
      <c r="AM33" s="48">
        <v>12.2182</v>
      </c>
      <c r="AN33" s="56">
        <v>11.9847</v>
      </c>
      <c r="AO33" s="60"/>
      <c r="AP33" s="60"/>
      <c r="AQ33" s="60"/>
    </row>
    <row r="34" spans="21:81" s="41" customFormat="1" ht="15" customHeight="1">
      <c r="U34" s="302"/>
      <c r="V34" s="224">
        <v>3000</v>
      </c>
      <c r="W34" s="205">
        <v>14.7</v>
      </c>
      <c r="X34" s="48">
        <v>14.7</v>
      </c>
      <c r="Y34" s="48">
        <v>14.7</v>
      </c>
      <c r="Z34" s="48">
        <v>14.7</v>
      </c>
      <c r="AA34" s="48">
        <v>14.7</v>
      </c>
      <c r="AB34" s="48">
        <v>14.7</v>
      </c>
      <c r="AC34" s="48">
        <v>14.7</v>
      </c>
      <c r="AD34" s="48">
        <v>14.7</v>
      </c>
      <c r="AE34" s="48">
        <v>14.3634</v>
      </c>
      <c r="AF34" s="48">
        <v>14.147399999999999</v>
      </c>
      <c r="AG34" s="48">
        <v>14.0418</v>
      </c>
      <c r="AH34" s="48">
        <v>13.2507</v>
      </c>
      <c r="AI34" s="48">
        <v>11.76</v>
      </c>
      <c r="AJ34" s="48">
        <v>11.334899999999999</v>
      </c>
      <c r="AK34" s="48">
        <v>11.068199999999999</v>
      </c>
      <c r="AL34" s="48">
        <v>10.939500000000001</v>
      </c>
      <c r="AM34" s="48">
        <v>10.752000000000001</v>
      </c>
      <c r="AN34" s="56">
        <v>10.5708</v>
      </c>
      <c r="AO34" s="60"/>
      <c r="AP34" s="60"/>
      <c r="AQ34" s="60"/>
    </row>
    <row r="35" spans="21:81" s="41" customFormat="1" ht="15" customHeight="1">
      <c r="U35" s="302"/>
      <c r="V35" s="224">
        <v>3500</v>
      </c>
      <c r="W35" s="205">
        <v>14.7</v>
      </c>
      <c r="X35" s="48">
        <v>14.7</v>
      </c>
      <c r="Y35" s="48">
        <v>14.7</v>
      </c>
      <c r="Z35" s="48">
        <v>14.7</v>
      </c>
      <c r="AA35" s="48">
        <v>14.7</v>
      </c>
      <c r="AB35" s="48">
        <v>14.7</v>
      </c>
      <c r="AC35" s="48">
        <v>14.7</v>
      </c>
      <c r="AD35" s="48">
        <v>14.7</v>
      </c>
      <c r="AE35" s="48">
        <v>14.3634</v>
      </c>
      <c r="AF35" s="48">
        <v>14.147399999999999</v>
      </c>
      <c r="AG35" s="48">
        <v>13.44</v>
      </c>
      <c r="AH35" s="48">
        <v>12.2182</v>
      </c>
      <c r="AI35" s="48">
        <v>11.4732</v>
      </c>
      <c r="AJ35" s="48">
        <v>10.876300000000001</v>
      </c>
      <c r="AK35" s="48">
        <v>10.813800000000001</v>
      </c>
      <c r="AL35" s="48">
        <v>10.752000000000001</v>
      </c>
      <c r="AM35" s="48">
        <v>10.5708</v>
      </c>
      <c r="AN35" s="56">
        <v>10.511699999999999</v>
      </c>
      <c r="AO35" s="60"/>
      <c r="AP35" s="60"/>
      <c r="AQ35" s="60"/>
    </row>
    <row r="36" spans="21:81" s="41" customFormat="1" ht="15" customHeight="1">
      <c r="U36" s="302"/>
      <c r="V36" s="224">
        <v>4000</v>
      </c>
      <c r="W36" s="205">
        <v>14.7</v>
      </c>
      <c r="X36" s="48">
        <v>14.7</v>
      </c>
      <c r="Y36" s="48">
        <v>14.7</v>
      </c>
      <c r="Z36" s="48">
        <v>14.7</v>
      </c>
      <c r="AA36" s="48">
        <v>14.7</v>
      </c>
      <c r="AB36" s="48">
        <v>14.7</v>
      </c>
      <c r="AC36" s="48">
        <v>14.7</v>
      </c>
      <c r="AD36" s="48">
        <v>14.7</v>
      </c>
      <c r="AE36" s="48">
        <v>14.147399999999999</v>
      </c>
      <c r="AF36" s="48">
        <v>13.6348</v>
      </c>
      <c r="AG36" s="48">
        <v>12.460900000000001</v>
      </c>
      <c r="AH36" s="48">
        <v>11.614800000000001</v>
      </c>
      <c r="AI36" s="48">
        <v>11.2</v>
      </c>
      <c r="AJ36" s="48">
        <v>10.752000000000001</v>
      </c>
      <c r="AK36" s="48">
        <v>10.6305</v>
      </c>
      <c r="AL36" s="48">
        <v>10.5708</v>
      </c>
      <c r="AM36" s="48">
        <v>10.3956</v>
      </c>
      <c r="AN36" s="56">
        <v>10.226100000000001</v>
      </c>
      <c r="AO36" s="60"/>
      <c r="AP36" s="60"/>
      <c r="AQ36" s="60"/>
    </row>
    <row r="37" spans="21:81" s="41" customFormat="1" ht="15" customHeight="1">
      <c r="U37" s="302"/>
      <c r="V37" s="224">
        <v>4500</v>
      </c>
      <c r="W37" s="205">
        <v>14.7</v>
      </c>
      <c r="X37" s="48">
        <v>14.7</v>
      </c>
      <c r="Y37" s="48">
        <v>14.7</v>
      </c>
      <c r="Z37" s="48">
        <v>14.7</v>
      </c>
      <c r="AA37" s="48">
        <v>14.7</v>
      </c>
      <c r="AB37" s="48">
        <v>14.7</v>
      </c>
      <c r="AC37" s="48">
        <v>14.147399999999999</v>
      </c>
      <c r="AD37" s="48">
        <v>13.734299999999999</v>
      </c>
      <c r="AE37" s="48">
        <v>13.44</v>
      </c>
      <c r="AF37" s="48">
        <v>12.8</v>
      </c>
      <c r="AG37" s="48">
        <v>12.061500000000001</v>
      </c>
      <c r="AH37" s="48">
        <v>11.4732</v>
      </c>
      <c r="AI37" s="48">
        <v>11.068199999999999</v>
      </c>
      <c r="AJ37" s="48">
        <v>10.813800000000001</v>
      </c>
      <c r="AK37" s="48">
        <v>10.752000000000001</v>
      </c>
      <c r="AL37" s="48">
        <v>10.5708</v>
      </c>
      <c r="AM37" s="48">
        <v>10.3956</v>
      </c>
      <c r="AN37" s="56">
        <v>10.226100000000001</v>
      </c>
      <c r="AO37" s="60"/>
      <c r="AP37" s="60"/>
      <c r="AQ37" s="60"/>
    </row>
    <row r="38" spans="21:81" s="41" customFormat="1" ht="15" customHeight="1" thickBot="1">
      <c r="U38" s="302"/>
      <c r="V38" s="224">
        <v>5000</v>
      </c>
      <c r="W38" s="205">
        <v>14.7</v>
      </c>
      <c r="X38" s="48">
        <v>14.7</v>
      </c>
      <c r="Y38" s="48">
        <v>14.7</v>
      </c>
      <c r="Z38" s="48">
        <v>14.7</v>
      </c>
      <c r="AA38" s="48">
        <v>14.7</v>
      </c>
      <c r="AB38" s="48">
        <v>14.473800000000001</v>
      </c>
      <c r="AC38" s="48">
        <v>14.147399999999999</v>
      </c>
      <c r="AD38" s="48">
        <v>13.44</v>
      </c>
      <c r="AE38" s="48">
        <v>12.8</v>
      </c>
      <c r="AF38" s="48">
        <v>12.2182</v>
      </c>
      <c r="AG38" s="48">
        <v>11.834</v>
      </c>
      <c r="AH38" s="48">
        <v>11.4732</v>
      </c>
      <c r="AI38" s="48">
        <v>10.939500000000001</v>
      </c>
      <c r="AJ38" s="48">
        <v>10.5708</v>
      </c>
      <c r="AK38" s="48">
        <v>10.4533</v>
      </c>
      <c r="AL38" s="48">
        <v>10.3956</v>
      </c>
      <c r="AM38" s="48">
        <v>10.226100000000001</v>
      </c>
      <c r="AN38" s="56">
        <v>10.061999999999999</v>
      </c>
      <c r="AO38" s="60"/>
      <c r="AP38" s="60"/>
      <c r="AQ38" s="60"/>
    </row>
    <row r="39" spans="21:81" s="41" customFormat="1" ht="15" customHeight="1" thickBot="1">
      <c r="U39" s="302"/>
      <c r="V39" s="224">
        <v>5500</v>
      </c>
      <c r="W39" s="205">
        <v>14.7</v>
      </c>
      <c r="X39" s="48">
        <v>14.7</v>
      </c>
      <c r="Y39" s="48">
        <v>14.7</v>
      </c>
      <c r="Z39" s="48">
        <v>14.7</v>
      </c>
      <c r="AA39" s="48">
        <v>14.473800000000001</v>
      </c>
      <c r="AB39" s="48">
        <v>14.0418</v>
      </c>
      <c r="AC39" s="48">
        <v>13.6348</v>
      </c>
      <c r="AD39" s="48">
        <v>12.8</v>
      </c>
      <c r="AE39" s="48">
        <v>12.2182</v>
      </c>
      <c r="AF39" s="48">
        <v>11.908899999999999</v>
      </c>
      <c r="AG39" s="48">
        <v>11.614800000000001</v>
      </c>
      <c r="AH39" s="48">
        <v>10.939500000000001</v>
      </c>
      <c r="AI39" s="48">
        <v>10.6305</v>
      </c>
      <c r="AJ39" s="48">
        <v>10.3385</v>
      </c>
      <c r="AK39" s="48">
        <v>10.1708</v>
      </c>
      <c r="AL39" s="48">
        <v>10.061999999999999</v>
      </c>
      <c r="AM39" s="48">
        <v>9.9031599999999997</v>
      </c>
      <c r="AN39" s="56">
        <v>9.8000000000000007</v>
      </c>
      <c r="AO39" s="60"/>
      <c r="AP39" s="60"/>
      <c r="AQ39" s="60"/>
      <c r="BK39" s="338" t="s">
        <v>6</v>
      </c>
      <c r="BL39" s="339"/>
      <c r="BM39" s="339"/>
      <c r="BN39" s="339"/>
      <c r="BO39" s="339"/>
      <c r="BP39" s="339"/>
      <c r="BQ39" s="339"/>
      <c r="BR39" s="339"/>
      <c r="BS39" s="339"/>
      <c r="BT39" s="339"/>
      <c r="BU39" s="339"/>
      <c r="BV39" s="339"/>
      <c r="BW39" s="339"/>
      <c r="BX39" s="339"/>
      <c r="BY39" s="339"/>
      <c r="BZ39" s="339"/>
      <c r="CA39" s="339"/>
      <c r="CB39" s="339"/>
      <c r="CC39" s="340"/>
    </row>
    <row r="40" spans="21:81" s="41" customFormat="1" ht="15" customHeight="1" thickBot="1">
      <c r="U40" s="302"/>
      <c r="V40" s="224">
        <v>6000</v>
      </c>
      <c r="W40" s="205">
        <v>14.3634</v>
      </c>
      <c r="X40" s="48">
        <v>14.3634</v>
      </c>
      <c r="Y40" s="48">
        <v>14.3634</v>
      </c>
      <c r="Z40" s="48">
        <v>14.3634</v>
      </c>
      <c r="AA40" s="48">
        <v>13.937799999999999</v>
      </c>
      <c r="AB40" s="48">
        <v>13.44</v>
      </c>
      <c r="AC40" s="48">
        <v>12.7135</v>
      </c>
      <c r="AD40" s="48">
        <v>11.834</v>
      </c>
      <c r="AE40" s="48">
        <v>11.686999999999999</v>
      </c>
      <c r="AF40" s="48">
        <v>11.4732</v>
      </c>
      <c r="AG40" s="48">
        <v>11.267099999999999</v>
      </c>
      <c r="AH40" s="48">
        <v>10.876300000000001</v>
      </c>
      <c r="AI40" s="48">
        <v>10.5708</v>
      </c>
      <c r="AJ40" s="48">
        <v>10.282</v>
      </c>
      <c r="AK40" s="48">
        <v>9.9555600000000002</v>
      </c>
      <c r="AL40" s="48">
        <v>9.8000000000000007</v>
      </c>
      <c r="AM40" s="48">
        <v>9.6492299999999993</v>
      </c>
      <c r="AN40" s="56">
        <v>9.6</v>
      </c>
      <c r="BK40" s="191"/>
      <c r="BL40" s="193">
        <v>10</v>
      </c>
      <c r="BM40" s="194">
        <v>20</v>
      </c>
      <c r="BN40" s="194">
        <v>30</v>
      </c>
      <c r="BO40" s="194">
        <v>40</v>
      </c>
      <c r="BP40" s="195">
        <v>50</v>
      </c>
      <c r="BQ40" s="195">
        <v>60</v>
      </c>
      <c r="BR40" s="195">
        <v>70</v>
      </c>
      <c r="BS40" s="195">
        <v>80</v>
      </c>
      <c r="BT40" s="195">
        <v>90</v>
      </c>
      <c r="BU40" s="195">
        <v>100</v>
      </c>
      <c r="BV40" s="195">
        <v>120</v>
      </c>
      <c r="BW40" s="195">
        <v>140</v>
      </c>
      <c r="BX40" s="196">
        <v>160</v>
      </c>
      <c r="BY40" s="196">
        <v>180</v>
      </c>
      <c r="BZ40" s="196">
        <v>200</v>
      </c>
      <c r="CA40" s="196">
        <v>220</v>
      </c>
      <c r="CB40" s="196">
        <v>240</v>
      </c>
      <c r="CC40" s="197">
        <v>260</v>
      </c>
    </row>
    <row r="41" spans="21:81" s="41" customFormat="1" ht="15" customHeight="1">
      <c r="U41" s="302"/>
      <c r="V41" s="224">
        <v>6500</v>
      </c>
      <c r="W41" s="205">
        <v>14.147399999999999</v>
      </c>
      <c r="X41" s="48">
        <v>14.147399999999999</v>
      </c>
      <c r="Y41" s="48">
        <v>14.147399999999999</v>
      </c>
      <c r="Z41" s="48">
        <v>13.6348</v>
      </c>
      <c r="AA41" s="48">
        <v>13.2507</v>
      </c>
      <c r="AB41" s="48">
        <v>12.7135</v>
      </c>
      <c r="AC41" s="48">
        <v>12.061500000000001</v>
      </c>
      <c r="AD41" s="48">
        <v>11.4732</v>
      </c>
      <c r="AE41" s="48">
        <v>11.4732</v>
      </c>
      <c r="AF41" s="48">
        <v>11.334899999999999</v>
      </c>
      <c r="AG41" s="48">
        <v>11.068199999999999</v>
      </c>
      <c r="AH41" s="48">
        <v>10.690899999999999</v>
      </c>
      <c r="AI41" s="48">
        <v>10.3956</v>
      </c>
      <c r="AJ41" s="48">
        <v>10.116099999999999</v>
      </c>
      <c r="AK41" s="48">
        <v>9.9031599999999997</v>
      </c>
      <c r="AL41" s="48">
        <v>9.8000000000000007</v>
      </c>
      <c r="AM41" s="48">
        <v>9.6492299999999993</v>
      </c>
      <c r="AN41" s="56">
        <v>9.6</v>
      </c>
      <c r="AO41" s="58"/>
      <c r="BK41" s="193">
        <v>500</v>
      </c>
      <c r="BL41" s="232">
        <f t="shared" ref="BL41:BL55" si="35">W29-W53</f>
        <v>0</v>
      </c>
      <c r="BM41" s="199">
        <f t="shared" ref="BM41:BM55" si="36">X29-X53</f>
        <v>0</v>
      </c>
      <c r="BN41" s="199">
        <f t="shared" ref="BN41:BN55" si="37">Y29-Y53</f>
        <v>0</v>
      </c>
      <c r="BO41" s="199">
        <f t="shared" ref="BO41:BO55" si="38">Z29-Z53</f>
        <v>0</v>
      </c>
      <c r="BP41" s="199">
        <f t="shared" ref="BP41:BP55" si="39">AA29-AA53</f>
        <v>0</v>
      </c>
      <c r="BQ41" s="199">
        <f t="shared" ref="BQ41:BQ55" si="40">AB29-AB53</f>
        <v>0</v>
      </c>
      <c r="BR41" s="199">
        <f t="shared" ref="BR41:BR55" si="41">AC29-AC53</f>
        <v>0</v>
      </c>
      <c r="BS41" s="199">
        <f t="shared" ref="BS41:BS55" si="42">AD29-AD53</f>
        <v>0</v>
      </c>
      <c r="BT41" s="199">
        <f t="shared" ref="BT41:BT55" si="43">AE29-AE53</f>
        <v>0.55930000000000035</v>
      </c>
      <c r="BU41" s="199">
        <f t="shared" ref="BU41:BU55" si="44">AF29-AF53</f>
        <v>0.55930000000000035</v>
      </c>
      <c r="BV41" s="199">
        <f t="shared" ref="BV41:BV55" si="45">AG29-AG53</f>
        <v>0.61100000000000065</v>
      </c>
      <c r="BW41" s="199">
        <f t="shared" ref="BW41:BW55" si="46">AH29-AH53</f>
        <v>0.65789999999999971</v>
      </c>
      <c r="BX41" s="199">
        <f t="shared" ref="BX41:BX55" si="47">AI29-AI53</f>
        <v>0.70030000000000037</v>
      </c>
      <c r="BY41" s="199">
        <f t="shared" ref="BY41:BY55" si="48">AJ29-AJ53</f>
        <v>0.73850000000000016</v>
      </c>
      <c r="BZ41" s="199">
        <f t="shared" ref="BZ41:BZ55" si="49">AK29-AK53</f>
        <v>0.77310000000000123</v>
      </c>
      <c r="CA41" s="199">
        <f t="shared" ref="CA41:CA55" si="50">AL29-AL53</f>
        <v>0.80439999999999934</v>
      </c>
      <c r="CB41" s="199">
        <f t="shared" ref="CB41:CB55" si="51">AM29-AM53</f>
        <v>0.83270000000000088</v>
      </c>
      <c r="CC41" s="200">
        <f t="shared" ref="CC41:CC55" si="52">AN29-AN53</f>
        <v>0.85824000000000034</v>
      </c>
    </row>
    <row r="42" spans="21:81" s="41" customFormat="1" ht="15" customHeight="1">
      <c r="U42" s="302"/>
      <c r="V42" s="224">
        <v>7000</v>
      </c>
      <c r="W42" s="205">
        <v>14.0418</v>
      </c>
      <c r="X42" s="48">
        <v>14.0418</v>
      </c>
      <c r="Y42" s="48">
        <v>14.0418</v>
      </c>
      <c r="Z42" s="48">
        <v>13.44</v>
      </c>
      <c r="AA42" s="48">
        <v>12.976599999999999</v>
      </c>
      <c r="AB42" s="48">
        <v>12.2182</v>
      </c>
      <c r="AC42" s="48">
        <v>11.614800000000001</v>
      </c>
      <c r="AD42" s="48">
        <v>11.334899999999999</v>
      </c>
      <c r="AE42" s="48">
        <v>11.267099999999999</v>
      </c>
      <c r="AF42" s="48">
        <v>11.2</v>
      </c>
      <c r="AG42" s="48">
        <v>10.939500000000001</v>
      </c>
      <c r="AH42" s="48">
        <v>10.5708</v>
      </c>
      <c r="AI42" s="48">
        <v>10.282</v>
      </c>
      <c r="AJ42" s="48">
        <v>9.9031599999999997</v>
      </c>
      <c r="AK42" s="48">
        <v>9.6</v>
      </c>
      <c r="AL42" s="48">
        <v>9.6</v>
      </c>
      <c r="AM42" s="48">
        <v>9.6</v>
      </c>
      <c r="AN42" s="56">
        <v>9.6</v>
      </c>
      <c r="AO42" s="59"/>
      <c r="AP42" s="59"/>
      <c r="AQ42" s="59"/>
      <c r="BK42" s="222">
        <v>1000</v>
      </c>
      <c r="BL42" s="233">
        <f t="shared" si="35"/>
        <v>0</v>
      </c>
      <c r="BM42" s="70">
        <f t="shared" si="36"/>
        <v>0</v>
      </c>
      <c r="BN42" s="70">
        <f t="shared" si="37"/>
        <v>0</v>
      </c>
      <c r="BO42" s="70">
        <f t="shared" si="38"/>
        <v>0</v>
      </c>
      <c r="BP42" s="70">
        <f t="shared" si="39"/>
        <v>0</v>
      </c>
      <c r="BQ42" s="70">
        <f t="shared" si="40"/>
        <v>0</v>
      </c>
      <c r="BR42" s="70">
        <f t="shared" si="41"/>
        <v>0</v>
      </c>
      <c r="BS42" s="70">
        <f t="shared" si="42"/>
        <v>0</v>
      </c>
      <c r="BT42" s="70">
        <f t="shared" si="43"/>
        <v>0.37329999999999863</v>
      </c>
      <c r="BU42" s="70">
        <f t="shared" si="44"/>
        <v>0.37329999999999863</v>
      </c>
      <c r="BV42" s="70">
        <f t="shared" si="45"/>
        <v>0.44449999999999967</v>
      </c>
      <c r="BW42" s="70">
        <f t="shared" si="46"/>
        <v>0.42110000000000092</v>
      </c>
      <c r="BX42" s="70">
        <f t="shared" si="47"/>
        <v>0.48249999999999993</v>
      </c>
      <c r="BY42" s="70">
        <f t="shared" si="48"/>
        <v>0.53800000000000026</v>
      </c>
      <c r="BZ42" s="70">
        <f t="shared" si="49"/>
        <v>0.58830000000000027</v>
      </c>
      <c r="CA42" s="70">
        <f t="shared" si="50"/>
        <v>0.63400000000000034</v>
      </c>
      <c r="CB42" s="70">
        <f t="shared" si="51"/>
        <v>0.67530000000000001</v>
      </c>
      <c r="CC42" s="71">
        <f t="shared" si="52"/>
        <v>0.78230000000000111</v>
      </c>
    </row>
    <row r="43" spans="21:81" s="41" customFormat="1" ht="15" customHeight="1" thickBot="1">
      <c r="U43" s="303"/>
      <c r="V43" s="226">
        <v>7500</v>
      </c>
      <c r="W43" s="209">
        <v>14.0418</v>
      </c>
      <c r="X43" s="62">
        <v>14.0418</v>
      </c>
      <c r="Y43" s="62">
        <v>14.0418</v>
      </c>
      <c r="Z43" s="62">
        <v>13.44</v>
      </c>
      <c r="AA43" s="62">
        <v>12.976599999999999</v>
      </c>
      <c r="AB43" s="62">
        <v>12.2182</v>
      </c>
      <c r="AC43" s="62">
        <v>11.614800000000001</v>
      </c>
      <c r="AD43" s="62">
        <v>11.334899999999999</v>
      </c>
      <c r="AE43" s="62">
        <v>11.267099999999999</v>
      </c>
      <c r="AF43" s="62">
        <v>11.2</v>
      </c>
      <c r="AG43" s="62">
        <v>10.939500000000001</v>
      </c>
      <c r="AH43" s="62">
        <v>10.5708</v>
      </c>
      <c r="AI43" s="62">
        <v>10.282</v>
      </c>
      <c r="AJ43" s="62">
        <v>9.9031599999999997</v>
      </c>
      <c r="AK43" s="62">
        <v>9.6</v>
      </c>
      <c r="AL43" s="62">
        <v>9.6</v>
      </c>
      <c r="AM43" s="62">
        <v>9.6</v>
      </c>
      <c r="AN43" s="63">
        <v>9.6</v>
      </c>
      <c r="AO43" s="59"/>
      <c r="AP43" s="59"/>
      <c r="AQ43" s="59"/>
      <c r="BK43" s="223">
        <v>1500</v>
      </c>
      <c r="BL43" s="233">
        <f t="shared" si="35"/>
        <v>0</v>
      </c>
      <c r="BM43" s="70">
        <f t="shared" si="36"/>
        <v>0</v>
      </c>
      <c r="BN43" s="70">
        <f t="shared" si="37"/>
        <v>0</v>
      </c>
      <c r="BO43" s="70">
        <f t="shared" si="38"/>
        <v>0</v>
      </c>
      <c r="BP43" s="70">
        <f t="shared" si="39"/>
        <v>0</v>
      </c>
      <c r="BQ43" s="70">
        <f t="shared" si="40"/>
        <v>0</v>
      </c>
      <c r="BR43" s="70">
        <f t="shared" si="41"/>
        <v>0</v>
      </c>
      <c r="BS43" s="70">
        <f t="shared" si="42"/>
        <v>0</v>
      </c>
      <c r="BT43" s="70">
        <f t="shared" si="43"/>
        <v>0.10710000000000086</v>
      </c>
      <c r="BU43" s="70">
        <f t="shared" si="44"/>
        <v>0.2004999999999999</v>
      </c>
      <c r="BV43" s="70">
        <f t="shared" si="45"/>
        <v>0.44449999999999967</v>
      </c>
      <c r="BW43" s="70">
        <f t="shared" si="46"/>
        <v>0.43259999999999899</v>
      </c>
      <c r="BX43" s="70">
        <f t="shared" si="47"/>
        <v>0.42110000000000092</v>
      </c>
      <c r="BY43" s="70">
        <f t="shared" si="48"/>
        <v>0.48249999999999993</v>
      </c>
      <c r="BZ43" s="70">
        <f t="shared" si="49"/>
        <v>0.53800000000000026</v>
      </c>
      <c r="CA43" s="70">
        <f t="shared" si="50"/>
        <v>0.58830000000000027</v>
      </c>
      <c r="CB43" s="70">
        <f t="shared" si="51"/>
        <v>0.63400000000000034</v>
      </c>
      <c r="CC43" s="71">
        <f t="shared" si="52"/>
        <v>0.67530000000000001</v>
      </c>
    </row>
    <row r="44" spans="21:81" s="41" customFormat="1" ht="15" customHeight="1">
      <c r="AO44" s="60"/>
      <c r="AP44" s="60"/>
      <c r="AQ44" s="60"/>
      <c r="BK44" s="223">
        <v>2000</v>
      </c>
      <c r="BL44" s="233">
        <f t="shared" si="35"/>
        <v>0</v>
      </c>
      <c r="BM44" s="70">
        <f t="shared" si="36"/>
        <v>0</v>
      </c>
      <c r="BN44" s="70">
        <f t="shared" si="37"/>
        <v>0</v>
      </c>
      <c r="BO44" s="70">
        <f t="shared" si="38"/>
        <v>0</v>
      </c>
      <c r="BP44" s="70">
        <f t="shared" si="39"/>
        <v>0</v>
      </c>
      <c r="BQ44" s="70">
        <f t="shared" si="40"/>
        <v>0</v>
      </c>
      <c r="BR44" s="70">
        <f t="shared" si="41"/>
        <v>0</v>
      </c>
      <c r="BS44" s="70">
        <f t="shared" si="42"/>
        <v>0</v>
      </c>
      <c r="BT44" s="70">
        <f t="shared" si="43"/>
        <v>0.10710000000000086</v>
      </c>
      <c r="BU44" s="70">
        <f t="shared" si="44"/>
        <v>0.2004999999999999</v>
      </c>
      <c r="BV44" s="70">
        <f t="shared" si="45"/>
        <v>0.37329999999999863</v>
      </c>
      <c r="BW44" s="70">
        <f t="shared" si="46"/>
        <v>0.43850000000000122</v>
      </c>
      <c r="BX44" s="70">
        <f t="shared" si="47"/>
        <v>0.50200000000000067</v>
      </c>
      <c r="BY44" s="70">
        <f t="shared" si="48"/>
        <v>0.48879999999999946</v>
      </c>
      <c r="BZ44" s="70">
        <f t="shared" si="49"/>
        <v>0.54490000000000016</v>
      </c>
      <c r="CA44" s="70">
        <f t="shared" si="50"/>
        <v>0.59580000000000055</v>
      </c>
      <c r="CB44" s="70">
        <f t="shared" si="51"/>
        <v>0.64179999999999993</v>
      </c>
      <c r="CC44" s="71">
        <f t="shared" si="52"/>
        <v>0.68349999999999866</v>
      </c>
    </row>
    <row r="45" spans="21:81" s="41" customFormat="1" ht="15" customHeight="1">
      <c r="AO45" s="60"/>
      <c r="AP45" s="60"/>
      <c r="AQ45" s="60"/>
      <c r="BK45" s="223">
        <v>2500</v>
      </c>
      <c r="BL45" s="233">
        <f t="shared" si="35"/>
        <v>0</v>
      </c>
      <c r="BM45" s="70">
        <f t="shared" si="36"/>
        <v>0</v>
      </c>
      <c r="BN45" s="70">
        <f t="shared" si="37"/>
        <v>0</v>
      </c>
      <c r="BO45" s="70">
        <f t="shared" si="38"/>
        <v>0</v>
      </c>
      <c r="BP45" s="70">
        <f t="shared" si="39"/>
        <v>0</v>
      </c>
      <c r="BQ45" s="70">
        <f t="shared" si="40"/>
        <v>0</v>
      </c>
      <c r="BR45" s="70">
        <f t="shared" si="41"/>
        <v>0</v>
      </c>
      <c r="BS45" s="70">
        <f t="shared" si="42"/>
        <v>0</v>
      </c>
      <c r="BT45" s="70">
        <f t="shared" si="43"/>
        <v>0.10890000000000022</v>
      </c>
      <c r="BU45" s="70">
        <f t="shared" si="44"/>
        <v>0.20960000000000001</v>
      </c>
      <c r="BV45" s="70">
        <f t="shared" si="45"/>
        <v>0.2004999999999999</v>
      </c>
      <c r="BW45" s="70">
        <f t="shared" si="46"/>
        <v>0.37329999999999863</v>
      </c>
      <c r="BX45" s="70">
        <f t="shared" si="47"/>
        <v>0.35799999999999876</v>
      </c>
      <c r="BY45" s="70">
        <f t="shared" si="48"/>
        <v>0.43259999999999899</v>
      </c>
      <c r="BZ45" s="70">
        <f t="shared" si="49"/>
        <v>0.4953000000000003</v>
      </c>
      <c r="CA45" s="70">
        <f t="shared" si="50"/>
        <v>0.55200000000000138</v>
      </c>
      <c r="CB45" s="70">
        <f t="shared" si="51"/>
        <v>0.60339999999999883</v>
      </c>
      <c r="CC45" s="71">
        <f t="shared" si="52"/>
        <v>0.64980000000000082</v>
      </c>
    </row>
    <row r="46" spans="21:81" s="41" customFormat="1" ht="15" customHeight="1">
      <c r="AO46" s="60"/>
      <c r="AP46" s="60"/>
      <c r="AQ46" s="60"/>
      <c r="BK46" s="224">
        <v>3000</v>
      </c>
      <c r="BL46" s="233">
        <f t="shared" si="35"/>
        <v>0</v>
      </c>
      <c r="BM46" s="70">
        <f t="shared" si="36"/>
        <v>0</v>
      </c>
      <c r="BN46" s="70">
        <f t="shared" si="37"/>
        <v>0</v>
      </c>
      <c r="BO46" s="70">
        <f t="shared" si="38"/>
        <v>0</v>
      </c>
      <c r="BP46" s="70">
        <f t="shared" si="39"/>
        <v>0</v>
      </c>
      <c r="BQ46" s="70">
        <f t="shared" si="40"/>
        <v>0</v>
      </c>
      <c r="BR46" s="70">
        <f t="shared" si="41"/>
        <v>0</v>
      </c>
      <c r="BS46" s="70">
        <f t="shared" si="42"/>
        <v>0</v>
      </c>
      <c r="BT46" s="70">
        <f t="shared" si="43"/>
        <v>0.10890000000000022</v>
      </c>
      <c r="BU46" s="70">
        <f t="shared" si="44"/>
        <v>0.10559999999999903</v>
      </c>
      <c r="BV46" s="70">
        <f t="shared" si="45"/>
        <v>0.20650000000000013</v>
      </c>
      <c r="BW46" s="70">
        <f t="shared" si="46"/>
        <v>0.36299999999999955</v>
      </c>
      <c r="BX46" s="70">
        <f t="shared" si="47"/>
        <v>0.69180000000000064</v>
      </c>
      <c r="BY46" s="70">
        <f t="shared" si="48"/>
        <v>0.76409999999999911</v>
      </c>
      <c r="BZ46" s="70">
        <f t="shared" si="49"/>
        <v>0.78619999999999912</v>
      </c>
      <c r="CA46" s="70">
        <f t="shared" si="50"/>
        <v>0.87750000000000128</v>
      </c>
      <c r="CB46" s="70">
        <f t="shared" si="51"/>
        <v>0.90069000000000088</v>
      </c>
      <c r="CC46" s="71">
        <f t="shared" si="52"/>
        <v>0.92157000000000089</v>
      </c>
    </row>
    <row r="47" spans="21:81" s="41" customFormat="1" ht="15" customHeight="1">
      <c r="AO47" s="60"/>
      <c r="AP47" s="60"/>
      <c r="AQ47" s="60"/>
      <c r="BK47" s="224">
        <v>3500</v>
      </c>
      <c r="BL47" s="233">
        <f t="shared" si="35"/>
        <v>0</v>
      </c>
      <c r="BM47" s="70">
        <f t="shared" si="36"/>
        <v>0</v>
      </c>
      <c r="BN47" s="70">
        <f t="shared" si="37"/>
        <v>0</v>
      </c>
      <c r="BO47" s="70">
        <f t="shared" si="38"/>
        <v>0</v>
      </c>
      <c r="BP47" s="70">
        <f t="shared" si="39"/>
        <v>0</v>
      </c>
      <c r="BQ47" s="70">
        <f t="shared" si="40"/>
        <v>0</v>
      </c>
      <c r="BR47" s="70">
        <f t="shared" si="41"/>
        <v>0</v>
      </c>
      <c r="BS47" s="70">
        <f t="shared" si="42"/>
        <v>0</v>
      </c>
      <c r="BT47" s="70">
        <f t="shared" si="43"/>
        <v>0.10890000000000022</v>
      </c>
      <c r="BU47" s="70">
        <f t="shared" si="44"/>
        <v>0.10559999999999903</v>
      </c>
      <c r="BV47" s="70">
        <f t="shared" si="45"/>
        <v>0.37329999999999863</v>
      </c>
      <c r="BW47" s="70">
        <f t="shared" si="46"/>
        <v>0.60339999999999883</v>
      </c>
      <c r="BX47" s="70">
        <f t="shared" si="47"/>
        <v>0.72119999999999962</v>
      </c>
      <c r="BY47" s="70">
        <f t="shared" si="48"/>
        <v>0.86780000000000079</v>
      </c>
      <c r="BZ47" s="70">
        <f t="shared" si="49"/>
        <v>0.85824000000000034</v>
      </c>
      <c r="CA47" s="70">
        <f t="shared" si="50"/>
        <v>0.84884000000000093</v>
      </c>
      <c r="CB47" s="70">
        <f t="shared" si="51"/>
        <v>0.87183000000000099</v>
      </c>
      <c r="CC47" s="71">
        <f t="shared" si="52"/>
        <v>0.91169999999999973</v>
      </c>
    </row>
    <row r="48" spans="21:81" s="41" customFormat="1" ht="15" customHeight="1">
      <c r="AO48" s="60"/>
      <c r="AP48" s="60"/>
      <c r="AQ48" s="60"/>
      <c r="BK48" s="224">
        <v>4000</v>
      </c>
      <c r="BL48" s="233">
        <f t="shared" si="35"/>
        <v>0</v>
      </c>
      <c r="BM48" s="70">
        <f t="shared" si="36"/>
        <v>0</v>
      </c>
      <c r="BN48" s="70">
        <f t="shared" si="37"/>
        <v>0</v>
      </c>
      <c r="BO48" s="70">
        <f t="shared" si="38"/>
        <v>0</v>
      </c>
      <c r="BP48" s="70">
        <f t="shared" si="39"/>
        <v>0</v>
      </c>
      <c r="BQ48" s="70">
        <f t="shared" si="40"/>
        <v>0</v>
      </c>
      <c r="BR48" s="70">
        <f t="shared" si="41"/>
        <v>0</v>
      </c>
      <c r="BS48" s="70">
        <f t="shared" si="42"/>
        <v>0</v>
      </c>
      <c r="BT48" s="70">
        <f t="shared" si="43"/>
        <v>0.20960000000000001</v>
      </c>
      <c r="BU48" s="70">
        <f t="shared" si="44"/>
        <v>0.29010000000000069</v>
      </c>
      <c r="BV48" s="70">
        <f t="shared" si="45"/>
        <v>0.55200000000000138</v>
      </c>
      <c r="BW48" s="70">
        <f t="shared" si="46"/>
        <v>0.67530000000000001</v>
      </c>
      <c r="BX48" s="70">
        <f t="shared" si="47"/>
        <v>0.80439999999999934</v>
      </c>
      <c r="BY48" s="70">
        <f t="shared" si="48"/>
        <v>0.90069000000000088</v>
      </c>
      <c r="BZ48" s="70">
        <f t="shared" si="49"/>
        <v>0.88128000000000029</v>
      </c>
      <c r="CA48" s="70">
        <f t="shared" si="50"/>
        <v>0.92157000000000089</v>
      </c>
      <c r="CB48" s="70">
        <f t="shared" si="51"/>
        <v>0.94031999999999982</v>
      </c>
      <c r="CC48" s="71">
        <f t="shared" si="52"/>
        <v>0.95713000000000115</v>
      </c>
    </row>
    <row r="49" spans="21:81" s="41" customFormat="1" ht="15" customHeight="1" thickBot="1">
      <c r="AO49" s="60"/>
      <c r="AP49" s="60"/>
      <c r="AQ49" s="60"/>
      <c r="BK49" s="224">
        <v>4500</v>
      </c>
      <c r="BL49" s="233">
        <f t="shared" si="35"/>
        <v>0</v>
      </c>
      <c r="BM49" s="70">
        <f t="shared" si="36"/>
        <v>0</v>
      </c>
      <c r="BN49" s="70">
        <f t="shared" si="37"/>
        <v>0</v>
      </c>
      <c r="BO49" s="70">
        <f t="shared" si="38"/>
        <v>0</v>
      </c>
      <c r="BP49" s="70">
        <f t="shared" si="39"/>
        <v>0</v>
      </c>
      <c r="BQ49" s="70">
        <f t="shared" si="40"/>
        <v>0</v>
      </c>
      <c r="BR49" s="70">
        <f t="shared" si="41"/>
        <v>0.10559999999999903</v>
      </c>
      <c r="BS49" s="70">
        <f t="shared" si="42"/>
        <v>0.19759999999999955</v>
      </c>
      <c r="BT49" s="70">
        <f t="shared" si="43"/>
        <v>0.28200000000000003</v>
      </c>
      <c r="BU49" s="70">
        <f t="shared" si="44"/>
        <v>0.50200000000000067</v>
      </c>
      <c r="BV49" s="70">
        <f t="shared" si="45"/>
        <v>0.65789999999999971</v>
      </c>
      <c r="BW49" s="70">
        <f t="shared" si="46"/>
        <v>0.78230000000000111</v>
      </c>
      <c r="BX49" s="70">
        <f t="shared" si="47"/>
        <v>0.78619999999999912</v>
      </c>
      <c r="BY49" s="70">
        <f t="shared" si="48"/>
        <v>0.85824000000000034</v>
      </c>
      <c r="BZ49" s="70">
        <f t="shared" si="49"/>
        <v>0.90069000000000088</v>
      </c>
      <c r="CA49" s="70">
        <f t="shared" si="50"/>
        <v>0.92157000000000089</v>
      </c>
      <c r="CB49" s="70">
        <f t="shared" si="51"/>
        <v>0.94031999999999982</v>
      </c>
      <c r="CC49" s="71">
        <f t="shared" si="52"/>
        <v>0.95713000000000115</v>
      </c>
    </row>
    <row r="50" spans="21:81" s="41" customFormat="1" ht="15" customHeight="1" thickBot="1">
      <c r="U50" s="278">
        <v>3</v>
      </c>
      <c r="V50" s="279"/>
      <c r="W50" s="304" t="s">
        <v>42</v>
      </c>
      <c r="X50" s="305"/>
      <c r="Y50" s="305"/>
      <c r="Z50" s="305"/>
      <c r="AA50" s="305"/>
      <c r="AB50" s="305"/>
      <c r="AC50" s="305"/>
      <c r="AD50" s="305"/>
      <c r="AE50" s="305"/>
      <c r="AF50" s="305"/>
      <c r="AG50" s="305"/>
      <c r="AH50" s="305"/>
      <c r="AI50" s="305"/>
      <c r="AJ50" s="305"/>
      <c r="AK50" s="305"/>
      <c r="AL50" s="305"/>
      <c r="AM50" s="305"/>
      <c r="AN50" s="306"/>
      <c r="AO50" s="60"/>
      <c r="AP50" s="60"/>
      <c r="AQ50" s="60"/>
      <c r="BK50" s="224">
        <v>5000</v>
      </c>
      <c r="BL50" s="233">
        <f t="shared" si="35"/>
        <v>0</v>
      </c>
      <c r="BM50" s="70">
        <f t="shared" si="36"/>
        <v>0</v>
      </c>
      <c r="BN50" s="70">
        <f t="shared" si="37"/>
        <v>0</v>
      </c>
      <c r="BO50" s="70">
        <f t="shared" si="38"/>
        <v>0</v>
      </c>
      <c r="BP50" s="70">
        <f t="shared" si="39"/>
        <v>0</v>
      </c>
      <c r="BQ50" s="70">
        <f t="shared" si="40"/>
        <v>0</v>
      </c>
      <c r="BR50" s="70">
        <f t="shared" si="41"/>
        <v>0.10559999999999903</v>
      </c>
      <c r="BS50" s="70">
        <f t="shared" si="42"/>
        <v>0.28200000000000003</v>
      </c>
      <c r="BT50" s="70">
        <f t="shared" si="43"/>
        <v>0.50200000000000067</v>
      </c>
      <c r="BU50" s="70">
        <f t="shared" si="44"/>
        <v>0.60339999999999883</v>
      </c>
      <c r="BV50" s="70">
        <f t="shared" si="45"/>
        <v>0.70030000000000037</v>
      </c>
      <c r="BW50" s="70">
        <f t="shared" si="46"/>
        <v>0.72119999999999962</v>
      </c>
      <c r="BX50" s="70">
        <f t="shared" si="47"/>
        <v>0.82340000000000124</v>
      </c>
      <c r="BY50" s="70">
        <f t="shared" si="48"/>
        <v>0.92157000000000089</v>
      </c>
      <c r="BZ50" s="70">
        <f t="shared" si="49"/>
        <v>0.90202999999999989</v>
      </c>
      <c r="CA50" s="70">
        <f t="shared" si="50"/>
        <v>0.94031999999999982</v>
      </c>
      <c r="CB50" s="70">
        <f t="shared" si="51"/>
        <v>0.95713000000000115</v>
      </c>
      <c r="CC50" s="71">
        <f t="shared" si="52"/>
        <v>0.97213999999999956</v>
      </c>
    </row>
    <row r="51" spans="21:81" s="41" customFormat="1" ht="15" customHeight="1" thickBot="1">
      <c r="U51" s="280"/>
      <c r="V51" s="281"/>
      <c r="W51" s="284" t="s">
        <v>0</v>
      </c>
      <c r="X51" s="285"/>
      <c r="Y51" s="285"/>
      <c r="Z51" s="285"/>
      <c r="AA51" s="285"/>
      <c r="AB51" s="285"/>
      <c r="AC51" s="285"/>
      <c r="AD51" s="285"/>
      <c r="AE51" s="285"/>
      <c r="AF51" s="285"/>
      <c r="AG51" s="285"/>
      <c r="AH51" s="285"/>
      <c r="AI51" s="285"/>
      <c r="AJ51" s="285"/>
      <c r="AK51" s="285"/>
      <c r="AL51" s="285"/>
      <c r="AM51" s="285"/>
      <c r="AN51" s="286"/>
      <c r="AO51" s="60"/>
      <c r="AP51" s="60"/>
      <c r="BK51" s="224">
        <v>5500</v>
      </c>
      <c r="BL51" s="233">
        <f t="shared" si="35"/>
        <v>0</v>
      </c>
      <c r="BM51" s="70">
        <f t="shared" si="36"/>
        <v>0</v>
      </c>
      <c r="BN51" s="70">
        <f t="shared" si="37"/>
        <v>0</v>
      </c>
      <c r="BO51" s="70">
        <f t="shared" si="38"/>
        <v>0</v>
      </c>
      <c r="BP51" s="70">
        <f t="shared" si="39"/>
        <v>0.11040000000000028</v>
      </c>
      <c r="BQ51" s="70">
        <f t="shared" si="40"/>
        <v>0.20650000000000013</v>
      </c>
      <c r="BR51" s="70">
        <f t="shared" si="41"/>
        <v>0.29010000000000069</v>
      </c>
      <c r="BS51" s="70">
        <f t="shared" si="42"/>
        <v>0.42110000000000092</v>
      </c>
      <c r="BT51" s="70">
        <f t="shared" si="43"/>
        <v>0.60339999999999883</v>
      </c>
      <c r="BU51" s="70">
        <f t="shared" si="44"/>
        <v>0.64179999999999993</v>
      </c>
      <c r="BV51" s="70">
        <f t="shared" si="45"/>
        <v>0.73850000000000016</v>
      </c>
      <c r="BW51" s="70">
        <f t="shared" si="46"/>
        <v>0.82340000000000124</v>
      </c>
      <c r="BX51" s="70">
        <f t="shared" si="47"/>
        <v>0.88128000000000029</v>
      </c>
      <c r="BY51" s="70">
        <f t="shared" si="48"/>
        <v>0.93050000000000033</v>
      </c>
      <c r="BZ51" s="70">
        <f t="shared" si="49"/>
        <v>0.85594999999999999</v>
      </c>
      <c r="CA51" s="70">
        <f t="shared" si="50"/>
        <v>0.83846999999999916</v>
      </c>
      <c r="CB51" s="70">
        <f t="shared" si="51"/>
        <v>0.85700999999999894</v>
      </c>
      <c r="CC51" s="71">
        <f t="shared" si="52"/>
        <v>0.92453000000000074</v>
      </c>
    </row>
    <row r="52" spans="21:81" s="41" customFormat="1" ht="15" customHeight="1" thickBot="1">
      <c r="U52" s="282"/>
      <c r="V52" s="283"/>
      <c r="W52" s="193">
        <v>10</v>
      </c>
      <c r="X52" s="194">
        <v>20</v>
      </c>
      <c r="Y52" s="194">
        <v>30</v>
      </c>
      <c r="Z52" s="194">
        <v>40</v>
      </c>
      <c r="AA52" s="195">
        <v>50</v>
      </c>
      <c r="AB52" s="195">
        <v>60</v>
      </c>
      <c r="AC52" s="195">
        <v>70</v>
      </c>
      <c r="AD52" s="195">
        <v>80</v>
      </c>
      <c r="AE52" s="195">
        <v>90</v>
      </c>
      <c r="AF52" s="195">
        <v>100</v>
      </c>
      <c r="AG52" s="195">
        <v>120</v>
      </c>
      <c r="AH52" s="195">
        <v>140</v>
      </c>
      <c r="AI52" s="196">
        <v>160</v>
      </c>
      <c r="AJ52" s="196">
        <v>180</v>
      </c>
      <c r="AK52" s="196">
        <v>200</v>
      </c>
      <c r="AL52" s="196">
        <v>220</v>
      </c>
      <c r="AM52" s="196">
        <v>240</v>
      </c>
      <c r="AN52" s="197">
        <v>260</v>
      </c>
      <c r="AO52" s="60"/>
      <c r="AP52" s="60"/>
      <c r="BK52" s="224">
        <v>6000</v>
      </c>
      <c r="BL52" s="233">
        <f t="shared" si="35"/>
        <v>0.10890000000000022</v>
      </c>
      <c r="BM52" s="70">
        <f t="shared" si="36"/>
        <v>0.10890000000000022</v>
      </c>
      <c r="BN52" s="70">
        <f t="shared" si="37"/>
        <v>0.10890000000000022</v>
      </c>
      <c r="BO52" s="70">
        <f t="shared" si="38"/>
        <v>0.10890000000000022</v>
      </c>
      <c r="BP52" s="70">
        <f t="shared" si="39"/>
        <v>0.20350000000000001</v>
      </c>
      <c r="BQ52" s="70">
        <f t="shared" si="40"/>
        <v>0.37329999999999863</v>
      </c>
      <c r="BR52" s="70">
        <f t="shared" si="41"/>
        <v>0.4953000000000003</v>
      </c>
      <c r="BS52" s="70">
        <f t="shared" si="42"/>
        <v>0.63400000000000034</v>
      </c>
      <c r="BT52" s="70">
        <f t="shared" si="43"/>
        <v>0.68349999999999866</v>
      </c>
      <c r="BU52" s="70">
        <f t="shared" si="44"/>
        <v>0.78230000000000111</v>
      </c>
      <c r="BV52" s="70">
        <f t="shared" si="45"/>
        <v>0.75539999999999985</v>
      </c>
      <c r="BW52" s="70">
        <f t="shared" si="46"/>
        <v>0.86780000000000079</v>
      </c>
      <c r="BX52" s="70">
        <f t="shared" si="47"/>
        <v>0.87183000000000099</v>
      </c>
      <c r="BY52" s="70">
        <f t="shared" si="48"/>
        <v>0.96715000000000018</v>
      </c>
      <c r="BZ52" s="70">
        <f t="shared" si="49"/>
        <v>0.86570000000000036</v>
      </c>
      <c r="CA52" s="70">
        <f t="shared" si="50"/>
        <v>0.92453000000000074</v>
      </c>
      <c r="CB52" s="70">
        <f t="shared" si="51"/>
        <v>0.93811999999999962</v>
      </c>
      <c r="CC52" s="71">
        <f t="shared" si="52"/>
        <v>0.92902999999999913</v>
      </c>
    </row>
    <row r="53" spans="21:81" s="41" customFormat="1" ht="15" customHeight="1">
      <c r="U53" s="301" t="s">
        <v>1</v>
      </c>
      <c r="V53" s="193">
        <v>500</v>
      </c>
      <c r="W53" s="204">
        <v>13.3447</v>
      </c>
      <c r="X53" s="202">
        <v>13.3447</v>
      </c>
      <c r="Y53" s="202">
        <v>13.3447</v>
      </c>
      <c r="Z53" s="202">
        <v>13.3447</v>
      </c>
      <c r="AA53" s="202">
        <v>13.3447</v>
      </c>
      <c r="AB53" s="202">
        <v>13.3447</v>
      </c>
      <c r="AC53" s="202">
        <v>13.3447</v>
      </c>
      <c r="AD53" s="202">
        <v>13.3447</v>
      </c>
      <c r="AE53" s="202">
        <v>11.9847</v>
      </c>
      <c r="AF53" s="202">
        <v>11.9847</v>
      </c>
      <c r="AG53" s="202">
        <v>11.686999999999999</v>
      </c>
      <c r="AH53" s="202">
        <v>11.403600000000001</v>
      </c>
      <c r="AI53" s="202">
        <v>11.133699999999999</v>
      </c>
      <c r="AJ53" s="202">
        <v>10.876300000000001</v>
      </c>
      <c r="AK53" s="202">
        <v>10.6305</v>
      </c>
      <c r="AL53" s="202">
        <v>10.3956</v>
      </c>
      <c r="AM53" s="202">
        <v>10.1708</v>
      </c>
      <c r="AN53" s="203">
        <v>9.9555600000000002</v>
      </c>
      <c r="AO53" s="60"/>
      <c r="AP53" s="60"/>
      <c r="BK53" s="224">
        <v>6500</v>
      </c>
      <c r="BL53" s="233">
        <f t="shared" si="35"/>
        <v>0.10559999999999903</v>
      </c>
      <c r="BM53" s="70">
        <f t="shared" si="36"/>
        <v>0.10559999999999903</v>
      </c>
      <c r="BN53" s="70">
        <f t="shared" si="37"/>
        <v>0.10559999999999903</v>
      </c>
      <c r="BO53" s="70">
        <f t="shared" si="38"/>
        <v>0.29010000000000069</v>
      </c>
      <c r="BP53" s="70">
        <f t="shared" si="39"/>
        <v>0.36299999999999955</v>
      </c>
      <c r="BQ53" s="70">
        <f t="shared" si="40"/>
        <v>0.4953000000000003</v>
      </c>
      <c r="BR53" s="70">
        <f t="shared" si="41"/>
        <v>0.65789999999999971</v>
      </c>
      <c r="BS53" s="70">
        <f t="shared" si="42"/>
        <v>0.72119999999999962</v>
      </c>
      <c r="BT53" s="70">
        <f t="shared" si="43"/>
        <v>0.78230000000000111</v>
      </c>
      <c r="BU53" s="70">
        <f t="shared" si="44"/>
        <v>0.76409999999999911</v>
      </c>
      <c r="BV53" s="70">
        <f t="shared" si="45"/>
        <v>0.84209999999999852</v>
      </c>
      <c r="BW53" s="70">
        <f t="shared" si="46"/>
        <v>0.89089999999999847</v>
      </c>
      <c r="BX53" s="70">
        <f t="shared" si="47"/>
        <v>0.94031999999999982</v>
      </c>
      <c r="BY53" s="70">
        <f t="shared" si="48"/>
        <v>0.9821200000000001</v>
      </c>
      <c r="BZ53" s="70">
        <f t="shared" si="49"/>
        <v>0.85700999999999894</v>
      </c>
      <c r="CA53" s="70">
        <f t="shared" si="50"/>
        <v>0.92453000000000074</v>
      </c>
      <c r="CB53" s="70">
        <f t="shared" si="51"/>
        <v>0.93811999999999962</v>
      </c>
      <c r="CC53" s="71">
        <f t="shared" si="52"/>
        <v>0.92902999999999913</v>
      </c>
    </row>
    <row r="54" spans="21:81" s="41" customFormat="1" ht="15" customHeight="1">
      <c r="U54" s="302"/>
      <c r="V54" s="222">
        <v>1000</v>
      </c>
      <c r="W54" s="205">
        <v>14.7</v>
      </c>
      <c r="X54" s="48">
        <v>14.7</v>
      </c>
      <c r="Y54" s="48">
        <v>14.7</v>
      </c>
      <c r="Z54" s="48">
        <v>14.7</v>
      </c>
      <c r="AA54" s="48">
        <v>14.7</v>
      </c>
      <c r="AB54" s="48">
        <v>14.7</v>
      </c>
      <c r="AC54" s="48">
        <v>14.7</v>
      </c>
      <c r="AD54" s="48">
        <v>14.7</v>
      </c>
      <c r="AE54" s="48">
        <v>13.066700000000001</v>
      </c>
      <c r="AF54" s="48">
        <v>13.066700000000001</v>
      </c>
      <c r="AG54" s="48">
        <v>12.7135</v>
      </c>
      <c r="AH54" s="48">
        <v>12.3789</v>
      </c>
      <c r="AI54" s="48">
        <v>12.061500000000001</v>
      </c>
      <c r="AJ54" s="48">
        <v>11.76</v>
      </c>
      <c r="AK54" s="48">
        <v>11.4732</v>
      </c>
      <c r="AL54" s="48">
        <v>11.2</v>
      </c>
      <c r="AM54" s="48">
        <v>10.939500000000001</v>
      </c>
      <c r="AN54" s="56">
        <v>10.690899999999999</v>
      </c>
      <c r="AO54" s="60"/>
      <c r="AP54" s="60"/>
      <c r="BK54" s="224">
        <v>7000</v>
      </c>
      <c r="BL54" s="233">
        <f t="shared" si="35"/>
        <v>0.20650000000000013</v>
      </c>
      <c r="BM54" s="70">
        <f t="shared" si="36"/>
        <v>0.20650000000000013</v>
      </c>
      <c r="BN54" s="70">
        <f t="shared" si="37"/>
        <v>0.20650000000000013</v>
      </c>
      <c r="BO54" s="70">
        <f t="shared" si="38"/>
        <v>0.37329999999999863</v>
      </c>
      <c r="BP54" s="70">
        <f t="shared" si="39"/>
        <v>0.43259999999999899</v>
      </c>
      <c r="BQ54" s="70">
        <f t="shared" si="40"/>
        <v>0.60339999999999883</v>
      </c>
      <c r="BR54" s="70">
        <f t="shared" si="41"/>
        <v>0.73850000000000016</v>
      </c>
      <c r="BS54" s="70">
        <f t="shared" si="42"/>
        <v>0.76409999999999911</v>
      </c>
      <c r="BT54" s="70">
        <f t="shared" si="43"/>
        <v>0.81379999999999875</v>
      </c>
      <c r="BU54" s="70">
        <f t="shared" si="44"/>
        <v>0.80439999999999934</v>
      </c>
      <c r="BV54" s="70">
        <f t="shared" si="45"/>
        <v>0.87750000000000128</v>
      </c>
      <c r="BW54" s="70">
        <f t="shared" si="46"/>
        <v>0.87183000000000099</v>
      </c>
      <c r="BX54" s="70">
        <f t="shared" si="47"/>
        <v>0.92080999999999946</v>
      </c>
      <c r="BY54" s="70">
        <f t="shared" si="48"/>
        <v>1.0276899999999998</v>
      </c>
      <c r="BZ54" s="70">
        <f t="shared" si="49"/>
        <v>0.92902999999999913</v>
      </c>
      <c r="CA54" s="70">
        <f t="shared" si="50"/>
        <v>0.92902999999999913</v>
      </c>
      <c r="CB54" s="70">
        <f t="shared" si="51"/>
        <v>0.92902999999999913</v>
      </c>
      <c r="CC54" s="71">
        <f t="shared" si="52"/>
        <v>0.92902999999999913</v>
      </c>
    </row>
    <row r="55" spans="21:81" s="41" customFormat="1" ht="15" customHeight="1" thickBot="1">
      <c r="U55" s="302"/>
      <c r="V55" s="223">
        <v>1500</v>
      </c>
      <c r="W55" s="205">
        <v>14.7</v>
      </c>
      <c r="X55" s="48">
        <v>14.7</v>
      </c>
      <c r="Y55" s="48">
        <v>14.7</v>
      </c>
      <c r="Z55" s="48">
        <v>14.7</v>
      </c>
      <c r="AA55" s="48">
        <v>14.7</v>
      </c>
      <c r="AB55" s="48">
        <v>14.7</v>
      </c>
      <c r="AC55" s="48">
        <v>14.7</v>
      </c>
      <c r="AD55" s="48">
        <v>14.7</v>
      </c>
      <c r="AE55" s="48">
        <v>14.147399999999999</v>
      </c>
      <c r="AF55" s="48">
        <v>13.6348</v>
      </c>
      <c r="AG55" s="48">
        <v>12.7135</v>
      </c>
      <c r="AH55" s="48">
        <v>12.544</v>
      </c>
      <c r="AI55" s="48">
        <v>12.3789</v>
      </c>
      <c r="AJ55" s="48">
        <v>12.061500000000001</v>
      </c>
      <c r="AK55" s="48">
        <v>11.76</v>
      </c>
      <c r="AL55" s="48">
        <v>11.4732</v>
      </c>
      <c r="AM55" s="48">
        <v>11.2</v>
      </c>
      <c r="AN55" s="56">
        <v>10.939500000000001</v>
      </c>
      <c r="AO55" s="60"/>
      <c r="AP55" s="60"/>
      <c r="BK55" s="226">
        <v>7500</v>
      </c>
      <c r="BL55" s="234">
        <f t="shared" si="35"/>
        <v>0.20650000000000013</v>
      </c>
      <c r="BM55" s="73">
        <f t="shared" si="36"/>
        <v>0.20650000000000013</v>
      </c>
      <c r="BN55" s="73">
        <f t="shared" si="37"/>
        <v>0.20650000000000013</v>
      </c>
      <c r="BO55" s="73">
        <f t="shared" si="38"/>
        <v>0.37329999999999863</v>
      </c>
      <c r="BP55" s="73">
        <f t="shared" si="39"/>
        <v>0.43259999999999899</v>
      </c>
      <c r="BQ55" s="73">
        <f t="shared" si="40"/>
        <v>0.60339999999999883</v>
      </c>
      <c r="BR55" s="73">
        <f t="shared" si="41"/>
        <v>0.73850000000000016</v>
      </c>
      <c r="BS55" s="73">
        <f t="shared" si="42"/>
        <v>0.76409999999999911</v>
      </c>
      <c r="BT55" s="73">
        <f t="shared" si="43"/>
        <v>0.81379999999999875</v>
      </c>
      <c r="BU55" s="73">
        <f t="shared" si="44"/>
        <v>0.80439999999999934</v>
      </c>
      <c r="BV55" s="73">
        <f t="shared" si="45"/>
        <v>0.87750000000000128</v>
      </c>
      <c r="BW55" s="73">
        <f t="shared" si="46"/>
        <v>0.87183000000000099</v>
      </c>
      <c r="BX55" s="73">
        <f t="shared" si="47"/>
        <v>0.92080999999999946</v>
      </c>
      <c r="BY55" s="73">
        <f t="shared" si="48"/>
        <v>1.0276899999999998</v>
      </c>
      <c r="BZ55" s="73">
        <f t="shared" si="49"/>
        <v>0.92902999999999913</v>
      </c>
      <c r="CA55" s="73">
        <f t="shared" si="50"/>
        <v>0.92902999999999913</v>
      </c>
      <c r="CB55" s="73">
        <f t="shared" si="51"/>
        <v>0.92902999999999913</v>
      </c>
      <c r="CC55" s="74">
        <f t="shared" si="52"/>
        <v>0.92902999999999913</v>
      </c>
    </row>
    <row r="56" spans="21:81" s="41" customFormat="1" ht="15" customHeight="1">
      <c r="U56" s="302"/>
      <c r="V56" s="223">
        <v>2000</v>
      </c>
      <c r="W56" s="205">
        <v>14.7</v>
      </c>
      <c r="X56" s="48">
        <v>14.7</v>
      </c>
      <c r="Y56" s="48">
        <v>14.7</v>
      </c>
      <c r="Z56" s="48">
        <v>14.7</v>
      </c>
      <c r="AA56" s="48">
        <v>14.7</v>
      </c>
      <c r="AB56" s="48">
        <v>14.7</v>
      </c>
      <c r="AC56" s="48">
        <v>14.7</v>
      </c>
      <c r="AD56" s="48">
        <v>14.7</v>
      </c>
      <c r="AE56" s="48">
        <v>14.147399999999999</v>
      </c>
      <c r="AF56" s="48">
        <v>13.6348</v>
      </c>
      <c r="AG56" s="48">
        <v>13.066700000000001</v>
      </c>
      <c r="AH56" s="48">
        <v>12.6282</v>
      </c>
      <c r="AI56" s="48">
        <v>12.298</v>
      </c>
      <c r="AJ56" s="48">
        <v>12.1394</v>
      </c>
      <c r="AK56" s="48">
        <v>11.834</v>
      </c>
      <c r="AL56" s="48">
        <v>11.5436</v>
      </c>
      <c r="AM56" s="48">
        <v>11.267099999999999</v>
      </c>
      <c r="AN56" s="56">
        <v>11.003500000000001</v>
      </c>
      <c r="AO56" s="60"/>
      <c r="AP56" s="60"/>
    </row>
    <row r="57" spans="21:81" s="41" customFormat="1" ht="15" customHeight="1">
      <c r="U57" s="302"/>
      <c r="V57" s="223">
        <v>2500</v>
      </c>
      <c r="W57" s="205">
        <v>14.7</v>
      </c>
      <c r="X57" s="48">
        <v>14.7</v>
      </c>
      <c r="Y57" s="48">
        <v>14.7</v>
      </c>
      <c r="Z57" s="48">
        <v>14.7</v>
      </c>
      <c r="AA57" s="48">
        <v>14.7</v>
      </c>
      <c r="AB57" s="48">
        <v>14.7</v>
      </c>
      <c r="AC57" s="48">
        <v>14.7</v>
      </c>
      <c r="AD57" s="48">
        <v>14.7</v>
      </c>
      <c r="AE57" s="48">
        <v>14.2545</v>
      </c>
      <c r="AF57" s="48">
        <v>13.937799999999999</v>
      </c>
      <c r="AG57" s="48">
        <v>13.6348</v>
      </c>
      <c r="AH57" s="48">
        <v>13.066700000000001</v>
      </c>
      <c r="AI57" s="48">
        <v>12.8</v>
      </c>
      <c r="AJ57" s="48">
        <v>12.544</v>
      </c>
      <c r="AK57" s="48">
        <v>12.2182</v>
      </c>
      <c r="AL57" s="48">
        <v>11.908899999999999</v>
      </c>
      <c r="AM57" s="48">
        <v>11.614800000000001</v>
      </c>
      <c r="AN57" s="56">
        <v>11.334899999999999</v>
      </c>
      <c r="AO57" s="60"/>
      <c r="AP57" s="60"/>
    </row>
    <row r="58" spans="21:81" s="41" customFormat="1" ht="15" customHeight="1">
      <c r="U58" s="302"/>
      <c r="V58" s="224">
        <v>3000</v>
      </c>
      <c r="W58" s="205">
        <v>14.7</v>
      </c>
      <c r="X58" s="48">
        <v>14.7</v>
      </c>
      <c r="Y58" s="48">
        <v>14.7</v>
      </c>
      <c r="Z58" s="48">
        <v>14.7</v>
      </c>
      <c r="AA58" s="48">
        <v>14.7</v>
      </c>
      <c r="AB58" s="48">
        <v>14.7</v>
      </c>
      <c r="AC58" s="48">
        <v>14.7</v>
      </c>
      <c r="AD58" s="48">
        <v>14.7</v>
      </c>
      <c r="AE58" s="48">
        <v>14.2545</v>
      </c>
      <c r="AF58" s="48">
        <v>14.0418</v>
      </c>
      <c r="AG58" s="48">
        <v>13.8353</v>
      </c>
      <c r="AH58" s="48">
        <v>12.887700000000001</v>
      </c>
      <c r="AI58" s="48">
        <v>11.068199999999999</v>
      </c>
      <c r="AJ58" s="48">
        <v>10.5708</v>
      </c>
      <c r="AK58" s="48">
        <v>10.282</v>
      </c>
      <c r="AL58" s="48">
        <v>10.061999999999999</v>
      </c>
      <c r="AM58" s="48">
        <v>9.8513099999999998</v>
      </c>
      <c r="AN58" s="56">
        <v>9.6492299999999993</v>
      </c>
      <c r="AO58" s="60"/>
      <c r="AP58" s="60"/>
    </row>
    <row r="59" spans="21:81">
      <c r="U59" s="302"/>
      <c r="V59" s="224">
        <v>3500</v>
      </c>
      <c r="W59" s="205">
        <v>14.7</v>
      </c>
      <c r="X59" s="48">
        <v>14.7</v>
      </c>
      <c r="Y59" s="48">
        <v>14.7</v>
      </c>
      <c r="Z59" s="48">
        <v>14.7</v>
      </c>
      <c r="AA59" s="48">
        <v>14.7</v>
      </c>
      <c r="AB59" s="48">
        <v>14.7</v>
      </c>
      <c r="AC59" s="48">
        <v>14.7</v>
      </c>
      <c r="AD59" s="48">
        <v>14.7</v>
      </c>
      <c r="AE59" s="48">
        <v>14.2545</v>
      </c>
      <c r="AF59" s="48">
        <v>14.0418</v>
      </c>
      <c r="AG59" s="48">
        <v>13.066700000000001</v>
      </c>
      <c r="AH59" s="48">
        <v>11.614800000000001</v>
      </c>
      <c r="AI59" s="48">
        <v>10.752000000000001</v>
      </c>
      <c r="AJ59" s="48">
        <v>10.0085</v>
      </c>
      <c r="AK59" s="48">
        <v>9.9555600000000002</v>
      </c>
      <c r="AL59" s="48">
        <v>9.9031599999999997</v>
      </c>
      <c r="AM59" s="48">
        <v>9.6989699999999992</v>
      </c>
      <c r="AN59" s="56">
        <v>9.6</v>
      </c>
      <c r="AS59" s="37"/>
      <c r="AT59" s="37"/>
      <c r="AU59" s="37"/>
      <c r="AV59" s="37"/>
      <c r="AW59" s="37"/>
      <c r="AX59" s="37"/>
      <c r="AY59" s="37"/>
      <c r="AZ59" s="37"/>
      <c r="BA59" s="37"/>
      <c r="BB59" s="37"/>
      <c r="BC59" s="37"/>
      <c r="BD59" s="37"/>
      <c r="BE59" s="37"/>
      <c r="BF59" s="37"/>
      <c r="BG59" s="37"/>
      <c r="BH59" s="37"/>
      <c r="BI59" s="37"/>
      <c r="BJ59" s="37"/>
    </row>
    <row r="60" spans="21:81">
      <c r="U60" s="302"/>
      <c r="V60" s="224">
        <v>4000</v>
      </c>
      <c r="W60" s="205">
        <v>14.7</v>
      </c>
      <c r="X60" s="48">
        <v>14.7</v>
      </c>
      <c r="Y60" s="48">
        <v>14.7</v>
      </c>
      <c r="Z60" s="48">
        <v>14.7</v>
      </c>
      <c r="AA60" s="48">
        <v>14.7</v>
      </c>
      <c r="AB60" s="48">
        <v>14.7</v>
      </c>
      <c r="AC60" s="48">
        <v>14.7</v>
      </c>
      <c r="AD60" s="48">
        <v>14.7</v>
      </c>
      <c r="AE60" s="48">
        <v>13.937799999999999</v>
      </c>
      <c r="AF60" s="48">
        <v>13.3447</v>
      </c>
      <c r="AG60" s="48">
        <v>11.908899999999999</v>
      </c>
      <c r="AH60" s="48">
        <v>10.939500000000001</v>
      </c>
      <c r="AI60" s="48">
        <v>10.3956</v>
      </c>
      <c r="AJ60" s="48">
        <v>9.8513099999999998</v>
      </c>
      <c r="AK60" s="48">
        <v>9.7492199999999993</v>
      </c>
      <c r="AL60" s="48">
        <v>9.6492299999999993</v>
      </c>
      <c r="AM60" s="48">
        <v>9.4552800000000001</v>
      </c>
      <c r="AN60" s="56">
        <v>9.2689699999999995</v>
      </c>
      <c r="AS60" s="37"/>
      <c r="AT60" s="37"/>
      <c r="AU60" s="37"/>
      <c r="AV60" s="37"/>
      <c r="AW60" s="37"/>
      <c r="AX60" s="37"/>
      <c r="AY60" s="37"/>
      <c r="AZ60" s="37"/>
      <c r="BA60" s="37"/>
      <c r="BB60" s="37"/>
      <c r="BC60" s="37"/>
      <c r="BD60" s="37"/>
      <c r="BE60" s="37"/>
      <c r="BF60" s="37"/>
      <c r="BG60" s="37"/>
      <c r="BH60" s="37"/>
      <c r="BI60" s="37"/>
      <c r="BJ60" s="37"/>
      <c r="BK60" s="37"/>
    </row>
    <row r="61" spans="21:81">
      <c r="U61" s="302"/>
      <c r="V61" s="224">
        <v>4500</v>
      </c>
      <c r="W61" s="205">
        <v>14.7</v>
      </c>
      <c r="X61" s="48">
        <v>14.7</v>
      </c>
      <c r="Y61" s="48">
        <v>14.7</v>
      </c>
      <c r="Z61" s="48">
        <v>14.7</v>
      </c>
      <c r="AA61" s="48">
        <v>14.7</v>
      </c>
      <c r="AB61" s="48">
        <v>14.7</v>
      </c>
      <c r="AC61" s="48">
        <v>14.0418</v>
      </c>
      <c r="AD61" s="48">
        <v>13.5367</v>
      </c>
      <c r="AE61" s="48">
        <v>13.157999999999999</v>
      </c>
      <c r="AF61" s="48">
        <v>12.298</v>
      </c>
      <c r="AG61" s="48">
        <v>11.403600000000001</v>
      </c>
      <c r="AH61" s="48">
        <v>10.690899999999999</v>
      </c>
      <c r="AI61" s="48">
        <v>10.282</v>
      </c>
      <c r="AJ61" s="48">
        <v>9.9555600000000002</v>
      </c>
      <c r="AK61" s="48">
        <v>9.8513099999999998</v>
      </c>
      <c r="AL61" s="48">
        <v>9.6492299999999993</v>
      </c>
      <c r="AM61" s="48">
        <v>9.4552800000000001</v>
      </c>
      <c r="AN61" s="56">
        <v>9.2689699999999995</v>
      </c>
      <c r="AS61" s="37"/>
      <c r="AT61" s="37"/>
      <c r="AU61" s="37"/>
      <c r="AV61" s="37"/>
      <c r="AW61" s="37"/>
      <c r="AX61" s="37"/>
      <c r="AY61" s="37"/>
      <c r="AZ61" s="37"/>
      <c r="BA61" s="37"/>
      <c r="BB61" s="37"/>
      <c r="BC61" s="37"/>
      <c r="BD61" s="37"/>
      <c r="BE61" s="37"/>
      <c r="BF61" s="37"/>
      <c r="BG61" s="37"/>
      <c r="BH61" s="37"/>
      <c r="BI61" s="37"/>
      <c r="BJ61" s="37"/>
      <c r="BK61" s="37"/>
    </row>
    <row r="62" spans="21:81">
      <c r="U62" s="302"/>
      <c r="V62" s="224">
        <v>5000</v>
      </c>
      <c r="W62" s="205">
        <v>14.7</v>
      </c>
      <c r="X62" s="48">
        <v>14.7</v>
      </c>
      <c r="Y62" s="48">
        <v>14.7</v>
      </c>
      <c r="Z62" s="48">
        <v>14.7</v>
      </c>
      <c r="AA62" s="48">
        <v>14.7</v>
      </c>
      <c r="AB62" s="48">
        <v>14.473800000000001</v>
      </c>
      <c r="AC62" s="48">
        <v>14.0418</v>
      </c>
      <c r="AD62" s="48">
        <v>13.157999999999999</v>
      </c>
      <c r="AE62" s="48">
        <v>12.298</v>
      </c>
      <c r="AF62" s="48">
        <v>11.614800000000001</v>
      </c>
      <c r="AG62" s="48">
        <v>11.133699999999999</v>
      </c>
      <c r="AH62" s="48">
        <v>10.752000000000001</v>
      </c>
      <c r="AI62" s="48">
        <v>10.116099999999999</v>
      </c>
      <c r="AJ62" s="48">
        <v>9.6492299999999993</v>
      </c>
      <c r="AK62" s="48">
        <v>9.5512700000000006</v>
      </c>
      <c r="AL62" s="48">
        <v>9.4552800000000001</v>
      </c>
      <c r="AM62" s="48">
        <v>9.2689699999999995</v>
      </c>
      <c r="AN62" s="56">
        <v>9.0898599999999998</v>
      </c>
      <c r="AS62" s="37"/>
      <c r="AT62" s="37"/>
      <c r="AU62" s="37"/>
      <c r="AV62" s="37"/>
      <c r="AW62" s="37"/>
      <c r="AX62" s="37"/>
      <c r="AY62" s="37"/>
      <c r="AZ62" s="37"/>
      <c r="BA62" s="37"/>
      <c r="BB62" s="37"/>
      <c r="BC62" s="37"/>
      <c r="BD62" s="37"/>
      <c r="BE62" s="37"/>
      <c r="BF62" s="37"/>
      <c r="BG62" s="37"/>
      <c r="BH62" s="37"/>
      <c r="BI62" s="37"/>
      <c r="BJ62" s="37"/>
      <c r="BK62" s="37"/>
    </row>
    <row r="63" spans="21:81">
      <c r="U63" s="302"/>
      <c r="V63" s="224">
        <v>5500</v>
      </c>
      <c r="W63" s="205">
        <v>14.7</v>
      </c>
      <c r="X63" s="48">
        <v>14.7</v>
      </c>
      <c r="Y63" s="48">
        <v>14.7</v>
      </c>
      <c r="Z63" s="48">
        <v>14.7</v>
      </c>
      <c r="AA63" s="48">
        <v>14.3634</v>
      </c>
      <c r="AB63" s="48">
        <v>13.8353</v>
      </c>
      <c r="AC63" s="48">
        <v>13.3447</v>
      </c>
      <c r="AD63" s="48">
        <v>12.3789</v>
      </c>
      <c r="AE63" s="48">
        <v>11.614800000000001</v>
      </c>
      <c r="AF63" s="48">
        <v>11.267099999999999</v>
      </c>
      <c r="AG63" s="48">
        <v>10.876300000000001</v>
      </c>
      <c r="AH63" s="48">
        <v>10.116099999999999</v>
      </c>
      <c r="AI63" s="48">
        <v>9.7492199999999993</v>
      </c>
      <c r="AJ63" s="48">
        <v>9.4079999999999995</v>
      </c>
      <c r="AK63" s="48">
        <v>9.3148499999999999</v>
      </c>
      <c r="AL63" s="48">
        <v>9.2235300000000002</v>
      </c>
      <c r="AM63" s="48">
        <v>9.0461500000000008</v>
      </c>
      <c r="AN63" s="56">
        <v>8.87547</v>
      </c>
      <c r="AS63" s="37"/>
      <c r="AT63" s="37"/>
      <c r="AU63" s="37"/>
      <c r="AV63" s="37"/>
      <c r="AW63" s="37"/>
      <c r="AX63" s="37"/>
      <c r="AY63" s="37"/>
      <c r="AZ63" s="37"/>
      <c r="BA63" s="37"/>
      <c r="BB63" s="37"/>
      <c r="BC63" s="37"/>
      <c r="BD63" s="37"/>
      <c r="BE63" s="37"/>
      <c r="BF63" s="37"/>
      <c r="BG63" s="37"/>
      <c r="BH63" s="37"/>
      <c r="BI63" s="37"/>
      <c r="BJ63" s="37"/>
      <c r="BK63" s="37"/>
    </row>
    <row r="64" spans="21:81">
      <c r="U64" s="302"/>
      <c r="V64" s="224">
        <v>6000</v>
      </c>
      <c r="W64" s="205">
        <v>14.2545</v>
      </c>
      <c r="X64" s="48">
        <v>14.2545</v>
      </c>
      <c r="Y64" s="48">
        <v>14.2545</v>
      </c>
      <c r="Z64" s="48">
        <v>14.2545</v>
      </c>
      <c r="AA64" s="48">
        <v>13.734299999999999</v>
      </c>
      <c r="AB64" s="48">
        <v>13.066700000000001</v>
      </c>
      <c r="AC64" s="48">
        <v>12.2182</v>
      </c>
      <c r="AD64" s="48">
        <v>11.2</v>
      </c>
      <c r="AE64" s="48">
        <v>11.003500000000001</v>
      </c>
      <c r="AF64" s="48">
        <v>10.690899999999999</v>
      </c>
      <c r="AG64" s="48">
        <v>10.511699999999999</v>
      </c>
      <c r="AH64" s="48">
        <v>10.0085</v>
      </c>
      <c r="AI64" s="48">
        <v>9.6989699999999992</v>
      </c>
      <c r="AJ64" s="48">
        <v>9.3148499999999999</v>
      </c>
      <c r="AK64" s="48">
        <v>9.0898599999999998</v>
      </c>
      <c r="AL64" s="48">
        <v>8.87547</v>
      </c>
      <c r="AM64" s="48">
        <v>8.7111099999999997</v>
      </c>
      <c r="AN64" s="56">
        <v>8.6709700000000005</v>
      </c>
      <c r="AS64" s="37"/>
      <c r="AT64" s="37"/>
      <c r="AU64" s="37"/>
      <c r="AV64" s="37"/>
      <c r="AW64" s="37"/>
      <c r="AX64" s="37"/>
      <c r="AY64" s="37"/>
      <c r="AZ64" s="37"/>
      <c r="BA64" s="37"/>
      <c r="BB64" s="37"/>
      <c r="BC64" s="37"/>
      <c r="BD64" s="37"/>
      <c r="BE64" s="37"/>
      <c r="BF64" s="37"/>
      <c r="BG64" s="37"/>
      <c r="BH64" s="37"/>
      <c r="BI64" s="37"/>
      <c r="BJ64" s="37"/>
      <c r="BK64" s="37"/>
    </row>
    <row r="65" spans="20:63">
      <c r="U65" s="302"/>
      <c r="V65" s="224">
        <v>6500</v>
      </c>
      <c r="W65" s="205">
        <v>14.0418</v>
      </c>
      <c r="X65" s="48">
        <v>14.0418</v>
      </c>
      <c r="Y65" s="48">
        <v>14.0418</v>
      </c>
      <c r="Z65" s="48">
        <v>13.3447</v>
      </c>
      <c r="AA65" s="48">
        <v>12.887700000000001</v>
      </c>
      <c r="AB65" s="48">
        <v>12.2182</v>
      </c>
      <c r="AC65" s="48">
        <v>11.403600000000001</v>
      </c>
      <c r="AD65" s="48">
        <v>10.752000000000001</v>
      </c>
      <c r="AE65" s="48">
        <v>10.690899999999999</v>
      </c>
      <c r="AF65" s="48">
        <v>10.5708</v>
      </c>
      <c r="AG65" s="48">
        <v>10.226100000000001</v>
      </c>
      <c r="AH65" s="48">
        <v>9.8000000000000007</v>
      </c>
      <c r="AI65" s="48">
        <v>9.4552800000000001</v>
      </c>
      <c r="AJ65" s="48">
        <v>9.1339799999999993</v>
      </c>
      <c r="AK65" s="48">
        <v>9.0461500000000008</v>
      </c>
      <c r="AL65" s="48">
        <v>8.87547</v>
      </c>
      <c r="AM65" s="48">
        <v>8.7111099999999997</v>
      </c>
      <c r="AN65" s="56">
        <v>8.6709700000000005</v>
      </c>
      <c r="AS65" s="37"/>
      <c r="AT65" s="37"/>
      <c r="AU65" s="37"/>
      <c r="AV65" s="37"/>
      <c r="AW65" s="37"/>
      <c r="AX65" s="37"/>
      <c r="AY65" s="37"/>
      <c r="AZ65" s="37"/>
      <c r="BA65" s="37"/>
      <c r="BB65" s="37"/>
      <c r="BC65" s="37"/>
      <c r="BD65" s="37"/>
      <c r="BE65" s="37"/>
      <c r="BF65" s="37"/>
      <c r="BG65" s="37"/>
      <c r="BH65" s="37"/>
      <c r="BI65" s="37"/>
      <c r="BJ65" s="37"/>
      <c r="BK65" s="37"/>
    </row>
    <row r="66" spans="20:63">
      <c r="U66" s="302"/>
      <c r="V66" s="224">
        <v>7000</v>
      </c>
      <c r="W66" s="205">
        <v>13.8353</v>
      </c>
      <c r="X66" s="48">
        <v>13.8353</v>
      </c>
      <c r="Y66" s="48">
        <v>13.8353</v>
      </c>
      <c r="Z66" s="48">
        <v>13.066700000000001</v>
      </c>
      <c r="AA66" s="48">
        <v>12.544</v>
      </c>
      <c r="AB66" s="48">
        <v>11.614800000000001</v>
      </c>
      <c r="AC66" s="48">
        <v>10.876300000000001</v>
      </c>
      <c r="AD66" s="48">
        <v>10.5708</v>
      </c>
      <c r="AE66" s="48">
        <v>10.4533</v>
      </c>
      <c r="AF66" s="48">
        <v>10.3956</v>
      </c>
      <c r="AG66" s="48">
        <v>10.061999999999999</v>
      </c>
      <c r="AH66" s="48">
        <v>9.6989699999999992</v>
      </c>
      <c r="AI66" s="48">
        <v>9.3611900000000006</v>
      </c>
      <c r="AJ66" s="48">
        <v>8.87547</v>
      </c>
      <c r="AK66" s="48">
        <v>8.6709700000000005</v>
      </c>
      <c r="AL66" s="48">
        <v>8.6709700000000005</v>
      </c>
      <c r="AM66" s="48">
        <v>8.6709700000000005</v>
      </c>
      <c r="AN66" s="56">
        <v>8.6709700000000005</v>
      </c>
      <c r="AS66" s="37"/>
      <c r="AT66" s="37"/>
      <c r="AU66" s="37"/>
      <c r="AV66" s="37"/>
      <c r="AW66" s="37"/>
      <c r="AX66" s="37"/>
      <c r="AY66" s="37"/>
      <c r="AZ66" s="37"/>
      <c r="BA66" s="37"/>
      <c r="BB66" s="37"/>
      <c r="BC66" s="37"/>
      <c r="BD66" s="37"/>
      <c r="BE66" s="37"/>
      <c r="BF66" s="37"/>
      <c r="BG66" s="37"/>
      <c r="BH66" s="37"/>
      <c r="BI66" s="37"/>
      <c r="BJ66" s="37"/>
      <c r="BK66" s="37"/>
    </row>
    <row r="67" spans="20:63" ht="13.5" thickBot="1">
      <c r="U67" s="303"/>
      <c r="V67" s="226">
        <v>7500</v>
      </c>
      <c r="W67" s="209">
        <v>13.8353</v>
      </c>
      <c r="X67" s="62">
        <v>13.8353</v>
      </c>
      <c r="Y67" s="62">
        <v>13.8353</v>
      </c>
      <c r="Z67" s="62">
        <v>13.066700000000001</v>
      </c>
      <c r="AA67" s="62">
        <v>12.544</v>
      </c>
      <c r="AB67" s="62">
        <v>11.614800000000001</v>
      </c>
      <c r="AC67" s="62">
        <v>10.876300000000001</v>
      </c>
      <c r="AD67" s="62">
        <v>10.5708</v>
      </c>
      <c r="AE67" s="62">
        <v>10.4533</v>
      </c>
      <c r="AF67" s="62">
        <v>10.3956</v>
      </c>
      <c r="AG67" s="62">
        <v>10.061999999999999</v>
      </c>
      <c r="AH67" s="62">
        <v>9.6989699999999992</v>
      </c>
      <c r="AI67" s="62">
        <v>9.3611900000000006</v>
      </c>
      <c r="AJ67" s="62">
        <v>8.87547</v>
      </c>
      <c r="AK67" s="62">
        <v>8.6709700000000005</v>
      </c>
      <c r="AL67" s="62">
        <v>8.6709700000000005</v>
      </c>
      <c r="AM67" s="62">
        <v>8.6709700000000005</v>
      </c>
      <c r="AN67" s="63">
        <v>8.6709700000000005</v>
      </c>
      <c r="AS67" s="37"/>
      <c r="AT67" s="37"/>
      <c r="AU67" s="37"/>
      <c r="AV67" s="37"/>
      <c r="AW67" s="37"/>
      <c r="AX67" s="37"/>
      <c r="AY67" s="37"/>
      <c r="AZ67" s="37"/>
      <c r="BA67" s="37"/>
      <c r="BB67" s="37"/>
      <c r="BC67" s="37"/>
      <c r="BD67" s="37"/>
      <c r="BE67" s="37"/>
      <c r="BF67" s="37"/>
      <c r="BG67" s="37"/>
      <c r="BH67" s="37"/>
      <c r="BI67" s="37"/>
      <c r="BJ67" s="37"/>
      <c r="BK67" s="37"/>
    </row>
    <row r="68" spans="20:63">
      <c r="AD68" s="9"/>
      <c r="AE68" s="9"/>
      <c r="AS68" s="37"/>
      <c r="AT68" s="37"/>
      <c r="AU68" s="37"/>
      <c r="AV68" s="37"/>
      <c r="AW68" s="37"/>
      <c r="AX68" s="37"/>
      <c r="AY68" s="37"/>
      <c r="AZ68" s="37"/>
      <c r="BA68" s="37"/>
      <c r="BB68" s="37"/>
      <c r="BC68" s="37"/>
      <c r="BD68" s="37"/>
      <c r="BE68" s="37"/>
      <c r="BF68" s="37"/>
      <c r="BG68" s="37"/>
      <c r="BH68" s="37"/>
      <c r="BI68" s="37"/>
      <c r="BJ68" s="37"/>
      <c r="BK68" s="37"/>
    </row>
    <row r="69" spans="20:63">
      <c r="AD69" s="9"/>
      <c r="AE69" s="9"/>
      <c r="AS69" s="37"/>
      <c r="AT69" s="37"/>
      <c r="AU69" s="37"/>
      <c r="AV69" s="37"/>
      <c r="AW69" s="37"/>
      <c r="AX69" s="37"/>
      <c r="AY69" s="37"/>
      <c r="AZ69" s="37"/>
      <c r="BA69" s="37"/>
      <c r="BB69" s="37"/>
      <c r="BC69" s="37"/>
      <c r="BD69" s="37"/>
      <c r="BE69" s="37"/>
      <c r="BF69" s="37"/>
      <c r="BG69" s="37"/>
      <c r="BH69" s="37"/>
      <c r="BI69" s="37"/>
      <c r="BJ69" s="37"/>
      <c r="BK69" s="37"/>
    </row>
    <row r="70" spans="20:63">
      <c r="AD70" s="9"/>
      <c r="AE70" s="9"/>
      <c r="AS70" s="37"/>
      <c r="AT70" s="37"/>
      <c r="AU70" s="37"/>
      <c r="AV70" s="37"/>
      <c r="AW70" s="37"/>
      <c r="AX70" s="37"/>
      <c r="AY70" s="37"/>
      <c r="AZ70" s="37"/>
      <c r="BA70" s="37"/>
      <c r="BB70" s="37"/>
      <c r="BC70" s="37"/>
      <c r="BD70" s="37"/>
      <c r="BE70" s="37"/>
      <c r="BF70" s="37"/>
      <c r="BG70" s="37"/>
      <c r="BH70" s="37"/>
      <c r="BI70" s="37"/>
      <c r="BJ70" s="37"/>
      <c r="BK70" s="37"/>
    </row>
    <row r="71" spans="20:63">
      <c r="AD71" s="9"/>
      <c r="AE71" s="9"/>
      <c r="AS71" s="37"/>
      <c r="AT71" s="37"/>
      <c r="AU71" s="37"/>
      <c r="AV71" s="37"/>
      <c r="AW71" s="37"/>
      <c r="AX71" s="37"/>
      <c r="AY71" s="37"/>
      <c r="AZ71" s="37"/>
      <c r="BA71" s="37"/>
      <c r="BB71" s="37"/>
      <c r="BC71" s="37"/>
      <c r="BD71" s="37"/>
      <c r="BE71" s="37"/>
      <c r="BF71" s="37"/>
      <c r="BG71" s="37"/>
      <c r="BH71" s="37"/>
      <c r="BI71" s="37"/>
      <c r="BJ71" s="37"/>
      <c r="BK71" s="37"/>
    </row>
    <row r="72" spans="20:63">
      <c r="AD72" s="9"/>
      <c r="AE72" s="9"/>
      <c r="AS72" s="37"/>
      <c r="AT72" s="37"/>
      <c r="AU72" s="37"/>
      <c r="AV72" s="37"/>
      <c r="AW72" s="37"/>
      <c r="AX72" s="37"/>
      <c r="AY72" s="37"/>
      <c r="AZ72" s="37"/>
      <c r="BA72" s="37"/>
      <c r="BB72" s="37"/>
      <c r="BC72" s="37"/>
      <c r="BD72" s="37"/>
      <c r="BE72" s="37"/>
      <c r="BF72" s="37"/>
      <c r="BG72" s="37"/>
      <c r="BH72" s="37"/>
      <c r="BI72" s="37"/>
      <c r="BJ72" s="37"/>
      <c r="BK72" s="37"/>
    </row>
    <row r="73" spans="20:63" ht="18.75" thickBot="1">
      <c r="T73" s="287"/>
      <c r="U73" s="287"/>
      <c r="V73" s="287"/>
      <c r="W73" s="287"/>
      <c r="X73" s="287"/>
      <c r="Y73" s="287"/>
      <c r="Z73" s="287"/>
      <c r="AA73" s="287"/>
      <c r="AB73" s="287"/>
      <c r="AC73" s="287"/>
      <c r="AD73" s="287"/>
      <c r="AE73" s="287"/>
      <c r="AF73" s="287"/>
      <c r="AG73" s="287"/>
      <c r="AH73" s="287"/>
      <c r="AI73" s="287"/>
      <c r="AJ73" s="287"/>
      <c r="AK73" s="287"/>
      <c r="AL73" s="287"/>
      <c r="AM73" s="287"/>
      <c r="AN73" s="287"/>
      <c r="AO73" s="287"/>
      <c r="BB73" s="37"/>
      <c r="BC73" s="37"/>
      <c r="BD73" s="37"/>
      <c r="BE73" s="37"/>
      <c r="BF73" s="37"/>
      <c r="BG73" s="37"/>
      <c r="BH73" s="37"/>
      <c r="BI73" s="37"/>
      <c r="BJ73" s="37"/>
      <c r="BK73" s="37"/>
    </row>
    <row r="74" spans="20:63" ht="18">
      <c r="T74" s="99"/>
      <c r="U74" s="288" t="s">
        <v>19</v>
      </c>
      <c r="V74" s="289"/>
      <c r="W74" s="289"/>
      <c r="X74" s="289"/>
      <c r="Y74" s="289"/>
      <c r="Z74" s="289"/>
      <c r="AA74" s="289"/>
      <c r="AB74" s="289"/>
      <c r="AC74" s="289"/>
      <c r="AD74" s="289"/>
      <c r="AE74" s="289"/>
      <c r="AF74" s="289"/>
      <c r="AG74" s="289"/>
      <c r="AH74" s="289"/>
      <c r="AI74" s="289"/>
      <c r="AJ74" s="289"/>
      <c r="AK74" s="289"/>
      <c r="AL74" s="289"/>
      <c r="AM74" s="289"/>
      <c r="AN74" s="290"/>
      <c r="AO74" s="99"/>
      <c r="AS74" s="37"/>
      <c r="AT74" s="37"/>
      <c r="AU74" s="37"/>
      <c r="BB74" s="37"/>
      <c r="BC74" s="37"/>
      <c r="BD74" s="37"/>
      <c r="BE74" s="37"/>
      <c r="BF74" s="37"/>
      <c r="BG74" s="37"/>
      <c r="BH74" s="37"/>
      <c r="BI74" s="37"/>
      <c r="BJ74" s="37"/>
      <c r="BK74" s="37"/>
    </row>
    <row r="75" spans="20:63" ht="13.9" customHeight="1" thickBot="1">
      <c r="T75" s="99"/>
      <c r="U75" s="291" t="str">
        <f>W27</f>
        <v>Load Value</v>
      </c>
      <c r="V75" s="292"/>
      <c r="W75" s="292"/>
      <c r="X75" s="292"/>
      <c r="Y75" s="292"/>
      <c r="Z75" s="292"/>
      <c r="AA75" s="292"/>
      <c r="AB75" s="292"/>
      <c r="AC75" s="292"/>
      <c r="AD75" s="292"/>
      <c r="AE75" s="292"/>
      <c r="AF75" s="292"/>
      <c r="AG75" s="292"/>
      <c r="AH75" s="292"/>
      <c r="AI75" s="292"/>
      <c r="AJ75" s="292"/>
      <c r="AK75" s="292"/>
      <c r="AL75" s="292"/>
      <c r="AM75" s="292"/>
      <c r="AN75" s="293"/>
      <c r="AO75" s="99"/>
    </row>
    <row r="76" spans="20:63" ht="16.5" thickBot="1">
      <c r="T76" s="99"/>
      <c r="U76" s="294" t="str">
        <f>U29</f>
        <v>RPM</v>
      </c>
      <c r="V76" s="257"/>
      <c r="W76" s="42">
        <f>W28</f>
        <v>10</v>
      </c>
      <c r="X76" s="43">
        <f t="shared" ref="X76:AN76" si="53">X28</f>
        <v>20</v>
      </c>
      <c r="Y76" s="43">
        <f t="shared" si="53"/>
        <v>30</v>
      </c>
      <c r="Z76" s="43">
        <f t="shared" si="53"/>
        <v>40</v>
      </c>
      <c r="AA76" s="44">
        <f t="shared" si="53"/>
        <v>50</v>
      </c>
      <c r="AB76" s="44">
        <f t="shared" si="53"/>
        <v>60</v>
      </c>
      <c r="AC76" s="44">
        <f t="shared" si="53"/>
        <v>70</v>
      </c>
      <c r="AD76" s="44">
        <f t="shared" si="53"/>
        <v>80</v>
      </c>
      <c r="AE76" s="44">
        <f t="shared" si="53"/>
        <v>90</v>
      </c>
      <c r="AF76" s="44">
        <f t="shared" si="53"/>
        <v>100</v>
      </c>
      <c r="AG76" s="44">
        <f t="shared" si="53"/>
        <v>120</v>
      </c>
      <c r="AH76" s="44">
        <f t="shared" si="53"/>
        <v>140</v>
      </c>
      <c r="AI76" s="45">
        <f t="shared" si="53"/>
        <v>160</v>
      </c>
      <c r="AJ76" s="45">
        <f t="shared" si="53"/>
        <v>180</v>
      </c>
      <c r="AK76" s="45">
        <f t="shared" si="53"/>
        <v>200</v>
      </c>
      <c r="AL76" s="45">
        <f t="shared" si="53"/>
        <v>220</v>
      </c>
      <c r="AM76" s="45">
        <f t="shared" si="53"/>
        <v>240</v>
      </c>
      <c r="AN76" s="46">
        <f t="shared" si="53"/>
        <v>260</v>
      </c>
      <c r="AO76" s="99"/>
    </row>
    <row r="77" spans="20:63" ht="13.15" customHeight="1">
      <c r="T77" s="99"/>
      <c r="U77" s="294"/>
      <c r="V77" s="47">
        <f>V29</f>
        <v>500</v>
      </c>
      <c r="W77" s="94">
        <v>0</v>
      </c>
      <c r="X77" s="94">
        <v>0</v>
      </c>
      <c r="Y77" s="94">
        <v>0</v>
      </c>
      <c r="Z77" s="94">
        <v>0</v>
      </c>
      <c r="AA77" s="94">
        <v>0</v>
      </c>
      <c r="AB77" s="94">
        <v>0</v>
      </c>
      <c r="AC77" s="94">
        <v>0</v>
      </c>
      <c r="AD77" s="94">
        <v>0</v>
      </c>
      <c r="AE77" s="94">
        <v>0</v>
      </c>
      <c r="AF77" s="94">
        <v>0</v>
      </c>
      <c r="AG77" s="94">
        <v>0</v>
      </c>
      <c r="AH77" s="94">
        <v>0</v>
      </c>
      <c r="AI77" s="94">
        <v>0</v>
      </c>
      <c r="AJ77" s="94">
        <v>0</v>
      </c>
      <c r="AK77" s="94">
        <v>0</v>
      </c>
      <c r="AL77" s="94">
        <v>0</v>
      </c>
      <c r="AM77" s="94">
        <v>0</v>
      </c>
      <c r="AN77" s="95">
        <v>0</v>
      </c>
      <c r="AO77" s="99"/>
    </row>
    <row r="78" spans="20:63">
      <c r="T78" s="99"/>
      <c r="U78" s="294"/>
      <c r="V78" s="49">
        <f t="shared" ref="V78:V91" si="54">V30</f>
        <v>1000</v>
      </c>
      <c r="W78" s="94">
        <f>1</f>
        <v>1</v>
      </c>
      <c r="X78" s="94">
        <f>1</f>
        <v>1</v>
      </c>
      <c r="Y78" s="94">
        <f>1</f>
        <v>1</v>
      </c>
      <c r="Z78" s="94">
        <f>1</f>
        <v>1</v>
      </c>
      <c r="AA78" s="94">
        <f>1</f>
        <v>1</v>
      </c>
      <c r="AB78" s="94">
        <f>1</f>
        <v>1</v>
      </c>
      <c r="AC78" s="94">
        <f>1</f>
        <v>1</v>
      </c>
      <c r="AD78" s="94">
        <f>1</f>
        <v>1</v>
      </c>
      <c r="AE78" s="94">
        <v>0</v>
      </c>
      <c r="AF78" s="94">
        <v>0</v>
      </c>
      <c r="AG78" s="94">
        <v>0</v>
      </c>
      <c r="AH78" s="94">
        <v>0</v>
      </c>
      <c r="AI78" s="94">
        <v>0</v>
      </c>
      <c r="AJ78" s="94">
        <v>0</v>
      </c>
      <c r="AK78" s="94">
        <v>0</v>
      </c>
      <c r="AL78" s="94">
        <v>0</v>
      </c>
      <c r="AM78" s="94">
        <v>0</v>
      </c>
      <c r="AN78" s="95">
        <v>0</v>
      </c>
      <c r="AO78" s="99"/>
    </row>
    <row r="79" spans="20:63">
      <c r="T79" s="99"/>
      <c r="U79" s="294"/>
      <c r="V79" s="50">
        <f t="shared" si="54"/>
        <v>1500</v>
      </c>
      <c r="W79" s="94">
        <f>1</f>
        <v>1</v>
      </c>
      <c r="X79" s="94">
        <f>1</f>
        <v>1</v>
      </c>
      <c r="Y79" s="94">
        <f>1</f>
        <v>1</v>
      </c>
      <c r="Z79" s="94">
        <f>1</f>
        <v>1</v>
      </c>
      <c r="AA79" s="94">
        <f>1</f>
        <v>1</v>
      </c>
      <c r="AB79" s="94">
        <f>1</f>
        <v>1</v>
      </c>
      <c r="AC79" s="94">
        <f>1</f>
        <v>1</v>
      </c>
      <c r="AD79" s="94">
        <f>1</f>
        <v>1</v>
      </c>
      <c r="AE79" s="94">
        <v>0</v>
      </c>
      <c r="AF79" s="94">
        <v>0</v>
      </c>
      <c r="AG79" s="94">
        <v>0</v>
      </c>
      <c r="AH79" s="94">
        <v>0</v>
      </c>
      <c r="AI79" s="94">
        <v>0</v>
      </c>
      <c r="AJ79" s="94">
        <v>0</v>
      </c>
      <c r="AK79" s="94">
        <v>0</v>
      </c>
      <c r="AL79" s="94">
        <v>0</v>
      </c>
      <c r="AM79" s="94">
        <v>0</v>
      </c>
      <c r="AN79" s="95">
        <v>0</v>
      </c>
      <c r="AO79" s="99"/>
    </row>
    <row r="80" spans="20:63">
      <c r="T80" s="99"/>
      <c r="U80" s="294"/>
      <c r="V80" s="50">
        <f t="shared" si="54"/>
        <v>2000</v>
      </c>
      <c r="W80" s="94">
        <f>1</f>
        <v>1</v>
      </c>
      <c r="X80" s="94">
        <f>1</f>
        <v>1</v>
      </c>
      <c r="Y80" s="94">
        <f>1</f>
        <v>1</v>
      </c>
      <c r="Z80" s="94">
        <f>1</f>
        <v>1</v>
      </c>
      <c r="AA80" s="94">
        <f>1</f>
        <v>1</v>
      </c>
      <c r="AB80" s="94">
        <f>1</f>
        <v>1</v>
      </c>
      <c r="AC80" s="94">
        <f>1</f>
        <v>1</v>
      </c>
      <c r="AD80" s="94">
        <f>1</f>
        <v>1</v>
      </c>
      <c r="AE80" s="94">
        <v>0</v>
      </c>
      <c r="AF80" s="94">
        <v>0</v>
      </c>
      <c r="AG80" s="94">
        <v>0</v>
      </c>
      <c r="AH80" s="94">
        <v>0</v>
      </c>
      <c r="AI80" s="94">
        <v>0</v>
      </c>
      <c r="AJ80" s="94">
        <v>0</v>
      </c>
      <c r="AK80" s="94">
        <v>0</v>
      </c>
      <c r="AL80" s="94">
        <v>0</v>
      </c>
      <c r="AM80" s="94">
        <v>0</v>
      </c>
      <c r="AN80" s="95">
        <v>0</v>
      </c>
      <c r="AO80" s="99"/>
    </row>
    <row r="81" spans="20:63">
      <c r="T81" s="99"/>
      <c r="U81" s="294"/>
      <c r="V81" s="50">
        <f t="shared" si="54"/>
        <v>2500</v>
      </c>
      <c r="W81" s="94">
        <f>1</f>
        <v>1</v>
      </c>
      <c r="X81" s="94">
        <f>1</f>
        <v>1</v>
      </c>
      <c r="Y81" s="94">
        <f>1</f>
        <v>1</v>
      </c>
      <c r="Z81" s="94">
        <f>1</f>
        <v>1</v>
      </c>
      <c r="AA81" s="94">
        <f>1</f>
        <v>1</v>
      </c>
      <c r="AB81" s="94">
        <f>1</f>
        <v>1</v>
      </c>
      <c r="AC81" s="94">
        <f>1</f>
        <v>1</v>
      </c>
      <c r="AD81" s="94">
        <f>1</f>
        <v>1</v>
      </c>
      <c r="AE81" s="94">
        <v>0</v>
      </c>
      <c r="AF81" s="94">
        <v>0</v>
      </c>
      <c r="AG81" s="94">
        <v>0</v>
      </c>
      <c r="AH81" s="94">
        <v>0</v>
      </c>
      <c r="AI81" s="94">
        <v>0</v>
      </c>
      <c r="AJ81" s="94">
        <v>0</v>
      </c>
      <c r="AK81" s="94">
        <v>0</v>
      </c>
      <c r="AL81" s="94">
        <v>0</v>
      </c>
      <c r="AM81" s="94">
        <v>0</v>
      </c>
      <c r="AN81" s="95">
        <v>0</v>
      </c>
      <c r="AO81" s="99"/>
    </row>
    <row r="82" spans="20:63" ht="15" customHeight="1">
      <c r="T82" s="99"/>
      <c r="U82" s="294"/>
      <c r="V82" s="51">
        <f t="shared" si="54"/>
        <v>3000</v>
      </c>
      <c r="W82" s="94">
        <f>1</f>
        <v>1</v>
      </c>
      <c r="X82" s="94">
        <f>1</f>
        <v>1</v>
      </c>
      <c r="Y82" s="94">
        <f>1</f>
        <v>1</v>
      </c>
      <c r="Z82" s="94">
        <f>1</f>
        <v>1</v>
      </c>
      <c r="AA82" s="94">
        <f>1</f>
        <v>1</v>
      </c>
      <c r="AB82" s="94">
        <f>1</f>
        <v>1</v>
      </c>
      <c r="AC82" s="94">
        <f>1</f>
        <v>1</v>
      </c>
      <c r="AD82" s="94">
        <f>1</f>
        <v>1</v>
      </c>
      <c r="AE82" s="94">
        <v>0</v>
      </c>
      <c r="AF82" s="94">
        <v>0</v>
      </c>
      <c r="AG82" s="94">
        <v>0</v>
      </c>
      <c r="AH82" s="94">
        <v>0</v>
      </c>
      <c r="AI82" s="94">
        <v>0</v>
      </c>
      <c r="AJ82" s="94">
        <v>0</v>
      </c>
      <c r="AK82" s="94">
        <v>0</v>
      </c>
      <c r="AL82" s="94">
        <v>0</v>
      </c>
      <c r="AM82" s="94">
        <v>0</v>
      </c>
      <c r="AN82" s="95">
        <v>0</v>
      </c>
      <c r="AO82" s="99"/>
    </row>
    <row r="83" spans="20:63">
      <c r="T83" s="99"/>
      <c r="U83" s="294"/>
      <c r="V83" s="51">
        <f t="shared" si="54"/>
        <v>3500</v>
      </c>
      <c r="W83" s="94">
        <f>1</f>
        <v>1</v>
      </c>
      <c r="X83" s="94">
        <f>1</f>
        <v>1</v>
      </c>
      <c r="Y83" s="94">
        <f>1</f>
        <v>1</v>
      </c>
      <c r="Z83" s="94">
        <f>1</f>
        <v>1</v>
      </c>
      <c r="AA83" s="94">
        <f>1</f>
        <v>1</v>
      </c>
      <c r="AB83" s="94">
        <f>1</f>
        <v>1</v>
      </c>
      <c r="AC83" s="94">
        <f>1</f>
        <v>1</v>
      </c>
      <c r="AD83" s="94">
        <f>1</f>
        <v>1</v>
      </c>
      <c r="AE83" s="94">
        <v>0</v>
      </c>
      <c r="AF83" s="94">
        <v>0</v>
      </c>
      <c r="AG83" s="94">
        <v>0</v>
      </c>
      <c r="AH83" s="94">
        <v>0</v>
      </c>
      <c r="AI83" s="94">
        <v>0</v>
      </c>
      <c r="AJ83" s="94">
        <v>0</v>
      </c>
      <c r="AK83" s="94">
        <v>0</v>
      </c>
      <c r="AL83" s="94">
        <v>0</v>
      </c>
      <c r="AM83" s="94">
        <v>0</v>
      </c>
      <c r="AN83" s="95">
        <v>0</v>
      </c>
      <c r="AO83" s="99"/>
    </row>
    <row r="84" spans="20:63">
      <c r="T84" s="99"/>
      <c r="U84" s="294"/>
      <c r="V84" s="51">
        <f t="shared" si="54"/>
        <v>4000</v>
      </c>
      <c r="W84" s="94">
        <f>1</f>
        <v>1</v>
      </c>
      <c r="X84" s="94">
        <f>1</f>
        <v>1</v>
      </c>
      <c r="Y84" s="94">
        <f>1</f>
        <v>1</v>
      </c>
      <c r="Z84" s="94">
        <f>1</f>
        <v>1</v>
      </c>
      <c r="AA84" s="94">
        <f>1</f>
        <v>1</v>
      </c>
      <c r="AB84" s="94">
        <f>1</f>
        <v>1</v>
      </c>
      <c r="AC84" s="94">
        <f>1</f>
        <v>1</v>
      </c>
      <c r="AD84" s="94">
        <f>1</f>
        <v>1</v>
      </c>
      <c r="AE84" s="94">
        <v>0</v>
      </c>
      <c r="AF84" s="94">
        <v>0</v>
      </c>
      <c r="AG84" s="94">
        <v>0</v>
      </c>
      <c r="AH84" s="94">
        <v>0</v>
      </c>
      <c r="AI84" s="94">
        <v>0</v>
      </c>
      <c r="AJ84" s="94">
        <v>0</v>
      </c>
      <c r="AK84" s="94">
        <v>0</v>
      </c>
      <c r="AL84" s="94">
        <v>0</v>
      </c>
      <c r="AM84" s="94">
        <v>0</v>
      </c>
      <c r="AN84" s="95">
        <v>0</v>
      </c>
      <c r="AO84" s="99"/>
    </row>
    <row r="85" spans="20:63">
      <c r="T85" s="99"/>
      <c r="U85" s="294"/>
      <c r="V85" s="51">
        <f t="shared" si="54"/>
        <v>4500</v>
      </c>
      <c r="W85" s="94">
        <f>1</f>
        <v>1</v>
      </c>
      <c r="X85" s="94">
        <f>1</f>
        <v>1</v>
      </c>
      <c r="Y85" s="94">
        <f>1</f>
        <v>1</v>
      </c>
      <c r="Z85" s="94">
        <f>1</f>
        <v>1</v>
      </c>
      <c r="AA85" s="94">
        <f>1</f>
        <v>1</v>
      </c>
      <c r="AB85" s="94">
        <f>1</f>
        <v>1</v>
      </c>
      <c r="AC85" s="94">
        <v>0</v>
      </c>
      <c r="AD85" s="94">
        <v>0</v>
      </c>
      <c r="AE85" s="94">
        <v>0</v>
      </c>
      <c r="AF85" s="94">
        <v>0</v>
      </c>
      <c r="AG85" s="94">
        <v>0</v>
      </c>
      <c r="AH85" s="94">
        <v>0</v>
      </c>
      <c r="AI85" s="94">
        <v>0</v>
      </c>
      <c r="AJ85" s="94">
        <v>0</v>
      </c>
      <c r="AK85" s="94">
        <v>0</v>
      </c>
      <c r="AL85" s="94">
        <v>0</v>
      </c>
      <c r="AM85" s="94">
        <v>0</v>
      </c>
      <c r="AN85" s="95">
        <v>0</v>
      </c>
      <c r="AO85" s="99"/>
    </row>
    <row r="86" spans="20:63">
      <c r="T86" s="99"/>
      <c r="U86" s="294"/>
      <c r="V86" s="51">
        <f t="shared" si="54"/>
        <v>5000</v>
      </c>
      <c r="W86" s="94">
        <f>1</f>
        <v>1</v>
      </c>
      <c r="X86" s="94">
        <f>1</f>
        <v>1</v>
      </c>
      <c r="Y86" s="94">
        <f>1</f>
        <v>1</v>
      </c>
      <c r="Z86" s="94">
        <f>1</f>
        <v>1</v>
      </c>
      <c r="AA86" s="94">
        <f>1</f>
        <v>1</v>
      </c>
      <c r="AB86" s="94">
        <v>0</v>
      </c>
      <c r="AC86" s="94">
        <v>0</v>
      </c>
      <c r="AD86" s="94">
        <v>0</v>
      </c>
      <c r="AE86" s="94">
        <v>0</v>
      </c>
      <c r="AF86" s="94">
        <v>0</v>
      </c>
      <c r="AG86" s="94">
        <v>0</v>
      </c>
      <c r="AH86" s="94">
        <v>0</v>
      </c>
      <c r="AI86" s="94">
        <v>0</v>
      </c>
      <c r="AJ86" s="94">
        <v>0</v>
      </c>
      <c r="AK86" s="94">
        <v>0</v>
      </c>
      <c r="AL86" s="94">
        <v>0</v>
      </c>
      <c r="AM86" s="94">
        <v>0</v>
      </c>
      <c r="AN86" s="95">
        <v>0</v>
      </c>
      <c r="AO86" s="99"/>
    </row>
    <row r="87" spans="20:63">
      <c r="T87" s="99"/>
      <c r="U87" s="294"/>
      <c r="V87" s="51">
        <f t="shared" si="54"/>
        <v>5500</v>
      </c>
      <c r="W87" s="94">
        <f>1</f>
        <v>1</v>
      </c>
      <c r="X87" s="94">
        <f>1</f>
        <v>1</v>
      </c>
      <c r="Y87" s="94">
        <f>1</f>
        <v>1</v>
      </c>
      <c r="Z87" s="94">
        <f>1</f>
        <v>1</v>
      </c>
      <c r="AA87" s="94">
        <v>0</v>
      </c>
      <c r="AB87" s="94">
        <v>0</v>
      </c>
      <c r="AC87" s="94">
        <v>0</v>
      </c>
      <c r="AD87" s="94">
        <v>0</v>
      </c>
      <c r="AE87" s="94">
        <v>0</v>
      </c>
      <c r="AF87" s="94">
        <v>0</v>
      </c>
      <c r="AG87" s="94">
        <v>0</v>
      </c>
      <c r="AH87" s="94">
        <v>0</v>
      </c>
      <c r="AI87" s="94">
        <v>0</v>
      </c>
      <c r="AJ87" s="94">
        <v>0</v>
      </c>
      <c r="AK87" s="94">
        <v>0</v>
      </c>
      <c r="AL87" s="94">
        <v>0</v>
      </c>
      <c r="AM87" s="94">
        <v>0</v>
      </c>
      <c r="AN87" s="95">
        <v>0</v>
      </c>
      <c r="AO87" s="99"/>
      <c r="AR87" s="38"/>
      <c r="AS87" s="39"/>
      <c r="BJ87" s="40"/>
      <c r="BK87" s="37"/>
    </row>
    <row r="88" spans="20:63" ht="13.5" customHeight="1">
      <c r="T88" s="99"/>
      <c r="U88" s="294"/>
      <c r="V88" s="51">
        <f t="shared" si="54"/>
        <v>6000</v>
      </c>
      <c r="W88" s="94">
        <v>0</v>
      </c>
      <c r="X88" s="94">
        <v>0</v>
      </c>
      <c r="Y88" s="94">
        <v>0</v>
      </c>
      <c r="Z88" s="94">
        <v>0</v>
      </c>
      <c r="AA88" s="94">
        <v>0</v>
      </c>
      <c r="AB88" s="94">
        <v>0</v>
      </c>
      <c r="AC88" s="94">
        <v>0</v>
      </c>
      <c r="AD88" s="94">
        <v>0</v>
      </c>
      <c r="AE88" s="94">
        <v>0</v>
      </c>
      <c r="AF88" s="94">
        <v>0</v>
      </c>
      <c r="AG88" s="94">
        <v>0</v>
      </c>
      <c r="AH88" s="94">
        <v>0</v>
      </c>
      <c r="AI88" s="94">
        <v>0</v>
      </c>
      <c r="AJ88" s="94">
        <v>0</v>
      </c>
      <c r="AK88" s="94">
        <v>0</v>
      </c>
      <c r="AL88" s="94">
        <v>0</v>
      </c>
      <c r="AM88" s="94">
        <v>0</v>
      </c>
      <c r="AN88" s="95">
        <v>0</v>
      </c>
      <c r="AO88" s="99"/>
      <c r="AR88" s="38"/>
      <c r="AS88" s="39"/>
      <c r="BJ88" s="40"/>
      <c r="BK88" s="37"/>
    </row>
    <row r="89" spans="20:63">
      <c r="T89" s="99"/>
      <c r="U89" s="294"/>
      <c r="V89" s="51">
        <f t="shared" si="54"/>
        <v>6500</v>
      </c>
      <c r="W89" s="94">
        <v>0</v>
      </c>
      <c r="X89" s="94">
        <v>0</v>
      </c>
      <c r="Y89" s="94">
        <v>0</v>
      </c>
      <c r="Z89" s="94">
        <v>0</v>
      </c>
      <c r="AA89" s="94">
        <v>0</v>
      </c>
      <c r="AB89" s="94">
        <v>0</v>
      </c>
      <c r="AC89" s="94">
        <v>0</v>
      </c>
      <c r="AD89" s="94">
        <v>0</v>
      </c>
      <c r="AE89" s="94">
        <v>0</v>
      </c>
      <c r="AF89" s="94">
        <v>0</v>
      </c>
      <c r="AG89" s="94">
        <v>0</v>
      </c>
      <c r="AH89" s="94">
        <v>0</v>
      </c>
      <c r="AI89" s="94">
        <v>0</v>
      </c>
      <c r="AJ89" s="94">
        <v>0</v>
      </c>
      <c r="AK89" s="94">
        <v>0</v>
      </c>
      <c r="AL89" s="94">
        <v>0</v>
      </c>
      <c r="AM89" s="94">
        <v>0</v>
      </c>
      <c r="AN89" s="95">
        <v>0</v>
      </c>
      <c r="AO89" s="99"/>
      <c r="AR89" s="38"/>
      <c r="AS89" s="39"/>
      <c r="BJ89" s="40"/>
      <c r="BK89" s="37"/>
    </row>
    <row r="90" spans="20:63" ht="18.75" customHeight="1">
      <c r="T90" s="99"/>
      <c r="U90" s="294"/>
      <c r="V90" s="51">
        <f t="shared" si="54"/>
        <v>7000</v>
      </c>
      <c r="W90" s="94">
        <v>0</v>
      </c>
      <c r="X90" s="94">
        <v>0</v>
      </c>
      <c r="Y90" s="94">
        <v>0</v>
      </c>
      <c r="Z90" s="94">
        <v>0</v>
      </c>
      <c r="AA90" s="94">
        <v>0</v>
      </c>
      <c r="AB90" s="94">
        <v>0</v>
      </c>
      <c r="AC90" s="94">
        <v>0</v>
      </c>
      <c r="AD90" s="94">
        <v>0</v>
      </c>
      <c r="AE90" s="94">
        <v>0</v>
      </c>
      <c r="AF90" s="94">
        <v>0</v>
      </c>
      <c r="AG90" s="94">
        <v>0</v>
      </c>
      <c r="AH90" s="94">
        <v>0</v>
      </c>
      <c r="AI90" s="94">
        <v>0</v>
      </c>
      <c r="AJ90" s="94">
        <v>0</v>
      </c>
      <c r="AK90" s="94">
        <v>0</v>
      </c>
      <c r="AL90" s="94">
        <v>0</v>
      </c>
      <c r="AM90" s="94">
        <v>0</v>
      </c>
      <c r="AN90" s="95">
        <v>0</v>
      </c>
      <c r="AO90" s="99"/>
      <c r="AP90" s="100"/>
      <c r="AR90" s="38"/>
      <c r="AS90" s="39"/>
      <c r="BJ90" s="40"/>
      <c r="BK90" s="37"/>
    </row>
    <row r="91" spans="20:63" ht="12.75" customHeight="1" thickBot="1">
      <c r="T91" s="99"/>
      <c r="U91" s="295"/>
      <c r="V91" s="57">
        <f t="shared" si="54"/>
        <v>7500</v>
      </c>
      <c r="W91" s="97">
        <v>0</v>
      </c>
      <c r="X91" s="97">
        <v>0</v>
      </c>
      <c r="Y91" s="97">
        <v>0</v>
      </c>
      <c r="Z91" s="97">
        <v>0</v>
      </c>
      <c r="AA91" s="97">
        <v>0</v>
      </c>
      <c r="AB91" s="97">
        <v>0</v>
      </c>
      <c r="AC91" s="97">
        <v>0</v>
      </c>
      <c r="AD91" s="97">
        <v>0</v>
      </c>
      <c r="AE91" s="97">
        <v>0</v>
      </c>
      <c r="AF91" s="97">
        <v>0</v>
      </c>
      <c r="AG91" s="97">
        <v>0</v>
      </c>
      <c r="AH91" s="97">
        <v>0</v>
      </c>
      <c r="AI91" s="97">
        <v>0</v>
      </c>
      <c r="AJ91" s="97">
        <v>0</v>
      </c>
      <c r="AK91" s="97">
        <v>0</v>
      </c>
      <c r="AL91" s="97">
        <v>0</v>
      </c>
      <c r="AM91" s="97">
        <v>0</v>
      </c>
      <c r="AN91" s="98">
        <v>0</v>
      </c>
      <c r="AO91" s="99"/>
      <c r="AP91" s="100"/>
      <c r="AR91" s="38"/>
      <c r="AS91" s="39"/>
      <c r="BJ91" s="40"/>
      <c r="BK91" s="37"/>
    </row>
    <row r="92" spans="20:63" ht="12.75" customHeight="1">
      <c r="T92" s="99"/>
      <c r="U92" s="99"/>
      <c r="V92" s="99"/>
      <c r="W92" s="99"/>
      <c r="X92" s="99"/>
      <c r="Y92" s="99"/>
      <c r="Z92" s="99"/>
      <c r="AA92" s="99"/>
      <c r="AB92" s="99"/>
      <c r="AC92" s="99"/>
      <c r="AD92" s="99"/>
      <c r="AE92" s="99"/>
      <c r="AF92" s="99"/>
      <c r="AG92" s="99"/>
      <c r="AH92" s="99"/>
      <c r="AI92" s="99"/>
      <c r="AJ92" s="99"/>
      <c r="AK92" s="99"/>
      <c r="AL92" s="99"/>
      <c r="AM92" s="99"/>
      <c r="AN92" s="99"/>
      <c r="AO92" s="99"/>
      <c r="AP92" s="100"/>
      <c r="AR92" s="38"/>
      <c r="AS92" s="39"/>
      <c r="BJ92" s="40"/>
      <c r="BK92" s="37"/>
    </row>
    <row r="93" spans="20:63" ht="12.75" customHeight="1">
      <c r="AR93" s="38"/>
      <c r="AS93" s="39"/>
      <c r="BJ93" s="40"/>
      <c r="BK93" s="37"/>
    </row>
    <row r="94" spans="20:63" ht="12.75" customHeight="1">
      <c r="T94" s="325" t="s">
        <v>43</v>
      </c>
      <c r="U94" s="325"/>
      <c r="V94" s="325"/>
      <c r="W94" s="325"/>
      <c r="X94" s="325"/>
      <c r="Y94" s="325"/>
      <c r="Z94" s="325"/>
      <c r="AA94" s="325"/>
      <c r="AB94" s="325"/>
      <c r="AC94" s="325"/>
      <c r="AD94" s="325"/>
      <c r="AE94" s="325"/>
      <c r="AF94" s="325"/>
      <c r="AG94" s="325"/>
      <c r="AH94" s="325"/>
      <c r="AI94" s="325"/>
      <c r="AJ94" s="325"/>
      <c r="AK94" s="325"/>
      <c r="AL94" s="325"/>
      <c r="AM94" s="325"/>
      <c r="AN94" s="325"/>
      <c r="AO94" s="325"/>
      <c r="AR94" s="38"/>
      <c r="AS94" s="39"/>
      <c r="BJ94" s="40"/>
      <c r="BK94" s="37"/>
    </row>
    <row r="95" spans="20:63" ht="12.75" customHeight="1">
      <c r="T95" s="325"/>
      <c r="U95" s="325"/>
      <c r="V95" s="325"/>
      <c r="W95" s="325"/>
      <c r="X95" s="325"/>
      <c r="Y95" s="325"/>
      <c r="Z95" s="325"/>
      <c r="AA95" s="325"/>
      <c r="AB95" s="325"/>
      <c r="AC95" s="325"/>
      <c r="AD95" s="325"/>
      <c r="AE95" s="325"/>
      <c r="AF95" s="325"/>
      <c r="AG95" s="325"/>
      <c r="AH95" s="325"/>
      <c r="AI95" s="325"/>
      <c r="AJ95" s="325"/>
      <c r="AK95" s="325"/>
      <c r="AL95" s="325"/>
      <c r="AM95" s="325"/>
      <c r="AN95" s="325"/>
      <c r="AO95" s="325"/>
      <c r="AR95" s="38"/>
      <c r="AS95" s="39"/>
      <c r="BJ95" s="40"/>
      <c r="BK95" s="37"/>
    </row>
    <row r="96" spans="20:63" ht="12.75" customHeight="1" thickBot="1">
      <c r="T96" s="325"/>
      <c r="U96" s="325"/>
      <c r="V96" s="325"/>
      <c r="W96" s="325"/>
      <c r="X96" s="325"/>
      <c r="Y96" s="325"/>
      <c r="Z96" s="325"/>
      <c r="AA96" s="325"/>
      <c r="AB96" s="325"/>
      <c r="AC96" s="325"/>
      <c r="AD96" s="325"/>
      <c r="AE96" s="325"/>
      <c r="AF96" s="325"/>
      <c r="AG96" s="325"/>
      <c r="AH96" s="325"/>
      <c r="AI96" s="325"/>
      <c r="AJ96" s="325"/>
      <c r="AK96" s="325"/>
      <c r="AL96" s="325"/>
      <c r="AM96" s="325"/>
      <c r="AN96" s="325"/>
      <c r="AO96" s="325"/>
      <c r="AR96" s="38"/>
      <c r="AS96" s="39"/>
      <c r="BJ96" s="40"/>
      <c r="BK96" s="37"/>
    </row>
    <row r="97" spans="20:63" ht="12.75" customHeight="1" thickBot="1">
      <c r="T97" s="64"/>
      <c r="U97" s="65"/>
      <c r="V97" s="65"/>
      <c r="W97" s="304" t="s">
        <v>44</v>
      </c>
      <c r="X97" s="305">
        <v>0</v>
      </c>
      <c r="Y97" s="305">
        <v>0</v>
      </c>
      <c r="Z97" s="305">
        <v>0</v>
      </c>
      <c r="AA97" s="305">
        <v>0</v>
      </c>
      <c r="AB97" s="305">
        <v>0</v>
      </c>
      <c r="AC97" s="305">
        <v>0</v>
      </c>
      <c r="AD97" s="305">
        <v>0</v>
      </c>
      <c r="AE97" s="305">
        <v>0</v>
      </c>
      <c r="AF97" s="305">
        <v>0</v>
      </c>
      <c r="AG97" s="305">
        <v>0</v>
      </c>
      <c r="AH97" s="305">
        <v>0</v>
      </c>
      <c r="AI97" s="305">
        <v>0</v>
      </c>
      <c r="AJ97" s="305">
        <v>0</v>
      </c>
      <c r="AK97" s="305">
        <v>0</v>
      </c>
      <c r="AL97" s="305">
        <v>0</v>
      </c>
      <c r="AM97" s="305">
        <v>0</v>
      </c>
      <c r="AN97" s="306">
        <v>0</v>
      </c>
      <c r="AO97" s="64"/>
      <c r="AR97" s="38"/>
      <c r="AS97" s="39"/>
      <c r="BJ97" s="40"/>
      <c r="BK97" s="37"/>
    </row>
    <row r="98" spans="20:63" ht="12.75" customHeight="1" thickBot="1">
      <c r="T98" s="64"/>
      <c r="U98" s="65"/>
      <c r="V98" s="65"/>
      <c r="W98" s="284" t="s">
        <v>0</v>
      </c>
      <c r="X98" s="285">
        <v>0</v>
      </c>
      <c r="Y98" s="285">
        <v>0</v>
      </c>
      <c r="Z98" s="285">
        <v>0</v>
      </c>
      <c r="AA98" s="285">
        <v>0</v>
      </c>
      <c r="AB98" s="285">
        <v>0</v>
      </c>
      <c r="AC98" s="285">
        <v>0</v>
      </c>
      <c r="AD98" s="285">
        <v>0</v>
      </c>
      <c r="AE98" s="285">
        <v>0</v>
      </c>
      <c r="AF98" s="285">
        <v>0</v>
      </c>
      <c r="AG98" s="285">
        <v>0</v>
      </c>
      <c r="AH98" s="285">
        <v>0</v>
      </c>
      <c r="AI98" s="285">
        <v>0</v>
      </c>
      <c r="AJ98" s="285">
        <v>0</v>
      </c>
      <c r="AK98" s="285">
        <v>0</v>
      </c>
      <c r="AL98" s="285">
        <v>0</v>
      </c>
      <c r="AM98" s="285">
        <v>0</v>
      </c>
      <c r="AN98" s="286">
        <v>0</v>
      </c>
      <c r="AO98" s="64"/>
      <c r="AR98" s="38"/>
      <c r="AS98" s="39"/>
      <c r="BJ98" s="40"/>
      <c r="BK98" s="37"/>
    </row>
    <row r="99" spans="20:63" ht="13.5" thickBot="1">
      <c r="T99" s="64"/>
      <c r="U99" s="65"/>
      <c r="V99" s="65"/>
      <c r="W99" s="193">
        <f t="shared" ref="W99:AN99" si="55">W28</f>
        <v>10</v>
      </c>
      <c r="X99" s="194">
        <f t="shared" si="55"/>
        <v>20</v>
      </c>
      <c r="Y99" s="194">
        <f t="shared" si="55"/>
        <v>30</v>
      </c>
      <c r="Z99" s="194">
        <f t="shared" si="55"/>
        <v>40</v>
      </c>
      <c r="AA99" s="195">
        <f t="shared" si="55"/>
        <v>50</v>
      </c>
      <c r="AB99" s="195">
        <f t="shared" si="55"/>
        <v>60</v>
      </c>
      <c r="AC99" s="195">
        <f t="shared" si="55"/>
        <v>70</v>
      </c>
      <c r="AD99" s="195">
        <f t="shared" si="55"/>
        <v>80</v>
      </c>
      <c r="AE99" s="195">
        <f t="shared" si="55"/>
        <v>90</v>
      </c>
      <c r="AF99" s="195">
        <f t="shared" si="55"/>
        <v>100</v>
      </c>
      <c r="AG99" s="195">
        <f t="shared" si="55"/>
        <v>120</v>
      </c>
      <c r="AH99" s="195">
        <f t="shared" si="55"/>
        <v>140</v>
      </c>
      <c r="AI99" s="196">
        <f t="shared" si="55"/>
        <v>160</v>
      </c>
      <c r="AJ99" s="196">
        <f t="shared" si="55"/>
        <v>180</v>
      </c>
      <c r="AK99" s="196">
        <f t="shared" si="55"/>
        <v>200</v>
      </c>
      <c r="AL99" s="196">
        <f t="shared" si="55"/>
        <v>220</v>
      </c>
      <c r="AM99" s="196">
        <f t="shared" si="55"/>
        <v>240</v>
      </c>
      <c r="AN99" s="197">
        <f t="shared" si="55"/>
        <v>260</v>
      </c>
      <c r="AO99" s="64"/>
      <c r="AR99" s="38"/>
      <c r="AS99" s="39"/>
      <c r="BJ99" s="40"/>
      <c r="BK99" s="37"/>
    </row>
    <row r="100" spans="20:63">
      <c r="T100" s="64"/>
      <c r="U100" s="301" t="s">
        <v>1</v>
      </c>
      <c r="V100" s="193">
        <f t="shared" ref="V100:V114" si="56">V29</f>
        <v>500</v>
      </c>
      <c r="W100" s="258">
        <f t="shared" ref="W100:AN100" si="57">ROUND(14.7*128/W29,0)</f>
        <v>141</v>
      </c>
      <c r="X100" s="186">
        <f t="shared" si="57"/>
        <v>141</v>
      </c>
      <c r="Y100" s="186">
        <f t="shared" si="57"/>
        <v>141</v>
      </c>
      <c r="Z100" s="186">
        <f t="shared" si="57"/>
        <v>141</v>
      </c>
      <c r="AA100" s="186">
        <f t="shared" si="57"/>
        <v>141</v>
      </c>
      <c r="AB100" s="186">
        <f t="shared" si="57"/>
        <v>141</v>
      </c>
      <c r="AC100" s="186">
        <f t="shared" si="57"/>
        <v>141</v>
      </c>
      <c r="AD100" s="186">
        <f t="shared" si="57"/>
        <v>141</v>
      </c>
      <c r="AE100" s="186">
        <f t="shared" si="57"/>
        <v>150</v>
      </c>
      <c r="AF100" s="186">
        <f t="shared" si="57"/>
        <v>150</v>
      </c>
      <c r="AG100" s="186">
        <f t="shared" si="57"/>
        <v>153</v>
      </c>
      <c r="AH100" s="186">
        <f t="shared" si="57"/>
        <v>156</v>
      </c>
      <c r="AI100" s="186">
        <f t="shared" si="57"/>
        <v>159</v>
      </c>
      <c r="AJ100" s="186">
        <f t="shared" si="57"/>
        <v>162</v>
      </c>
      <c r="AK100" s="186">
        <f t="shared" si="57"/>
        <v>165</v>
      </c>
      <c r="AL100" s="186">
        <f t="shared" si="57"/>
        <v>168</v>
      </c>
      <c r="AM100" s="186">
        <f t="shared" si="57"/>
        <v>171</v>
      </c>
      <c r="AN100" s="187">
        <f t="shared" si="57"/>
        <v>174</v>
      </c>
      <c r="AO100" s="64"/>
      <c r="AR100" s="38"/>
      <c r="AS100" s="39"/>
      <c r="BJ100" s="40"/>
      <c r="BK100" s="37"/>
    </row>
    <row r="101" spans="20:63">
      <c r="T101" s="64"/>
      <c r="U101" s="302">
        <v>0</v>
      </c>
      <c r="V101" s="222">
        <f t="shared" si="56"/>
        <v>1000</v>
      </c>
      <c r="W101" s="220">
        <f t="shared" ref="W101:AN101" si="58">ROUND(14.7*128/W30,0)</f>
        <v>128</v>
      </c>
      <c r="X101" s="94">
        <f t="shared" si="58"/>
        <v>128</v>
      </c>
      <c r="Y101" s="94">
        <f t="shared" si="58"/>
        <v>128</v>
      </c>
      <c r="Z101" s="94">
        <f t="shared" si="58"/>
        <v>128</v>
      </c>
      <c r="AA101" s="94">
        <f t="shared" si="58"/>
        <v>128</v>
      </c>
      <c r="AB101" s="94">
        <f t="shared" si="58"/>
        <v>128</v>
      </c>
      <c r="AC101" s="94">
        <f t="shared" si="58"/>
        <v>128</v>
      </c>
      <c r="AD101" s="94">
        <f t="shared" si="58"/>
        <v>128</v>
      </c>
      <c r="AE101" s="94">
        <f t="shared" si="58"/>
        <v>140</v>
      </c>
      <c r="AF101" s="94">
        <f t="shared" si="58"/>
        <v>140</v>
      </c>
      <c r="AG101" s="94">
        <f t="shared" si="58"/>
        <v>143</v>
      </c>
      <c r="AH101" s="94">
        <f t="shared" si="58"/>
        <v>147</v>
      </c>
      <c r="AI101" s="94">
        <f t="shared" si="58"/>
        <v>150</v>
      </c>
      <c r="AJ101" s="94">
        <f t="shared" si="58"/>
        <v>153</v>
      </c>
      <c r="AK101" s="94">
        <f t="shared" si="58"/>
        <v>156</v>
      </c>
      <c r="AL101" s="94">
        <f t="shared" si="58"/>
        <v>159</v>
      </c>
      <c r="AM101" s="94">
        <f t="shared" si="58"/>
        <v>162</v>
      </c>
      <c r="AN101" s="95">
        <f t="shared" si="58"/>
        <v>164</v>
      </c>
      <c r="AO101" s="64"/>
      <c r="AR101" s="38"/>
      <c r="AS101" s="39"/>
      <c r="BJ101" s="40"/>
      <c r="BK101" s="37"/>
    </row>
    <row r="102" spans="20:63">
      <c r="T102" s="64"/>
      <c r="U102" s="302">
        <v>0</v>
      </c>
      <c r="V102" s="223">
        <f t="shared" si="56"/>
        <v>1500</v>
      </c>
      <c r="W102" s="220">
        <f t="shared" ref="W102:AN102" si="59">ROUND(14.7*128/W31,0)</f>
        <v>128</v>
      </c>
      <c r="X102" s="94">
        <f t="shared" si="59"/>
        <v>128</v>
      </c>
      <c r="Y102" s="94">
        <f t="shared" si="59"/>
        <v>128</v>
      </c>
      <c r="Z102" s="94">
        <f t="shared" si="59"/>
        <v>128</v>
      </c>
      <c r="AA102" s="94">
        <f t="shared" si="59"/>
        <v>128</v>
      </c>
      <c r="AB102" s="94">
        <f t="shared" si="59"/>
        <v>128</v>
      </c>
      <c r="AC102" s="94">
        <f t="shared" si="59"/>
        <v>128</v>
      </c>
      <c r="AD102" s="94">
        <f t="shared" si="59"/>
        <v>128</v>
      </c>
      <c r="AE102" s="94">
        <f t="shared" si="59"/>
        <v>132</v>
      </c>
      <c r="AF102" s="94">
        <f t="shared" si="59"/>
        <v>136</v>
      </c>
      <c r="AG102" s="94">
        <f t="shared" si="59"/>
        <v>143</v>
      </c>
      <c r="AH102" s="94">
        <f t="shared" si="59"/>
        <v>145</v>
      </c>
      <c r="AI102" s="94">
        <f t="shared" si="59"/>
        <v>147</v>
      </c>
      <c r="AJ102" s="94">
        <f t="shared" si="59"/>
        <v>150</v>
      </c>
      <c r="AK102" s="94">
        <f t="shared" si="59"/>
        <v>153</v>
      </c>
      <c r="AL102" s="94">
        <f t="shared" si="59"/>
        <v>156</v>
      </c>
      <c r="AM102" s="94">
        <f t="shared" si="59"/>
        <v>159</v>
      </c>
      <c r="AN102" s="95">
        <f t="shared" si="59"/>
        <v>162</v>
      </c>
      <c r="AO102" s="64"/>
      <c r="AR102" s="38"/>
      <c r="AS102" s="39"/>
      <c r="BJ102" s="40"/>
      <c r="BK102" s="37"/>
    </row>
    <row r="103" spans="20:63">
      <c r="T103" s="64"/>
      <c r="U103" s="302">
        <v>0</v>
      </c>
      <c r="V103" s="223">
        <f t="shared" si="56"/>
        <v>2000</v>
      </c>
      <c r="W103" s="220">
        <f t="shared" ref="W103:AN103" si="60">ROUND(14.7*128/W32,0)</f>
        <v>128</v>
      </c>
      <c r="X103" s="94">
        <f t="shared" si="60"/>
        <v>128</v>
      </c>
      <c r="Y103" s="94">
        <f t="shared" si="60"/>
        <v>128</v>
      </c>
      <c r="Z103" s="94">
        <f t="shared" si="60"/>
        <v>128</v>
      </c>
      <c r="AA103" s="94">
        <f t="shared" si="60"/>
        <v>128</v>
      </c>
      <c r="AB103" s="94">
        <f t="shared" si="60"/>
        <v>128</v>
      </c>
      <c r="AC103" s="94">
        <f t="shared" si="60"/>
        <v>128</v>
      </c>
      <c r="AD103" s="94">
        <f t="shared" si="60"/>
        <v>128</v>
      </c>
      <c r="AE103" s="94">
        <f t="shared" si="60"/>
        <v>132</v>
      </c>
      <c r="AF103" s="94">
        <f t="shared" si="60"/>
        <v>136</v>
      </c>
      <c r="AG103" s="94">
        <f t="shared" si="60"/>
        <v>140</v>
      </c>
      <c r="AH103" s="94">
        <f t="shared" si="60"/>
        <v>144</v>
      </c>
      <c r="AI103" s="94">
        <f t="shared" si="60"/>
        <v>147</v>
      </c>
      <c r="AJ103" s="94">
        <f t="shared" si="60"/>
        <v>149</v>
      </c>
      <c r="AK103" s="94">
        <f t="shared" si="60"/>
        <v>152</v>
      </c>
      <c r="AL103" s="94">
        <f t="shared" si="60"/>
        <v>155</v>
      </c>
      <c r="AM103" s="94">
        <f t="shared" si="60"/>
        <v>158</v>
      </c>
      <c r="AN103" s="95">
        <f t="shared" si="60"/>
        <v>161</v>
      </c>
      <c r="AO103" s="64"/>
      <c r="AR103" s="38"/>
      <c r="AS103" s="39"/>
      <c r="BJ103" s="40"/>
      <c r="BK103" s="37"/>
    </row>
    <row r="104" spans="20:63">
      <c r="T104" s="64"/>
      <c r="U104" s="302">
        <v>0</v>
      </c>
      <c r="V104" s="223">
        <f t="shared" si="56"/>
        <v>2500</v>
      </c>
      <c r="W104" s="220">
        <f t="shared" ref="W104:AN104" si="61">ROUND(14.7*128/W33,0)</f>
        <v>128</v>
      </c>
      <c r="X104" s="94">
        <f t="shared" si="61"/>
        <v>128</v>
      </c>
      <c r="Y104" s="94">
        <f t="shared" si="61"/>
        <v>128</v>
      </c>
      <c r="Z104" s="94">
        <f t="shared" si="61"/>
        <v>128</v>
      </c>
      <c r="AA104" s="94">
        <f t="shared" si="61"/>
        <v>128</v>
      </c>
      <c r="AB104" s="94">
        <f t="shared" si="61"/>
        <v>128</v>
      </c>
      <c r="AC104" s="94">
        <f t="shared" si="61"/>
        <v>128</v>
      </c>
      <c r="AD104" s="94">
        <f t="shared" si="61"/>
        <v>128</v>
      </c>
      <c r="AE104" s="94">
        <f t="shared" si="61"/>
        <v>131</v>
      </c>
      <c r="AF104" s="94">
        <f t="shared" si="61"/>
        <v>133</v>
      </c>
      <c r="AG104" s="94">
        <f t="shared" si="61"/>
        <v>136</v>
      </c>
      <c r="AH104" s="94">
        <f t="shared" si="61"/>
        <v>140</v>
      </c>
      <c r="AI104" s="94">
        <f t="shared" si="61"/>
        <v>143</v>
      </c>
      <c r="AJ104" s="94">
        <f t="shared" si="61"/>
        <v>145</v>
      </c>
      <c r="AK104" s="94">
        <f t="shared" si="61"/>
        <v>148</v>
      </c>
      <c r="AL104" s="94">
        <f t="shared" si="61"/>
        <v>151</v>
      </c>
      <c r="AM104" s="94">
        <f t="shared" si="61"/>
        <v>154</v>
      </c>
      <c r="AN104" s="95">
        <f t="shared" si="61"/>
        <v>157</v>
      </c>
      <c r="AO104" s="64"/>
      <c r="AR104" s="38"/>
      <c r="AS104" s="39"/>
      <c r="BJ104" s="40"/>
      <c r="BK104" s="37"/>
    </row>
    <row r="105" spans="20:63">
      <c r="T105" s="64"/>
      <c r="U105" s="302">
        <v>0</v>
      </c>
      <c r="V105" s="224">
        <f t="shared" si="56"/>
        <v>3000</v>
      </c>
      <c r="W105" s="220">
        <f t="shared" ref="W105:AN105" si="62">ROUND(14.7*128/W34,0)</f>
        <v>128</v>
      </c>
      <c r="X105" s="94">
        <f t="shared" si="62"/>
        <v>128</v>
      </c>
      <c r="Y105" s="94">
        <f t="shared" si="62"/>
        <v>128</v>
      </c>
      <c r="Z105" s="94">
        <f t="shared" si="62"/>
        <v>128</v>
      </c>
      <c r="AA105" s="94">
        <f t="shared" si="62"/>
        <v>128</v>
      </c>
      <c r="AB105" s="94">
        <f t="shared" si="62"/>
        <v>128</v>
      </c>
      <c r="AC105" s="94">
        <f t="shared" si="62"/>
        <v>128</v>
      </c>
      <c r="AD105" s="94">
        <f t="shared" si="62"/>
        <v>128</v>
      </c>
      <c r="AE105" s="94">
        <f t="shared" si="62"/>
        <v>131</v>
      </c>
      <c r="AF105" s="94">
        <f t="shared" si="62"/>
        <v>133</v>
      </c>
      <c r="AG105" s="94">
        <f t="shared" si="62"/>
        <v>134</v>
      </c>
      <c r="AH105" s="94">
        <f t="shared" si="62"/>
        <v>142</v>
      </c>
      <c r="AI105" s="94">
        <f t="shared" si="62"/>
        <v>160</v>
      </c>
      <c r="AJ105" s="94">
        <f t="shared" si="62"/>
        <v>166</v>
      </c>
      <c r="AK105" s="94">
        <f t="shared" si="62"/>
        <v>170</v>
      </c>
      <c r="AL105" s="94">
        <f t="shared" si="62"/>
        <v>172</v>
      </c>
      <c r="AM105" s="94">
        <f t="shared" si="62"/>
        <v>175</v>
      </c>
      <c r="AN105" s="95">
        <f t="shared" si="62"/>
        <v>178</v>
      </c>
      <c r="AO105" s="64"/>
      <c r="AR105" s="38"/>
      <c r="AS105" s="39"/>
      <c r="BJ105" s="40"/>
      <c r="BK105" s="37"/>
    </row>
    <row r="106" spans="20:63">
      <c r="T106" s="64"/>
      <c r="U106" s="302">
        <v>0</v>
      </c>
      <c r="V106" s="224">
        <f t="shared" si="56"/>
        <v>3500</v>
      </c>
      <c r="W106" s="220">
        <f t="shared" ref="W106:AN106" si="63">ROUND(14.7*128/W35,0)</f>
        <v>128</v>
      </c>
      <c r="X106" s="94">
        <f t="shared" si="63"/>
        <v>128</v>
      </c>
      <c r="Y106" s="94">
        <f t="shared" si="63"/>
        <v>128</v>
      </c>
      <c r="Z106" s="94">
        <f t="shared" si="63"/>
        <v>128</v>
      </c>
      <c r="AA106" s="94">
        <f t="shared" si="63"/>
        <v>128</v>
      </c>
      <c r="AB106" s="94">
        <f t="shared" si="63"/>
        <v>128</v>
      </c>
      <c r="AC106" s="94">
        <f t="shared" si="63"/>
        <v>128</v>
      </c>
      <c r="AD106" s="94">
        <f t="shared" si="63"/>
        <v>128</v>
      </c>
      <c r="AE106" s="94">
        <f t="shared" si="63"/>
        <v>131</v>
      </c>
      <c r="AF106" s="94">
        <f t="shared" si="63"/>
        <v>133</v>
      </c>
      <c r="AG106" s="94">
        <f t="shared" si="63"/>
        <v>140</v>
      </c>
      <c r="AH106" s="94">
        <f t="shared" si="63"/>
        <v>154</v>
      </c>
      <c r="AI106" s="94">
        <f t="shared" si="63"/>
        <v>164</v>
      </c>
      <c r="AJ106" s="94">
        <f t="shared" si="63"/>
        <v>173</v>
      </c>
      <c r="AK106" s="94">
        <f t="shared" si="63"/>
        <v>174</v>
      </c>
      <c r="AL106" s="94">
        <f t="shared" si="63"/>
        <v>175</v>
      </c>
      <c r="AM106" s="94">
        <f t="shared" si="63"/>
        <v>178</v>
      </c>
      <c r="AN106" s="95">
        <f t="shared" si="63"/>
        <v>179</v>
      </c>
      <c r="AO106" s="64"/>
      <c r="AR106" s="38"/>
      <c r="AS106" s="39"/>
      <c r="BJ106" s="40"/>
      <c r="BK106" s="37"/>
    </row>
    <row r="107" spans="20:63">
      <c r="T107" s="64"/>
      <c r="U107" s="302">
        <v>0</v>
      </c>
      <c r="V107" s="224">
        <f t="shared" si="56"/>
        <v>4000</v>
      </c>
      <c r="W107" s="220">
        <f t="shared" ref="W107:AN107" si="64">ROUND(14.7*128/W36,0)</f>
        <v>128</v>
      </c>
      <c r="X107" s="94">
        <f t="shared" si="64"/>
        <v>128</v>
      </c>
      <c r="Y107" s="94">
        <f t="shared" si="64"/>
        <v>128</v>
      </c>
      <c r="Z107" s="94">
        <f t="shared" si="64"/>
        <v>128</v>
      </c>
      <c r="AA107" s="94">
        <f t="shared" si="64"/>
        <v>128</v>
      </c>
      <c r="AB107" s="94">
        <f t="shared" si="64"/>
        <v>128</v>
      </c>
      <c r="AC107" s="94">
        <f t="shared" si="64"/>
        <v>128</v>
      </c>
      <c r="AD107" s="94">
        <f t="shared" si="64"/>
        <v>128</v>
      </c>
      <c r="AE107" s="94">
        <f t="shared" si="64"/>
        <v>133</v>
      </c>
      <c r="AF107" s="94">
        <f t="shared" si="64"/>
        <v>138</v>
      </c>
      <c r="AG107" s="94">
        <f t="shared" si="64"/>
        <v>151</v>
      </c>
      <c r="AH107" s="94">
        <f t="shared" si="64"/>
        <v>162</v>
      </c>
      <c r="AI107" s="94">
        <f t="shared" si="64"/>
        <v>168</v>
      </c>
      <c r="AJ107" s="94">
        <f t="shared" si="64"/>
        <v>175</v>
      </c>
      <c r="AK107" s="94">
        <f t="shared" si="64"/>
        <v>177</v>
      </c>
      <c r="AL107" s="94">
        <f t="shared" si="64"/>
        <v>178</v>
      </c>
      <c r="AM107" s="94">
        <f t="shared" si="64"/>
        <v>181</v>
      </c>
      <c r="AN107" s="95">
        <f t="shared" si="64"/>
        <v>184</v>
      </c>
      <c r="AO107" s="64"/>
      <c r="AR107" s="38"/>
      <c r="AS107" s="39"/>
      <c r="BJ107" s="40"/>
      <c r="BK107" s="37"/>
    </row>
    <row r="108" spans="20:63">
      <c r="T108" s="64"/>
      <c r="U108" s="302">
        <v>0</v>
      </c>
      <c r="V108" s="224">
        <f t="shared" si="56"/>
        <v>4500</v>
      </c>
      <c r="W108" s="220">
        <f t="shared" ref="W108:AN108" si="65">ROUND(14.7*128/W37,0)</f>
        <v>128</v>
      </c>
      <c r="X108" s="94">
        <f t="shared" si="65"/>
        <v>128</v>
      </c>
      <c r="Y108" s="94">
        <f t="shared" si="65"/>
        <v>128</v>
      </c>
      <c r="Z108" s="94">
        <f t="shared" si="65"/>
        <v>128</v>
      </c>
      <c r="AA108" s="94">
        <f t="shared" si="65"/>
        <v>128</v>
      </c>
      <c r="AB108" s="94">
        <f t="shared" si="65"/>
        <v>128</v>
      </c>
      <c r="AC108" s="94">
        <f t="shared" si="65"/>
        <v>133</v>
      </c>
      <c r="AD108" s="94">
        <f t="shared" si="65"/>
        <v>137</v>
      </c>
      <c r="AE108" s="94">
        <f t="shared" si="65"/>
        <v>140</v>
      </c>
      <c r="AF108" s="94">
        <f t="shared" si="65"/>
        <v>147</v>
      </c>
      <c r="AG108" s="94">
        <f t="shared" si="65"/>
        <v>156</v>
      </c>
      <c r="AH108" s="94">
        <f t="shared" si="65"/>
        <v>164</v>
      </c>
      <c r="AI108" s="94">
        <f t="shared" si="65"/>
        <v>170</v>
      </c>
      <c r="AJ108" s="94">
        <f t="shared" si="65"/>
        <v>174</v>
      </c>
      <c r="AK108" s="94">
        <f t="shared" si="65"/>
        <v>175</v>
      </c>
      <c r="AL108" s="94">
        <f t="shared" si="65"/>
        <v>178</v>
      </c>
      <c r="AM108" s="94">
        <f t="shared" si="65"/>
        <v>181</v>
      </c>
      <c r="AN108" s="95">
        <f t="shared" si="65"/>
        <v>184</v>
      </c>
      <c r="AO108" s="64"/>
      <c r="AR108" s="38"/>
      <c r="AS108" s="39"/>
      <c r="BJ108" s="40"/>
      <c r="BK108" s="37"/>
    </row>
    <row r="109" spans="20:63">
      <c r="T109" s="64"/>
      <c r="U109" s="302">
        <v>0</v>
      </c>
      <c r="V109" s="224">
        <f t="shared" si="56"/>
        <v>5000</v>
      </c>
      <c r="W109" s="220">
        <f t="shared" ref="W109:AN109" si="66">ROUND(14.7*128/W38,0)</f>
        <v>128</v>
      </c>
      <c r="X109" s="94">
        <f t="shared" si="66"/>
        <v>128</v>
      </c>
      <c r="Y109" s="94">
        <f t="shared" si="66"/>
        <v>128</v>
      </c>
      <c r="Z109" s="94">
        <f t="shared" si="66"/>
        <v>128</v>
      </c>
      <c r="AA109" s="94">
        <f t="shared" si="66"/>
        <v>128</v>
      </c>
      <c r="AB109" s="94">
        <f t="shared" si="66"/>
        <v>130</v>
      </c>
      <c r="AC109" s="94">
        <f t="shared" si="66"/>
        <v>133</v>
      </c>
      <c r="AD109" s="94">
        <f t="shared" si="66"/>
        <v>140</v>
      </c>
      <c r="AE109" s="94">
        <f t="shared" si="66"/>
        <v>147</v>
      </c>
      <c r="AF109" s="94">
        <f t="shared" si="66"/>
        <v>154</v>
      </c>
      <c r="AG109" s="94">
        <f t="shared" si="66"/>
        <v>159</v>
      </c>
      <c r="AH109" s="94">
        <f t="shared" si="66"/>
        <v>164</v>
      </c>
      <c r="AI109" s="94">
        <f t="shared" si="66"/>
        <v>172</v>
      </c>
      <c r="AJ109" s="94">
        <f t="shared" si="66"/>
        <v>178</v>
      </c>
      <c r="AK109" s="94">
        <f t="shared" si="66"/>
        <v>180</v>
      </c>
      <c r="AL109" s="94">
        <f t="shared" si="66"/>
        <v>181</v>
      </c>
      <c r="AM109" s="94">
        <f t="shared" si="66"/>
        <v>184</v>
      </c>
      <c r="AN109" s="95">
        <f t="shared" si="66"/>
        <v>187</v>
      </c>
      <c r="AO109" s="64"/>
      <c r="AR109" s="38"/>
      <c r="AS109" s="39"/>
      <c r="BJ109" s="40"/>
      <c r="BK109" s="37"/>
    </row>
    <row r="110" spans="20:63">
      <c r="T110" s="64"/>
      <c r="U110" s="302">
        <v>0</v>
      </c>
      <c r="V110" s="224">
        <f t="shared" si="56"/>
        <v>5500</v>
      </c>
      <c r="W110" s="220">
        <f t="shared" ref="W110:AN110" si="67">ROUND(14.7*128/W39,0)</f>
        <v>128</v>
      </c>
      <c r="X110" s="94">
        <f t="shared" si="67"/>
        <v>128</v>
      </c>
      <c r="Y110" s="94">
        <f t="shared" si="67"/>
        <v>128</v>
      </c>
      <c r="Z110" s="94">
        <f t="shared" si="67"/>
        <v>128</v>
      </c>
      <c r="AA110" s="94">
        <f t="shared" si="67"/>
        <v>130</v>
      </c>
      <c r="AB110" s="94">
        <f t="shared" si="67"/>
        <v>134</v>
      </c>
      <c r="AC110" s="94">
        <f t="shared" si="67"/>
        <v>138</v>
      </c>
      <c r="AD110" s="94">
        <f t="shared" si="67"/>
        <v>147</v>
      </c>
      <c r="AE110" s="94">
        <f t="shared" si="67"/>
        <v>154</v>
      </c>
      <c r="AF110" s="94">
        <f t="shared" si="67"/>
        <v>158</v>
      </c>
      <c r="AG110" s="94">
        <f t="shared" si="67"/>
        <v>162</v>
      </c>
      <c r="AH110" s="94">
        <f t="shared" si="67"/>
        <v>172</v>
      </c>
      <c r="AI110" s="94">
        <f t="shared" si="67"/>
        <v>177</v>
      </c>
      <c r="AJ110" s="94">
        <f t="shared" si="67"/>
        <v>182</v>
      </c>
      <c r="AK110" s="94">
        <f t="shared" si="67"/>
        <v>185</v>
      </c>
      <c r="AL110" s="94">
        <f t="shared" si="67"/>
        <v>187</v>
      </c>
      <c r="AM110" s="94">
        <f t="shared" si="67"/>
        <v>190</v>
      </c>
      <c r="AN110" s="95">
        <f t="shared" si="67"/>
        <v>192</v>
      </c>
      <c r="AO110" s="64"/>
      <c r="AR110" s="38"/>
      <c r="AS110" s="39"/>
      <c r="BJ110" s="40"/>
      <c r="BK110" s="37"/>
    </row>
    <row r="111" spans="20:63">
      <c r="T111" s="64"/>
      <c r="U111" s="302">
        <v>0</v>
      </c>
      <c r="V111" s="224">
        <f t="shared" si="56"/>
        <v>6000</v>
      </c>
      <c r="W111" s="220">
        <f t="shared" ref="W111:AN111" si="68">ROUND(14.7*128/W40,0)</f>
        <v>131</v>
      </c>
      <c r="X111" s="94">
        <f t="shared" si="68"/>
        <v>131</v>
      </c>
      <c r="Y111" s="94">
        <f t="shared" si="68"/>
        <v>131</v>
      </c>
      <c r="Z111" s="94">
        <f t="shared" si="68"/>
        <v>131</v>
      </c>
      <c r="AA111" s="94">
        <f t="shared" si="68"/>
        <v>135</v>
      </c>
      <c r="AB111" s="94">
        <f t="shared" si="68"/>
        <v>140</v>
      </c>
      <c r="AC111" s="94">
        <f t="shared" si="68"/>
        <v>148</v>
      </c>
      <c r="AD111" s="94">
        <f t="shared" si="68"/>
        <v>159</v>
      </c>
      <c r="AE111" s="94">
        <f t="shared" si="68"/>
        <v>161</v>
      </c>
      <c r="AF111" s="94">
        <f t="shared" si="68"/>
        <v>164</v>
      </c>
      <c r="AG111" s="94">
        <f t="shared" si="68"/>
        <v>167</v>
      </c>
      <c r="AH111" s="94">
        <f t="shared" si="68"/>
        <v>173</v>
      </c>
      <c r="AI111" s="94">
        <f t="shared" si="68"/>
        <v>178</v>
      </c>
      <c r="AJ111" s="94">
        <f t="shared" si="68"/>
        <v>183</v>
      </c>
      <c r="AK111" s="94">
        <f t="shared" si="68"/>
        <v>189</v>
      </c>
      <c r="AL111" s="94">
        <f t="shared" si="68"/>
        <v>192</v>
      </c>
      <c r="AM111" s="94">
        <f t="shared" si="68"/>
        <v>195</v>
      </c>
      <c r="AN111" s="95">
        <f t="shared" si="68"/>
        <v>196</v>
      </c>
      <c r="AO111" s="64"/>
      <c r="AR111" s="38"/>
      <c r="AS111" s="39"/>
      <c r="BJ111" s="40"/>
      <c r="BK111" s="37"/>
    </row>
    <row r="112" spans="20:63">
      <c r="T112" s="64"/>
      <c r="U112" s="302">
        <v>0</v>
      </c>
      <c r="V112" s="224">
        <f t="shared" si="56"/>
        <v>6500</v>
      </c>
      <c r="W112" s="220">
        <f t="shared" ref="W112:AN112" si="69">ROUND(14.7*128/W41,0)</f>
        <v>133</v>
      </c>
      <c r="X112" s="94">
        <f t="shared" si="69"/>
        <v>133</v>
      </c>
      <c r="Y112" s="94">
        <f t="shared" si="69"/>
        <v>133</v>
      </c>
      <c r="Z112" s="94">
        <f t="shared" si="69"/>
        <v>138</v>
      </c>
      <c r="AA112" s="94">
        <f t="shared" si="69"/>
        <v>142</v>
      </c>
      <c r="AB112" s="94">
        <f t="shared" si="69"/>
        <v>148</v>
      </c>
      <c r="AC112" s="94">
        <f t="shared" si="69"/>
        <v>156</v>
      </c>
      <c r="AD112" s="94">
        <f t="shared" si="69"/>
        <v>164</v>
      </c>
      <c r="AE112" s="94">
        <f t="shared" si="69"/>
        <v>164</v>
      </c>
      <c r="AF112" s="94">
        <f t="shared" si="69"/>
        <v>166</v>
      </c>
      <c r="AG112" s="94">
        <f t="shared" si="69"/>
        <v>170</v>
      </c>
      <c r="AH112" s="94">
        <f t="shared" si="69"/>
        <v>176</v>
      </c>
      <c r="AI112" s="94">
        <f t="shared" si="69"/>
        <v>181</v>
      </c>
      <c r="AJ112" s="94">
        <f t="shared" si="69"/>
        <v>186</v>
      </c>
      <c r="AK112" s="94">
        <f t="shared" si="69"/>
        <v>190</v>
      </c>
      <c r="AL112" s="94">
        <f t="shared" si="69"/>
        <v>192</v>
      </c>
      <c r="AM112" s="94">
        <f t="shared" si="69"/>
        <v>195</v>
      </c>
      <c r="AN112" s="95">
        <f t="shared" si="69"/>
        <v>196</v>
      </c>
      <c r="AO112" s="64"/>
      <c r="AR112" s="38"/>
      <c r="AS112" s="39"/>
      <c r="BJ112" s="40"/>
      <c r="BK112" s="37"/>
    </row>
    <row r="113" spans="20:63">
      <c r="T113" s="64"/>
      <c r="U113" s="302">
        <v>0</v>
      </c>
      <c r="V113" s="224">
        <f t="shared" si="56"/>
        <v>7000</v>
      </c>
      <c r="W113" s="220">
        <f t="shared" ref="W113:AN113" si="70">ROUND(14.7*128/W42,0)</f>
        <v>134</v>
      </c>
      <c r="X113" s="94">
        <f t="shared" si="70"/>
        <v>134</v>
      </c>
      <c r="Y113" s="94">
        <f t="shared" si="70"/>
        <v>134</v>
      </c>
      <c r="Z113" s="94">
        <f t="shared" si="70"/>
        <v>140</v>
      </c>
      <c r="AA113" s="94">
        <f t="shared" si="70"/>
        <v>145</v>
      </c>
      <c r="AB113" s="94">
        <f t="shared" si="70"/>
        <v>154</v>
      </c>
      <c r="AC113" s="94">
        <f t="shared" si="70"/>
        <v>162</v>
      </c>
      <c r="AD113" s="94">
        <f t="shared" si="70"/>
        <v>166</v>
      </c>
      <c r="AE113" s="94">
        <f t="shared" si="70"/>
        <v>167</v>
      </c>
      <c r="AF113" s="94">
        <f t="shared" si="70"/>
        <v>168</v>
      </c>
      <c r="AG113" s="94">
        <f t="shared" si="70"/>
        <v>172</v>
      </c>
      <c r="AH113" s="94">
        <f t="shared" si="70"/>
        <v>178</v>
      </c>
      <c r="AI113" s="94">
        <f t="shared" si="70"/>
        <v>183</v>
      </c>
      <c r="AJ113" s="94">
        <f t="shared" si="70"/>
        <v>190</v>
      </c>
      <c r="AK113" s="94">
        <f t="shared" si="70"/>
        <v>196</v>
      </c>
      <c r="AL113" s="94">
        <f t="shared" si="70"/>
        <v>196</v>
      </c>
      <c r="AM113" s="94">
        <f t="shared" si="70"/>
        <v>196</v>
      </c>
      <c r="AN113" s="95">
        <f t="shared" si="70"/>
        <v>196</v>
      </c>
      <c r="AO113" s="64"/>
      <c r="AR113" s="38"/>
      <c r="AS113" s="39"/>
      <c r="BJ113" s="40"/>
      <c r="BK113" s="37"/>
    </row>
    <row r="114" spans="20:63" ht="13.5" thickBot="1">
      <c r="T114" s="64"/>
      <c r="U114" s="303">
        <v>0</v>
      </c>
      <c r="V114" s="226">
        <f t="shared" si="56"/>
        <v>7500</v>
      </c>
      <c r="W114" s="221">
        <f t="shared" ref="W114:AN114" si="71">ROUND(14.7*128/W43,0)</f>
        <v>134</v>
      </c>
      <c r="X114" s="97">
        <f t="shared" si="71"/>
        <v>134</v>
      </c>
      <c r="Y114" s="97">
        <f t="shared" si="71"/>
        <v>134</v>
      </c>
      <c r="Z114" s="97">
        <f t="shared" si="71"/>
        <v>140</v>
      </c>
      <c r="AA114" s="97">
        <f t="shared" si="71"/>
        <v>145</v>
      </c>
      <c r="AB114" s="97">
        <f t="shared" si="71"/>
        <v>154</v>
      </c>
      <c r="AC114" s="97">
        <f t="shared" si="71"/>
        <v>162</v>
      </c>
      <c r="AD114" s="97">
        <f t="shared" si="71"/>
        <v>166</v>
      </c>
      <c r="AE114" s="97">
        <f t="shared" si="71"/>
        <v>167</v>
      </c>
      <c r="AF114" s="97">
        <f t="shared" si="71"/>
        <v>168</v>
      </c>
      <c r="AG114" s="97">
        <f t="shared" si="71"/>
        <v>172</v>
      </c>
      <c r="AH114" s="97">
        <f t="shared" si="71"/>
        <v>178</v>
      </c>
      <c r="AI114" s="97">
        <f t="shared" si="71"/>
        <v>183</v>
      </c>
      <c r="AJ114" s="97">
        <f t="shared" si="71"/>
        <v>190</v>
      </c>
      <c r="AK114" s="97">
        <f t="shared" si="71"/>
        <v>196</v>
      </c>
      <c r="AL114" s="97">
        <f t="shared" si="71"/>
        <v>196</v>
      </c>
      <c r="AM114" s="97">
        <f t="shared" si="71"/>
        <v>196</v>
      </c>
      <c r="AN114" s="98">
        <f t="shared" si="71"/>
        <v>196</v>
      </c>
      <c r="AO114" s="64"/>
      <c r="AR114" s="38"/>
      <c r="AS114" s="39"/>
      <c r="BJ114" s="40"/>
      <c r="BK114" s="37"/>
    </row>
    <row r="115" spans="20:63" ht="12" customHeight="1">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S115" s="37"/>
      <c r="AT115" s="37"/>
      <c r="AU115" s="37"/>
      <c r="AV115" s="37"/>
      <c r="AW115" s="37"/>
      <c r="AX115" s="37"/>
      <c r="AY115" s="37"/>
      <c r="AZ115" s="37"/>
      <c r="BA115" s="37"/>
      <c r="BB115" s="37"/>
      <c r="BC115" s="37"/>
      <c r="BD115" s="37"/>
      <c r="BE115" s="37"/>
      <c r="BF115" s="37"/>
      <c r="BG115" s="37"/>
      <c r="BH115" s="37"/>
      <c r="BI115" s="37"/>
      <c r="BJ115" s="37"/>
      <c r="BK115" s="37"/>
    </row>
    <row r="116" spans="20:63" ht="12" customHeight="1">
      <c r="AS116" s="37"/>
      <c r="AT116" s="37"/>
      <c r="AU116" s="37"/>
      <c r="AV116" s="37"/>
      <c r="AW116" s="37"/>
      <c r="AX116" s="37"/>
      <c r="AY116" s="37"/>
      <c r="AZ116" s="37"/>
      <c r="BA116" s="37"/>
      <c r="BB116" s="37"/>
      <c r="BC116" s="37"/>
      <c r="BD116" s="37"/>
      <c r="BE116" s="37"/>
      <c r="BF116" s="37"/>
      <c r="BG116" s="37"/>
      <c r="BH116" s="37"/>
      <c r="BI116" s="37"/>
      <c r="BJ116" s="37"/>
      <c r="BK116" s="37"/>
    </row>
  </sheetData>
  <mergeCells count="47">
    <mergeCell ref="BK12:CC12"/>
    <mergeCell ref="U53:U67"/>
    <mergeCell ref="W51:AN51"/>
    <mergeCell ref="AP32:BG32"/>
    <mergeCell ref="BK39:CC39"/>
    <mergeCell ref="AJ23:AK23"/>
    <mergeCell ref="AH23:AI23"/>
    <mergeCell ref="AM23:AN23"/>
    <mergeCell ref="U26:V28"/>
    <mergeCell ref="U50:V52"/>
    <mergeCell ref="AP1:BI1"/>
    <mergeCell ref="T94:AO96"/>
    <mergeCell ref="U6:U20"/>
    <mergeCell ref="U1:V1"/>
    <mergeCell ref="W27:AN27"/>
    <mergeCell ref="W26:AN26"/>
    <mergeCell ref="W50:AN50"/>
    <mergeCell ref="W3:AN3"/>
    <mergeCell ref="W4:AN4"/>
    <mergeCell ref="AA21:AA22"/>
    <mergeCell ref="Z1:AA1"/>
    <mergeCell ref="AJ22:AK22"/>
    <mergeCell ref="AM22:AN22"/>
    <mergeCell ref="AD1:AE1"/>
    <mergeCell ref="AH22:AI22"/>
    <mergeCell ref="Y21:Z21"/>
    <mergeCell ref="W1:Y1"/>
    <mergeCell ref="Z2:AA2"/>
    <mergeCell ref="W2:Y2"/>
    <mergeCell ref="U100:U114"/>
    <mergeCell ref="W97:AN97"/>
    <mergeCell ref="U3:V5"/>
    <mergeCell ref="V21:X22"/>
    <mergeCell ref="Y23:Z23"/>
    <mergeCell ref="U2:V2"/>
    <mergeCell ref="Y22:Z22"/>
    <mergeCell ref="AA23:AA24"/>
    <mergeCell ref="Y24:Z24"/>
    <mergeCell ref="AD2:AE2"/>
    <mergeCell ref="U25:AA25"/>
    <mergeCell ref="V23:X24"/>
    <mergeCell ref="U29:U43"/>
    <mergeCell ref="W98:AN98"/>
    <mergeCell ref="T73:AO73"/>
    <mergeCell ref="U74:AN74"/>
    <mergeCell ref="U75:AN75"/>
    <mergeCell ref="U76:U91"/>
  </mergeCells>
  <phoneticPr fontId="1" type="noConversion"/>
  <conditionalFormatting sqref="W29:AN43">
    <cfRule type="cellIs" dxfId="99" priority="1" stopIfTrue="1" operator="greaterThan">
      <formula>W53</formula>
    </cfRule>
    <cfRule type="cellIs" dxfId="98" priority="2" stopIfTrue="1" operator="lessThan">
      <formula>W53</formula>
    </cfRule>
  </conditionalFormatting>
  <conditionalFormatting sqref="W6:AN20">
    <cfRule type="cellIs" dxfId="97" priority="3" stopIfTrue="1" operator="greaterThan">
      <formula>W29*1.005</formula>
    </cfRule>
    <cfRule type="cellIs" dxfId="96" priority="4" stopIfTrue="1" operator="lessThan">
      <formula>W29*0.995</formula>
    </cfRule>
  </conditionalFormatting>
  <conditionalFormatting sqref="AA21:AA24">
    <cfRule type="cellIs" dxfId="95" priority="5" stopIfTrue="1" operator="lessThan">
      <formula>0</formula>
    </cfRule>
    <cfRule type="cellIs" dxfId="94" priority="6" stopIfTrue="1" operator="greaterThan">
      <formula>0</formula>
    </cfRule>
  </conditionalFormatting>
  <conditionalFormatting sqref="W77:AN91">
    <cfRule type="cellIs" dxfId="93" priority="7" stopIfTrue="1" operator="equal">
      <formula>1</formula>
    </cfRule>
  </conditionalFormatting>
  <conditionalFormatting sqref="BL41:CC55 BL14:CC28">
    <cfRule type="cellIs" dxfId="92" priority="8" stopIfTrue="1" operator="greaterThanOrEqual">
      <formula>0.0001</formula>
    </cfRule>
    <cfRule type="cellIs" dxfId="91" priority="9" stopIfTrue="1" operator="lessThanOrEqual">
      <formula>-0.0001</formula>
    </cfRule>
    <cfRule type="cellIs" dxfId="90" priority="10" stopIfTrue="1" operator="between">
      <formula>-0.0001</formula>
      <formula>0.0001</formula>
    </cfRule>
  </conditionalFormatting>
  <printOptions horizontalCentered="1"/>
  <pageMargins left="0.3" right="0.3" top="1.5" bottom="0.3" header="0.5" footer="0.5"/>
  <pageSetup paperSize="17" scale="110" orientation="landscape" horizontalDpi="200" verticalDpi="200" r:id="rId1"/>
  <headerFooter alignWithMargins="0"/>
  <drawing r:id="rId2"/>
  <legacyDrawing r:id="rId3"/>
  <controls>
    <control shapeId="64524" r:id="rId4" name="SpinButton6"/>
    <control shapeId="64523" r:id="rId5" name="SpinButton5"/>
    <control shapeId="64522" r:id="rId6" name="SpinButton4"/>
    <control shapeId="64521" r:id="rId7" name="SpinButton3"/>
    <control shapeId="64520" r:id="rId8" name="CheckBox1"/>
    <control shapeId="64519" r:id="rId9" name="SpinButton2"/>
    <control shapeId="64518" r:id="rId10" name="SpinButton1"/>
  </controls>
</worksheet>
</file>

<file path=xl/worksheets/sheet4.xml><?xml version="1.0" encoding="utf-8"?>
<worksheet xmlns="http://schemas.openxmlformats.org/spreadsheetml/2006/main" xmlns:r="http://schemas.openxmlformats.org/officeDocument/2006/relationships">
  <sheetPr codeName="Sheet2"/>
  <dimension ref="A1:BW73"/>
  <sheetViews>
    <sheetView zoomScale="50" zoomScaleNormal="50" workbookViewId="0">
      <selection activeCell="BV4" sqref="BV4:BW25"/>
    </sheetView>
  </sheetViews>
  <sheetFormatPr defaultColWidth="9.140625" defaultRowHeight="15"/>
  <cols>
    <col min="1" max="1" width="1.5703125" style="3" customWidth="1"/>
    <col min="2" max="24" width="4" style="3" customWidth="1"/>
    <col min="25" max="25" width="2" style="3" customWidth="1"/>
    <col min="26" max="26" width="3.28515625" style="3" customWidth="1"/>
    <col min="27" max="27" width="7" style="3" bestFit="1" customWidth="1"/>
    <col min="28" max="47" width="4.28515625" style="3" customWidth="1"/>
    <col min="48" max="48" width="4.5703125" style="3" bestFit="1" customWidth="1"/>
    <col min="49" max="49" width="4.28515625" style="3" customWidth="1"/>
    <col min="50" max="50" width="6.7109375" style="3" bestFit="1" customWidth="1"/>
    <col min="51" max="69" width="4.28515625" style="3" customWidth="1"/>
    <col min="70" max="71" width="4.7109375" style="3" bestFit="1" customWidth="1"/>
    <col min="72" max="73" width="4" style="3" customWidth="1"/>
    <col min="74" max="75" width="13.42578125" style="3" customWidth="1"/>
    <col min="76" max="179" width="4" style="3" customWidth="1"/>
    <col min="180" max="16384" width="9.140625" style="3"/>
  </cols>
  <sheetData>
    <row r="1" spans="1:75" ht="17.25" customHeight="1">
      <c r="A1" s="2" t="s">
        <v>5</v>
      </c>
      <c r="AD1" s="34"/>
      <c r="AE1" s="35" t="s">
        <v>7</v>
      </c>
    </row>
    <row r="2" spans="1:75" ht="16.5" customHeight="1" thickBot="1"/>
    <row r="3" spans="1:75" s="4" customFormat="1" ht="16.5" customHeight="1" thickBot="1">
      <c r="Z3" s="278">
        <v>1</v>
      </c>
      <c r="AA3" s="279"/>
      <c r="AB3" s="271" t="s">
        <v>27</v>
      </c>
      <c r="AC3" s="272"/>
      <c r="AD3" s="272"/>
      <c r="AE3" s="272"/>
      <c r="AF3" s="272"/>
      <c r="AG3" s="272"/>
      <c r="AH3" s="272"/>
      <c r="AI3" s="272"/>
      <c r="AJ3" s="272"/>
      <c r="AK3" s="272"/>
      <c r="AL3" s="272"/>
      <c r="AM3" s="272"/>
      <c r="AN3" s="272"/>
      <c r="AO3" s="272"/>
      <c r="AP3" s="272"/>
      <c r="AQ3" s="272"/>
      <c r="AR3" s="272"/>
      <c r="AS3" s="272"/>
      <c r="AT3" s="272"/>
      <c r="AU3" s="272"/>
      <c r="AV3" s="273"/>
    </row>
    <row r="4" spans="1:75" s="4" customFormat="1" ht="16.5" customHeight="1" thickBot="1">
      <c r="Z4" s="280"/>
      <c r="AA4" s="281"/>
      <c r="AB4" s="274" t="s">
        <v>0</v>
      </c>
      <c r="AC4" s="275"/>
      <c r="AD4" s="275"/>
      <c r="AE4" s="275"/>
      <c r="AF4" s="275"/>
      <c r="AG4" s="275"/>
      <c r="AH4" s="275"/>
      <c r="AI4" s="275"/>
      <c r="AJ4" s="275"/>
      <c r="AK4" s="275"/>
      <c r="AL4" s="275"/>
      <c r="AM4" s="275"/>
      <c r="AN4" s="275"/>
      <c r="AO4" s="275"/>
      <c r="AP4" s="275"/>
      <c r="AQ4" s="275"/>
      <c r="AR4" s="275"/>
      <c r="AS4" s="275"/>
      <c r="AT4" s="275"/>
      <c r="AU4" s="275"/>
      <c r="AV4" s="343"/>
      <c r="BV4" s="29" t="s">
        <v>4</v>
      </c>
      <c r="BW4" s="29" t="s">
        <v>4</v>
      </c>
    </row>
    <row r="5" spans="1:75" s="4" customFormat="1" ht="16.5" customHeight="1" thickBot="1">
      <c r="Z5" s="282"/>
      <c r="AA5" s="283"/>
      <c r="AB5" s="235">
        <v>0</v>
      </c>
      <c r="AC5" s="236">
        <v>10</v>
      </c>
      <c r="AD5" s="236">
        <v>20</v>
      </c>
      <c r="AE5" s="236">
        <v>30</v>
      </c>
      <c r="AF5" s="236">
        <v>40</v>
      </c>
      <c r="AG5" s="237">
        <v>50</v>
      </c>
      <c r="AH5" s="237">
        <v>60</v>
      </c>
      <c r="AI5" s="237">
        <v>70</v>
      </c>
      <c r="AJ5" s="237">
        <v>80</v>
      </c>
      <c r="AK5" s="237">
        <v>90</v>
      </c>
      <c r="AL5" s="237">
        <v>100</v>
      </c>
      <c r="AM5" s="237">
        <v>120</v>
      </c>
      <c r="AN5" s="237">
        <v>140</v>
      </c>
      <c r="AO5" s="238">
        <v>160</v>
      </c>
      <c r="AP5" s="238">
        <v>180</v>
      </c>
      <c r="AQ5" s="238">
        <v>200</v>
      </c>
      <c r="AR5" s="238">
        <v>220</v>
      </c>
      <c r="AS5" s="238">
        <v>240</v>
      </c>
      <c r="AT5" s="238">
        <v>260</v>
      </c>
      <c r="AU5" s="238">
        <v>280</v>
      </c>
      <c r="AV5" s="239">
        <v>300</v>
      </c>
      <c r="BV5" s="30" t="s">
        <v>2</v>
      </c>
      <c r="BW5" s="31" t="s">
        <v>3</v>
      </c>
    </row>
    <row r="6" spans="1:75" s="4" customFormat="1" ht="16.5" customHeight="1">
      <c r="Z6" s="265" t="s">
        <v>1</v>
      </c>
      <c r="AA6" s="235">
        <v>0</v>
      </c>
      <c r="AB6" s="240">
        <f t="shared" ref="AB6:AS6" si="0">AB30</f>
        <v>5</v>
      </c>
      <c r="AC6" s="32">
        <f t="shared" si="0"/>
        <v>5</v>
      </c>
      <c r="AD6" s="32">
        <f t="shared" si="0"/>
        <v>5</v>
      </c>
      <c r="AE6" s="32">
        <f t="shared" si="0"/>
        <v>5</v>
      </c>
      <c r="AF6" s="32">
        <f t="shared" si="0"/>
        <v>5</v>
      </c>
      <c r="AG6" s="32">
        <f t="shared" si="0"/>
        <v>11</v>
      </c>
      <c r="AH6" s="32">
        <f t="shared" si="0"/>
        <v>15</v>
      </c>
      <c r="AI6" s="32">
        <f t="shared" si="0"/>
        <v>6</v>
      </c>
      <c r="AJ6" s="32">
        <f t="shared" si="0"/>
        <v>3</v>
      </c>
      <c r="AK6" s="32">
        <f t="shared" si="0"/>
        <v>2</v>
      </c>
      <c r="AL6" s="32">
        <f t="shared" si="0"/>
        <v>-1</v>
      </c>
      <c r="AM6" s="32">
        <f t="shared" si="0"/>
        <v>-2</v>
      </c>
      <c r="AN6" s="32">
        <f t="shared" si="0"/>
        <v>-5</v>
      </c>
      <c r="AO6" s="32">
        <f t="shared" si="0"/>
        <v>-8</v>
      </c>
      <c r="AP6" s="32">
        <f t="shared" si="0"/>
        <v>-10</v>
      </c>
      <c r="AQ6" s="32">
        <f t="shared" si="0"/>
        <v>-10</v>
      </c>
      <c r="AR6" s="32">
        <f t="shared" si="0"/>
        <v>-10</v>
      </c>
      <c r="AS6" s="32">
        <f t="shared" si="0"/>
        <v>-10</v>
      </c>
      <c r="AT6" s="32">
        <f t="shared" ref="AT6:AV9" si="1">AT30</f>
        <v>-10</v>
      </c>
      <c r="AU6" s="32">
        <f t="shared" si="1"/>
        <v>-10</v>
      </c>
      <c r="AV6" s="33">
        <f t="shared" si="1"/>
        <v>-10</v>
      </c>
      <c r="BV6" s="24">
        <v>0</v>
      </c>
      <c r="BW6" s="28">
        <v>500</v>
      </c>
    </row>
    <row r="7" spans="1:75" s="4" customFormat="1" ht="16.5" customHeight="1">
      <c r="Z7" s="266"/>
      <c r="AA7" s="242">
        <v>500</v>
      </c>
      <c r="AB7" s="240">
        <f t="shared" ref="AB7:AG7" si="2">AB31</f>
        <v>5</v>
      </c>
      <c r="AC7" s="32">
        <f t="shared" si="2"/>
        <v>5</v>
      </c>
      <c r="AD7" s="32">
        <f t="shared" si="2"/>
        <v>5</v>
      </c>
      <c r="AE7" s="32">
        <f t="shared" si="2"/>
        <v>5</v>
      </c>
      <c r="AF7" s="32">
        <f t="shared" si="2"/>
        <v>5</v>
      </c>
      <c r="AG7" s="32">
        <f t="shared" si="2"/>
        <v>8</v>
      </c>
      <c r="AH7" s="32">
        <f t="shared" ref="AH7:AS7" si="3">AH31</f>
        <v>13</v>
      </c>
      <c r="AI7" s="32">
        <f t="shared" si="3"/>
        <v>6</v>
      </c>
      <c r="AJ7" s="32">
        <f t="shared" si="3"/>
        <v>3</v>
      </c>
      <c r="AK7" s="32">
        <f t="shared" si="3"/>
        <v>2</v>
      </c>
      <c r="AL7" s="32">
        <f t="shared" si="3"/>
        <v>-1</v>
      </c>
      <c r="AM7" s="32">
        <f t="shared" si="3"/>
        <v>-2</v>
      </c>
      <c r="AN7" s="32">
        <f t="shared" si="3"/>
        <v>-5</v>
      </c>
      <c r="AO7" s="32">
        <f t="shared" si="3"/>
        <v>-8</v>
      </c>
      <c r="AP7" s="32">
        <f t="shared" si="3"/>
        <v>-10</v>
      </c>
      <c r="AQ7" s="32">
        <f t="shared" si="3"/>
        <v>-10</v>
      </c>
      <c r="AR7" s="32">
        <f t="shared" si="3"/>
        <v>-10</v>
      </c>
      <c r="AS7" s="32">
        <f t="shared" si="3"/>
        <v>-10</v>
      </c>
      <c r="AT7" s="32">
        <f t="shared" si="1"/>
        <v>-10</v>
      </c>
      <c r="AU7" s="32">
        <f t="shared" si="1"/>
        <v>-10</v>
      </c>
      <c r="AV7" s="33">
        <f t="shared" si="1"/>
        <v>-10</v>
      </c>
      <c r="BV7" s="25">
        <v>421.875</v>
      </c>
      <c r="BW7" s="26">
        <v>1035.1600000000001</v>
      </c>
    </row>
    <row r="8" spans="1:75" s="4" customFormat="1" ht="16.5" customHeight="1">
      <c r="Z8" s="266"/>
      <c r="AA8" s="242">
        <v>750</v>
      </c>
      <c r="AB8" s="240">
        <f t="shared" ref="AB8:AG8" si="4">AB32</f>
        <v>5</v>
      </c>
      <c r="AC8" s="32">
        <f t="shared" si="4"/>
        <v>5</v>
      </c>
      <c r="AD8" s="32">
        <f t="shared" si="4"/>
        <v>5</v>
      </c>
      <c r="AE8" s="32">
        <f t="shared" si="4"/>
        <v>5</v>
      </c>
      <c r="AF8" s="32">
        <f t="shared" si="4"/>
        <v>5</v>
      </c>
      <c r="AG8" s="32">
        <f t="shared" si="4"/>
        <v>9</v>
      </c>
      <c r="AH8" s="32">
        <f>AH32</f>
        <v>13</v>
      </c>
      <c r="AI8" s="32">
        <f>AI32</f>
        <v>10</v>
      </c>
      <c r="AJ8" s="5">
        <f t="shared" ref="AJ8:AO8" si="5">ROUND(AVERAGE(AJ32,AJ32,AI31:AK33),0)</f>
        <v>6</v>
      </c>
      <c r="AK8" s="5">
        <f t="shared" si="5"/>
        <v>4</v>
      </c>
      <c r="AL8" s="5">
        <f t="shared" si="5"/>
        <v>2</v>
      </c>
      <c r="AM8" s="5">
        <f t="shared" si="5"/>
        <v>-1</v>
      </c>
      <c r="AN8" s="5">
        <f t="shared" si="5"/>
        <v>-3</v>
      </c>
      <c r="AO8" s="5">
        <f t="shared" si="5"/>
        <v>-6</v>
      </c>
      <c r="AP8" s="32">
        <f>AP32</f>
        <v>-9</v>
      </c>
      <c r="AQ8" s="32">
        <f>AQ32</f>
        <v>-10</v>
      </c>
      <c r="AR8" s="32">
        <f>AR32</f>
        <v>-10</v>
      </c>
      <c r="AS8" s="32">
        <f>AS32</f>
        <v>-10</v>
      </c>
      <c r="AT8" s="32">
        <f t="shared" si="1"/>
        <v>-10</v>
      </c>
      <c r="AU8" s="32">
        <f t="shared" si="1"/>
        <v>-10</v>
      </c>
      <c r="AV8" s="33">
        <f t="shared" si="1"/>
        <v>-10</v>
      </c>
      <c r="BV8" s="25">
        <v>843.75</v>
      </c>
      <c r="BW8" s="26">
        <v>1570.31</v>
      </c>
    </row>
    <row r="9" spans="1:75" s="4" customFormat="1" ht="16.5" customHeight="1">
      <c r="Z9" s="266"/>
      <c r="AA9" s="242">
        <v>1000</v>
      </c>
      <c r="AB9" s="240">
        <f t="shared" ref="AB9:AG9" si="6">AB33</f>
        <v>5</v>
      </c>
      <c r="AC9" s="32">
        <f t="shared" si="6"/>
        <v>5</v>
      </c>
      <c r="AD9" s="32">
        <f t="shared" si="6"/>
        <v>5</v>
      </c>
      <c r="AE9" s="32">
        <f t="shared" si="6"/>
        <v>5</v>
      </c>
      <c r="AF9" s="32">
        <f t="shared" si="6"/>
        <v>9</v>
      </c>
      <c r="AG9" s="32">
        <f t="shared" si="6"/>
        <v>13</v>
      </c>
      <c r="AH9" s="32">
        <f>AH33</f>
        <v>18</v>
      </c>
      <c r="AI9" s="32">
        <v>12</v>
      </c>
      <c r="AJ9" s="5">
        <f>ROUND(AVERAGE(AJ33,AJ33,AI32:AK34),0)</f>
        <v>10</v>
      </c>
      <c r="AK9" s="5">
        <f t="shared" ref="AK9:AR24" si="7">ROUND(AVERAGE(AK33,AK33,AJ32:AL34),0)</f>
        <v>7</v>
      </c>
      <c r="AL9" s="5">
        <f>ROUND(AVERAGE(AL33,AL33,AK32:AM34),0)</f>
        <v>5</v>
      </c>
      <c r="AM9" s="5">
        <f>ROUND(AVERAGE(AM33,AM33,AL32:AN34),0)</f>
        <v>2</v>
      </c>
      <c r="AN9" s="5">
        <f>ROUND(AVERAGE(AN33,AN33,AM32:AO34),0)</f>
        <v>-1</v>
      </c>
      <c r="AO9" s="5">
        <f>ROUND(AVERAGE(AO33,AO33,AN32:AP34),0)</f>
        <v>-3</v>
      </c>
      <c r="AP9" s="5">
        <f>ROUND(AVERAGE(AP33,AP33,AO32:AQ34),0)</f>
        <v>-6</v>
      </c>
      <c r="AQ9" s="32">
        <f>AQ33</f>
        <v>-9</v>
      </c>
      <c r="AR9" s="32">
        <f>AR33</f>
        <v>-10</v>
      </c>
      <c r="AS9" s="32">
        <f>AS33</f>
        <v>-10</v>
      </c>
      <c r="AT9" s="32">
        <f t="shared" si="1"/>
        <v>-10</v>
      </c>
      <c r="AU9" s="32">
        <f t="shared" si="1"/>
        <v>-10</v>
      </c>
      <c r="AV9" s="33">
        <f t="shared" si="1"/>
        <v>-10</v>
      </c>
      <c r="BV9" s="25">
        <v>1261.72</v>
      </c>
      <c r="BW9" s="26">
        <v>2105.4699999999998</v>
      </c>
    </row>
    <row r="10" spans="1:75" s="4" customFormat="1" ht="16.5" customHeight="1">
      <c r="Z10" s="266"/>
      <c r="AA10" s="243">
        <v>1250</v>
      </c>
      <c r="AB10" s="240">
        <f t="shared" ref="AB10:AG10" si="8">AB34</f>
        <v>8</v>
      </c>
      <c r="AC10" s="32">
        <f t="shared" si="8"/>
        <v>8</v>
      </c>
      <c r="AD10" s="32">
        <f t="shared" si="8"/>
        <v>12</v>
      </c>
      <c r="AE10" s="32">
        <f t="shared" si="8"/>
        <v>12</v>
      </c>
      <c r="AF10" s="32">
        <f t="shared" si="8"/>
        <v>16</v>
      </c>
      <c r="AG10" s="32">
        <f t="shared" si="8"/>
        <v>20</v>
      </c>
      <c r="AH10" s="32">
        <f>AH34</f>
        <v>20</v>
      </c>
      <c r="AI10" s="32">
        <f>AI34</f>
        <v>17</v>
      </c>
      <c r="AJ10" s="32">
        <f>AJ34</f>
        <v>14</v>
      </c>
      <c r="AK10" s="5">
        <f t="shared" si="7"/>
        <v>11</v>
      </c>
      <c r="AL10" s="5">
        <f t="shared" si="7"/>
        <v>8</v>
      </c>
      <c r="AM10" s="5">
        <f t="shared" si="7"/>
        <v>6</v>
      </c>
      <c r="AN10" s="5">
        <f t="shared" si="7"/>
        <v>3</v>
      </c>
      <c r="AO10" s="5">
        <f t="shared" si="7"/>
        <v>0</v>
      </c>
      <c r="AP10" s="5">
        <f t="shared" si="7"/>
        <v>-3</v>
      </c>
      <c r="AQ10" s="5">
        <f t="shared" si="7"/>
        <v>-6</v>
      </c>
      <c r="AR10" s="5">
        <f t="shared" si="7"/>
        <v>-8</v>
      </c>
      <c r="AS10" s="5">
        <f t="shared" ref="AS10:AU15" si="9">ROUND(AVERAGE(AS34,AS34,AR33:AT35),0)</f>
        <v>-9</v>
      </c>
      <c r="AT10" s="5">
        <f t="shared" si="9"/>
        <v>-10</v>
      </c>
      <c r="AU10" s="5">
        <f t="shared" si="9"/>
        <v>-10</v>
      </c>
      <c r="AV10" s="6">
        <f t="shared" ref="AV10:AV15" si="10">ROUND(AVERAGE(AV34,AV34,AU33:AV35),0)</f>
        <v>-11</v>
      </c>
      <c r="BV10" s="25">
        <v>1683.59</v>
      </c>
      <c r="BW10" s="26">
        <v>2644.53</v>
      </c>
    </row>
    <row r="11" spans="1:75" s="4" customFormat="1" ht="16.5" customHeight="1">
      <c r="Z11" s="266"/>
      <c r="AA11" s="243">
        <v>1500</v>
      </c>
      <c r="AB11" s="240">
        <f t="shared" ref="AB11:AG12" si="11">AB35</f>
        <v>13</v>
      </c>
      <c r="AC11" s="32">
        <f t="shared" si="11"/>
        <v>13</v>
      </c>
      <c r="AD11" s="32">
        <f t="shared" si="11"/>
        <v>19</v>
      </c>
      <c r="AE11" s="32">
        <f t="shared" si="11"/>
        <v>19</v>
      </c>
      <c r="AF11" s="32">
        <f t="shared" si="11"/>
        <v>26</v>
      </c>
      <c r="AG11" s="32">
        <f t="shared" si="11"/>
        <v>24</v>
      </c>
      <c r="AH11" s="32">
        <f>AH35</f>
        <v>23</v>
      </c>
      <c r="AI11" s="32">
        <f>AI35</f>
        <v>21</v>
      </c>
      <c r="AJ11" s="32">
        <f>AJ35</f>
        <v>18</v>
      </c>
      <c r="AK11" s="5">
        <f t="shared" si="7"/>
        <v>14</v>
      </c>
      <c r="AL11" s="5">
        <f t="shared" si="7"/>
        <v>11</v>
      </c>
      <c r="AM11" s="5">
        <f t="shared" si="7"/>
        <v>9</v>
      </c>
      <c r="AN11" s="5">
        <f t="shared" si="7"/>
        <v>6</v>
      </c>
      <c r="AO11" s="5">
        <f t="shared" si="7"/>
        <v>3</v>
      </c>
      <c r="AP11" s="5">
        <f t="shared" si="7"/>
        <v>0</v>
      </c>
      <c r="AQ11" s="5">
        <f t="shared" si="7"/>
        <v>-3</v>
      </c>
      <c r="AR11" s="5">
        <f t="shared" si="7"/>
        <v>-6</v>
      </c>
      <c r="AS11" s="5">
        <f t="shared" si="9"/>
        <v>-8</v>
      </c>
      <c r="AT11" s="5">
        <f t="shared" si="9"/>
        <v>-9</v>
      </c>
      <c r="AU11" s="5">
        <f t="shared" si="9"/>
        <v>-10</v>
      </c>
      <c r="AV11" s="6">
        <f t="shared" si="10"/>
        <v>-11</v>
      </c>
      <c r="BV11" s="25">
        <v>2105.4699999999998</v>
      </c>
      <c r="BW11" s="26">
        <v>3179.69</v>
      </c>
    </row>
    <row r="12" spans="1:75" s="4" customFormat="1" ht="16.5" customHeight="1">
      <c r="Z12" s="266"/>
      <c r="AA12" s="243">
        <v>1750</v>
      </c>
      <c r="AB12" s="240">
        <f t="shared" ref="AB12:AB18" si="12">AB36</f>
        <v>18</v>
      </c>
      <c r="AC12" s="5">
        <f t="shared" ref="AC12:AC18" si="13">ROUND(AVERAGE(AC36,AC36,AB35:AD37),0)</f>
        <v>20</v>
      </c>
      <c r="AD12" s="32">
        <f t="shared" ref="AD12:AD18" si="14">AD36</f>
        <v>25</v>
      </c>
      <c r="AE12" s="5">
        <f>ROUND(AVERAGE(AE36,AE36,AD35:AF37),0)</f>
        <v>26</v>
      </c>
      <c r="AF12" s="32">
        <f t="shared" si="11"/>
        <v>27</v>
      </c>
      <c r="AG12" s="5">
        <f t="shared" ref="AG12:AJ13" si="15">ROUND(AVERAGE(AG36,AG36,AF35:AH37),0)</f>
        <v>25</v>
      </c>
      <c r="AH12" s="5">
        <f t="shared" si="15"/>
        <v>24</v>
      </c>
      <c r="AI12" s="5">
        <f t="shared" si="15"/>
        <v>23</v>
      </c>
      <c r="AJ12" s="5">
        <f t="shared" si="15"/>
        <v>20</v>
      </c>
      <c r="AK12" s="5">
        <f t="shared" si="7"/>
        <v>17</v>
      </c>
      <c r="AL12" s="5">
        <f t="shared" si="7"/>
        <v>14</v>
      </c>
      <c r="AM12" s="5">
        <f t="shared" si="7"/>
        <v>11</v>
      </c>
      <c r="AN12" s="5">
        <f t="shared" si="7"/>
        <v>8</v>
      </c>
      <c r="AO12" s="5">
        <f t="shared" si="7"/>
        <v>5</v>
      </c>
      <c r="AP12" s="5">
        <f t="shared" si="7"/>
        <v>2</v>
      </c>
      <c r="AQ12" s="5">
        <f t="shared" si="7"/>
        <v>-1</v>
      </c>
      <c r="AR12" s="5">
        <f t="shared" si="7"/>
        <v>-4</v>
      </c>
      <c r="AS12" s="5">
        <f t="shared" si="9"/>
        <v>-6</v>
      </c>
      <c r="AT12" s="5">
        <f t="shared" si="9"/>
        <v>-8</v>
      </c>
      <c r="AU12" s="5">
        <f t="shared" si="9"/>
        <v>-9</v>
      </c>
      <c r="AV12" s="6">
        <f t="shared" si="10"/>
        <v>-10</v>
      </c>
      <c r="BV12" s="25">
        <v>2527.34</v>
      </c>
      <c r="BW12" s="26">
        <v>3714.84</v>
      </c>
    </row>
    <row r="13" spans="1:75" s="4" customFormat="1" ht="16.5" customHeight="1">
      <c r="Z13" s="266"/>
      <c r="AA13" s="243">
        <v>2000</v>
      </c>
      <c r="AB13" s="240">
        <f t="shared" si="12"/>
        <v>24</v>
      </c>
      <c r="AC13" s="5">
        <f t="shared" si="13"/>
        <v>25</v>
      </c>
      <c r="AD13" s="32">
        <f t="shared" si="14"/>
        <v>32</v>
      </c>
      <c r="AE13" s="32">
        <f>AE37</f>
        <v>32</v>
      </c>
      <c r="AF13" s="5">
        <f>ROUND(AVERAGE(AF37,AF37,AE36:AG38),0)</f>
        <v>29</v>
      </c>
      <c r="AG13" s="5">
        <f t="shared" si="15"/>
        <v>27</v>
      </c>
      <c r="AH13" s="5">
        <f t="shared" si="15"/>
        <v>26</v>
      </c>
      <c r="AI13" s="5">
        <f t="shared" si="15"/>
        <v>25</v>
      </c>
      <c r="AJ13" s="5">
        <f t="shared" si="15"/>
        <v>23</v>
      </c>
      <c r="AK13" s="5">
        <f t="shared" si="7"/>
        <v>20</v>
      </c>
      <c r="AL13" s="5">
        <f t="shared" si="7"/>
        <v>16</v>
      </c>
      <c r="AM13" s="5">
        <f t="shared" si="7"/>
        <v>13</v>
      </c>
      <c r="AN13" s="5">
        <f t="shared" si="7"/>
        <v>9</v>
      </c>
      <c r="AO13" s="5">
        <f t="shared" si="7"/>
        <v>6</v>
      </c>
      <c r="AP13" s="5">
        <f t="shared" si="7"/>
        <v>3</v>
      </c>
      <c r="AQ13" s="5">
        <f t="shared" si="7"/>
        <v>0</v>
      </c>
      <c r="AR13" s="5">
        <f t="shared" si="7"/>
        <v>-3</v>
      </c>
      <c r="AS13" s="5">
        <f t="shared" si="9"/>
        <v>-5</v>
      </c>
      <c r="AT13" s="5">
        <f t="shared" si="9"/>
        <v>-7</v>
      </c>
      <c r="AU13" s="5">
        <f t="shared" si="9"/>
        <v>-9</v>
      </c>
      <c r="AV13" s="6">
        <f t="shared" si="10"/>
        <v>-10</v>
      </c>
      <c r="BV13" s="25">
        <v>2949.22</v>
      </c>
      <c r="BW13" s="26">
        <v>4250</v>
      </c>
    </row>
    <row r="14" spans="1:75" s="4" customFormat="1" ht="16.5" customHeight="1">
      <c r="Z14" s="266"/>
      <c r="AA14" s="243">
        <v>2500</v>
      </c>
      <c r="AB14" s="240">
        <f t="shared" si="12"/>
        <v>24</v>
      </c>
      <c r="AC14" s="5">
        <f t="shared" si="13"/>
        <v>28</v>
      </c>
      <c r="AD14" s="32">
        <f t="shared" si="14"/>
        <v>34</v>
      </c>
      <c r="AE14" s="5">
        <f>ROUND(AVERAGE(AE38,AE38,AD37:AF39),0)</f>
        <v>34</v>
      </c>
      <c r="AF14" s="5">
        <f>ROUND(AVERAGE(AF38,AF38,AE37:AG39),0)</f>
        <v>32</v>
      </c>
      <c r="AG14" s="5">
        <f t="shared" ref="AG14:AG21" si="16">ROUND(AVERAGE(AG38,AG38,AF37:AH39),0)</f>
        <v>30</v>
      </c>
      <c r="AH14" s="32">
        <f>AH38</f>
        <v>29</v>
      </c>
      <c r="AI14" s="5">
        <f t="shared" ref="AI14:AJ22" si="17">ROUND(AVERAGE(AI38,AI38,AH37:AJ39),0)</f>
        <v>27</v>
      </c>
      <c r="AJ14" s="5">
        <f t="shared" si="17"/>
        <v>25</v>
      </c>
      <c r="AK14" s="5">
        <f t="shared" si="7"/>
        <v>22</v>
      </c>
      <c r="AL14" s="5">
        <f t="shared" si="7"/>
        <v>19</v>
      </c>
      <c r="AM14" s="5">
        <f t="shared" si="7"/>
        <v>15</v>
      </c>
      <c r="AN14" s="5">
        <f t="shared" si="7"/>
        <v>11</v>
      </c>
      <c r="AO14" s="5">
        <f t="shared" si="7"/>
        <v>7</v>
      </c>
      <c r="AP14" s="5">
        <f t="shared" si="7"/>
        <v>5</v>
      </c>
      <c r="AQ14" s="5">
        <f t="shared" si="7"/>
        <v>2</v>
      </c>
      <c r="AR14" s="5">
        <f t="shared" si="7"/>
        <v>-1</v>
      </c>
      <c r="AS14" s="5">
        <f t="shared" si="9"/>
        <v>-3</v>
      </c>
      <c r="AT14" s="5">
        <f t="shared" si="9"/>
        <v>-5</v>
      </c>
      <c r="AU14" s="5">
        <f t="shared" si="9"/>
        <v>-7</v>
      </c>
      <c r="AV14" s="6">
        <f t="shared" si="10"/>
        <v>-8</v>
      </c>
      <c r="BV14" s="25">
        <v>3367.19</v>
      </c>
      <c r="BW14" s="26">
        <v>4785.16</v>
      </c>
    </row>
    <row r="15" spans="1:75" s="4" customFormat="1" ht="16.5" customHeight="1">
      <c r="Z15" s="266"/>
      <c r="AA15" s="243">
        <v>3000</v>
      </c>
      <c r="AB15" s="240">
        <f t="shared" si="12"/>
        <v>28</v>
      </c>
      <c r="AC15" s="5">
        <f t="shared" si="13"/>
        <v>30</v>
      </c>
      <c r="AD15" s="32">
        <f t="shared" si="14"/>
        <v>38</v>
      </c>
      <c r="AE15" s="32">
        <f>AE39</f>
        <v>38</v>
      </c>
      <c r="AF15" s="32">
        <f>AF39</f>
        <v>35</v>
      </c>
      <c r="AG15" s="5">
        <f t="shared" si="16"/>
        <v>32</v>
      </c>
      <c r="AH15" s="5">
        <f t="shared" ref="AH15:AH21" si="18">ROUND(AVERAGE(AH39,AH39,AG38:AI40),0)</f>
        <v>30</v>
      </c>
      <c r="AI15" s="5">
        <f t="shared" si="17"/>
        <v>29</v>
      </c>
      <c r="AJ15" s="5">
        <f t="shared" si="17"/>
        <v>27</v>
      </c>
      <c r="AK15" s="5">
        <f t="shared" si="7"/>
        <v>24</v>
      </c>
      <c r="AL15" s="5">
        <f t="shared" si="7"/>
        <v>21</v>
      </c>
      <c r="AM15" s="5">
        <f t="shared" si="7"/>
        <v>17</v>
      </c>
      <c r="AN15" s="5">
        <f t="shared" si="7"/>
        <v>13</v>
      </c>
      <c r="AO15" s="5">
        <f t="shared" si="7"/>
        <v>9</v>
      </c>
      <c r="AP15" s="5">
        <f t="shared" si="7"/>
        <v>6</v>
      </c>
      <c r="AQ15" s="5">
        <f t="shared" si="7"/>
        <v>4</v>
      </c>
      <c r="AR15" s="5">
        <f t="shared" si="7"/>
        <v>1</v>
      </c>
      <c r="AS15" s="5">
        <f t="shared" si="9"/>
        <v>-1</v>
      </c>
      <c r="AT15" s="5">
        <f t="shared" si="9"/>
        <v>-3</v>
      </c>
      <c r="AU15" s="5">
        <f t="shared" si="9"/>
        <v>-5</v>
      </c>
      <c r="AV15" s="6">
        <f t="shared" si="10"/>
        <v>-6</v>
      </c>
      <c r="BV15" s="25">
        <v>3789.06</v>
      </c>
      <c r="BW15" s="26">
        <v>5320.31</v>
      </c>
    </row>
    <row r="16" spans="1:75" s="4" customFormat="1" ht="16.5" customHeight="1" thickBot="1">
      <c r="Z16" s="266"/>
      <c r="AA16" s="243">
        <v>3500</v>
      </c>
      <c r="AB16" s="240">
        <f t="shared" si="12"/>
        <v>28</v>
      </c>
      <c r="AC16" s="5">
        <f t="shared" si="13"/>
        <v>31</v>
      </c>
      <c r="AD16" s="32">
        <f t="shared" si="14"/>
        <v>38</v>
      </c>
      <c r="AE16" s="32">
        <f>AE40</f>
        <v>38</v>
      </c>
      <c r="AF16" s="5">
        <f t="shared" ref="AF16:AF21" si="19">ROUND(AVERAGE(AF40,AF40,AE39:AG41),0)</f>
        <v>35</v>
      </c>
      <c r="AG16" s="5">
        <f t="shared" si="16"/>
        <v>32</v>
      </c>
      <c r="AH16" s="5">
        <f t="shared" si="18"/>
        <v>31</v>
      </c>
      <c r="AI16" s="5">
        <f t="shared" si="17"/>
        <v>29</v>
      </c>
      <c r="AJ16" s="5">
        <f t="shared" si="17"/>
        <v>28</v>
      </c>
      <c r="AK16" s="5">
        <f t="shared" si="7"/>
        <v>26</v>
      </c>
      <c r="AL16" s="5">
        <f t="shared" si="7"/>
        <v>23</v>
      </c>
      <c r="AM16" s="5">
        <f t="shared" si="7"/>
        <v>19</v>
      </c>
      <c r="AN16" s="5">
        <f t="shared" si="7"/>
        <v>15</v>
      </c>
      <c r="AO16" s="5">
        <f t="shared" si="7"/>
        <v>11</v>
      </c>
      <c r="AP16" s="5">
        <f t="shared" ref="AP16:AP25" si="20">ROUND(AVERAGE(AP40,AP40,AO39:AQ41),0)</f>
        <v>8</v>
      </c>
      <c r="AQ16" s="5">
        <f t="shared" ref="AQ16:AQ25" si="21">ROUND(AVERAGE(AQ40,AQ40,AP39:AR41),0)</f>
        <v>6</v>
      </c>
      <c r="AR16" s="5">
        <f t="shared" ref="AR16:AR25" si="22">ROUND(AVERAGE(AR40,AR40,AQ39:AS41),0)</f>
        <v>3</v>
      </c>
      <c r="AS16" s="5">
        <f t="shared" ref="AS16:AS25" si="23">ROUND(AVERAGE(AS40,AS40,AR39:AT41),0)</f>
        <v>1</v>
      </c>
      <c r="AT16" s="5">
        <f t="shared" ref="AT16:AT25" si="24">ROUND(AVERAGE(AT40,AT40,AS39:AU41),0)</f>
        <v>-1</v>
      </c>
      <c r="AU16" s="5">
        <f t="shared" ref="AU16:AU25" si="25">ROUND(AVERAGE(AU40,AU40,AT39:AV41),0)</f>
        <v>-3</v>
      </c>
      <c r="AV16" s="6">
        <f t="shared" ref="AV16:AV25" si="26">ROUND(AVERAGE(AV40,AV40,AU39:AV41),0)</f>
        <v>-4</v>
      </c>
      <c r="BV16" s="25">
        <v>4210.9399999999996</v>
      </c>
      <c r="BW16" s="26">
        <v>5855.47</v>
      </c>
    </row>
    <row r="17" spans="26:75" s="4" customFormat="1" ht="16.5" customHeight="1" thickBot="1">
      <c r="Z17" s="266"/>
      <c r="AA17" s="243">
        <v>4000</v>
      </c>
      <c r="AB17" s="240">
        <f t="shared" si="12"/>
        <v>28</v>
      </c>
      <c r="AC17" s="5">
        <f t="shared" si="13"/>
        <v>32</v>
      </c>
      <c r="AD17" s="32">
        <f t="shared" si="14"/>
        <v>38</v>
      </c>
      <c r="AE17" s="32">
        <f>AE41</f>
        <v>38</v>
      </c>
      <c r="AF17" s="5">
        <f t="shared" si="19"/>
        <v>35</v>
      </c>
      <c r="AG17" s="5">
        <f t="shared" si="16"/>
        <v>33</v>
      </c>
      <c r="AH17" s="5">
        <f t="shared" si="18"/>
        <v>31</v>
      </c>
      <c r="AI17" s="5">
        <f t="shared" si="17"/>
        <v>30</v>
      </c>
      <c r="AJ17" s="5">
        <f t="shared" si="17"/>
        <v>28</v>
      </c>
      <c r="AK17" s="5">
        <f t="shared" si="7"/>
        <v>26</v>
      </c>
      <c r="AL17" s="5">
        <f t="shared" si="7"/>
        <v>24</v>
      </c>
      <c r="AM17" s="5">
        <f t="shared" si="7"/>
        <v>20</v>
      </c>
      <c r="AN17" s="5">
        <f t="shared" si="7"/>
        <v>16</v>
      </c>
      <c r="AO17" s="5">
        <f t="shared" si="7"/>
        <v>12</v>
      </c>
      <c r="AP17" s="5">
        <f t="shared" si="20"/>
        <v>9</v>
      </c>
      <c r="AQ17" s="5">
        <f t="shared" si="21"/>
        <v>7</v>
      </c>
      <c r="AR17" s="5">
        <f t="shared" si="22"/>
        <v>5</v>
      </c>
      <c r="AS17" s="5">
        <f t="shared" si="23"/>
        <v>3</v>
      </c>
      <c r="AT17" s="5">
        <f t="shared" si="24"/>
        <v>1</v>
      </c>
      <c r="AU17" s="5">
        <f t="shared" si="25"/>
        <v>-1</v>
      </c>
      <c r="AV17" s="6">
        <f t="shared" si="26"/>
        <v>-2</v>
      </c>
      <c r="AX17" s="255"/>
      <c r="AY17" s="347" t="s">
        <v>6</v>
      </c>
      <c r="AZ17" s="345"/>
      <c r="BA17" s="345"/>
      <c r="BB17" s="345"/>
      <c r="BC17" s="345"/>
      <c r="BD17" s="345"/>
      <c r="BE17" s="345"/>
      <c r="BF17" s="345"/>
      <c r="BG17" s="345"/>
      <c r="BH17" s="345"/>
      <c r="BI17" s="345"/>
      <c r="BJ17" s="345"/>
      <c r="BK17" s="345"/>
      <c r="BL17" s="345"/>
      <c r="BM17" s="345"/>
      <c r="BN17" s="345"/>
      <c r="BO17" s="345"/>
      <c r="BP17" s="345"/>
      <c r="BQ17" s="345"/>
      <c r="BR17" s="345"/>
      <c r="BS17" s="346"/>
      <c r="BV17" s="25">
        <v>4632.8100000000004</v>
      </c>
      <c r="BW17" s="26">
        <v>6394.53</v>
      </c>
    </row>
    <row r="18" spans="26:75" s="4" customFormat="1" ht="16.5" customHeight="1" thickBot="1">
      <c r="Z18" s="266"/>
      <c r="AA18" s="243">
        <v>4500</v>
      </c>
      <c r="AB18" s="240">
        <f t="shared" si="12"/>
        <v>33</v>
      </c>
      <c r="AC18" s="5">
        <f t="shared" si="13"/>
        <v>34</v>
      </c>
      <c r="AD18" s="32">
        <f t="shared" si="14"/>
        <v>38</v>
      </c>
      <c r="AE18" s="32">
        <f>AE42</f>
        <v>38</v>
      </c>
      <c r="AF18" s="5">
        <f t="shared" si="19"/>
        <v>35</v>
      </c>
      <c r="AG18" s="5">
        <f t="shared" si="16"/>
        <v>33</v>
      </c>
      <c r="AH18" s="5">
        <f t="shared" si="18"/>
        <v>31</v>
      </c>
      <c r="AI18" s="5">
        <f t="shared" si="17"/>
        <v>30</v>
      </c>
      <c r="AJ18" s="5">
        <f t="shared" si="17"/>
        <v>28</v>
      </c>
      <c r="AK18" s="5">
        <f t="shared" si="7"/>
        <v>26</v>
      </c>
      <c r="AL18" s="5">
        <f t="shared" si="7"/>
        <v>24</v>
      </c>
      <c r="AM18" s="5">
        <f t="shared" si="7"/>
        <v>20</v>
      </c>
      <c r="AN18" s="5">
        <f t="shared" si="7"/>
        <v>16</v>
      </c>
      <c r="AO18" s="5">
        <f t="shared" si="7"/>
        <v>13</v>
      </c>
      <c r="AP18" s="5">
        <f t="shared" si="20"/>
        <v>10</v>
      </c>
      <c r="AQ18" s="5">
        <f t="shared" si="21"/>
        <v>8</v>
      </c>
      <c r="AR18" s="5">
        <f t="shared" si="22"/>
        <v>6</v>
      </c>
      <c r="AS18" s="5">
        <f t="shared" si="23"/>
        <v>3</v>
      </c>
      <c r="AT18" s="5">
        <f t="shared" si="24"/>
        <v>2</v>
      </c>
      <c r="AU18" s="5">
        <f t="shared" si="25"/>
        <v>0</v>
      </c>
      <c r="AV18" s="6">
        <f t="shared" si="26"/>
        <v>0</v>
      </c>
      <c r="AX18" s="256"/>
      <c r="AY18" s="253">
        <v>0</v>
      </c>
      <c r="AZ18" s="249">
        <v>10</v>
      </c>
      <c r="BA18" s="249">
        <v>20</v>
      </c>
      <c r="BB18" s="249">
        <v>30</v>
      </c>
      <c r="BC18" s="249">
        <v>40</v>
      </c>
      <c r="BD18" s="250">
        <v>50</v>
      </c>
      <c r="BE18" s="250">
        <v>60</v>
      </c>
      <c r="BF18" s="250">
        <v>70</v>
      </c>
      <c r="BG18" s="250">
        <v>80</v>
      </c>
      <c r="BH18" s="250">
        <v>90</v>
      </c>
      <c r="BI18" s="250">
        <v>100</v>
      </c>
      <c r="BJ18" s="250">
        <v>120</v>
      </c>
      <c r="BK18" s="250">
        <v>140</v>
      </c>
      <c r="BL18" s="251">
        <v>160</v>
      </c>
      <c r="BM18" s="251">
        <v>180</v>
      </c>
      <c r="BN18" s="251">
        <v>200</v>
      </c>
      <c r="BO18" s="251">
        <v>220</v>
      </c>
      <c r="BP18" s="251">
        <v>240</v>
      </c>
      <c r="BQ18" s="251">
        <v>260</v>
      </c>
      <c r="BR18" s="251">
        <v>280</v>
      </c>
      <c r="BS18" s="252">
        <v>300</v>
      </c>
      <c r="BV18" s="25">
        <v>5050.78</v>
      </c>
      <c r="BW18" s="26">
        <v>6929.69</v>
      </c>
    </row>
    <row r="19" spans="26:75" s="4" customFormat="1" ht="16.5" customHeight="1">
      <c r="Z19" s="266"/>
      <c r="AA19" s="244">
        <v>5000</v>
      </c>
      <c r="AB19" s="240">
        <f>AB43</f>
        <v>38</v>
      </c>
      <c r="AC19" s="32">
        <f>AC43</f>
        <v>38</v>
      </c>
      <c r="AD19" s="32">
        <f>AD43</f>
        <v>38</v>
      </c>
      <c r="AE19" s="32">
        <f>AE43</f>
        <v>38</v>
      </c>
      <c r="AF19" s="5">
        <f t="shared" si="19"/>
        <v>35</v>
      </c>
      <c r="AG19" s="5">
        <f t="shared" si="16"/>
        <v>33</v>
      </c>
      <c r="AH19" s="5">
        <f t="shared" si="18"/>
        <v>31</v>
      </c>
      <c r="AI19" s="5">
        <f t="shared" si="17"/>
        <v>30</v>
      </c>
      <c r="AJ19" s="5">
        <f t="shared" si="17"/>
        <v>28</v>
      </c>
      <c r="AK19" s="5">
        <f t="shared" si="7"/>
        <v>27</v>
      </c>
      <c r="AL19" s="5">
        <f t="shared" si="7"/>
        <v>24</v>
      </c>
      <c r="AM19" s="5">
        <f t="shared" si="7"/>
        <v>20</v>
      </c>
      <c r="AN19" s="5">
        <f t="shared" si="7"/>
        <v>17</v>
      </c>
      <c r="AO19" s="5">
        <f t="shared" si="7"/>
        <v>13</v>
      </c>
      <c r="AP19" s="5">
        <f t="shared" si="20"/>
        <v>11</v>
      </c>
      <c r="AQ19" s="5">
        <f t="shared" si="21"/>
        <v>9</v>
      </c>
      <c r="AR19" s="5">
        <f t="shared" si="22"/>
        <v>6</v>
      </c>
      <c r="AS19" s="5">
        <f t="shared" si="23"/>
        <v>4</v>
      </c>
      <c r="AT19" s="5">
        <f t="shared" si="24"/>
        <v>3</v>
      </c>
      <c r="AU19" s="5">
        <f t="shared" si="25"/>
        <v>2</v>
      </c>
      <c r="AV19" s="6">
        <f t="shared" si="26"/>
        <v>1</v>
      </c>
      <c r="AX19" s="254">
        <v>0</v>
      </c>
      <c r="AY19" s="5">
        <f t="shared" ref="AY19:AY38" si="27">AB6-AB30</f>
        <v>0</v>
      </c>
      <c r="AZ19" s="5">
        <f t="shared" ref="AZ19:AZ38" si="28">AC6-AC30</f>
        <v>0</v>
      </c>
      <c r="BA19" s="5">
        <f t="shared" ref="BA19:BA38" si="29">AD6-AD30</f>
        <v>0</v>
      </c>
      <c r="BB19" s="5">
        <f t="shared" ref="BB19:BB38" si="30">AE6-AE30</f>
        <v>0</v>
      </c>
      <c r="BC19" s="5">
        <f t="shared" ref="BC19:BC38" si="31">AF6-AF30</f>
        <v>0</v>
      </c>
      <c r="BD19" s="5">
        <f t="shared" ref="BD19:BD38" si="32">AG6-AG30</f>
        <v>0</v>
      </c>
      <c r="BE19" s="5">
        <f t="shared" ref="BE19:BE38" si="33">AH6-AH30</f>
        <v>0</v>
      </c>
      <c r="BF19" s="5">
        <f t="shared" ref="BF19:BF38" si="34">AI6-AI30</f>
        <v>0</v>
      </c>
      <c r="BG19" s="5">
        <f t="shared" ref="BG19:BG38" si="35">AJ6-AJ30</f>
        <v>0</v>
      </c>
      <c r="BH19" s="5">
        <f t="shared" ref="BH19:BH38" si="36">AK6-AK30</f>
        <v>0</v>
      </c>
      <c r="BI19" s="5">
        <f t="shared" ref="BI19:BI38" si="37">AL6-AL30</f>
        <v>0</v>
      </c>
      <c r="BJ19" s="5">
        <f t="shared" ref="BJ19:BJ38" si="38">AM6-AM30</f>
        <v>0</v>
      </c>
      <c r="BK19" s="5">
        <f t="shared" ref="BK19:BK38" si="39">AN6-AN30</f>
        <v>0</v>
      </c>
      <c r="BL19" s="5">
        <f t="shared" ref="BL19:BL38" si="40">AO6-AO30</f>
        <v>0</v>
      </c>
      <c r="BM19" s="5">
        <f t="shared" ref="BM19:BM38" si="41">AP6-AP30</f>
        <v>0</v>
      </c>
      <c r="BN19" s="5">
        <f t="shared" ref="BN19:BN38" si="42">AQ6-AQ30</f>
        <v>0</v>
      </c>
      <c r="BO19" s="5">
        <f t="shared" ref="BO19:BO38" si="43">AR6-AR30</f>
        <v>0</v>
      </c>
      <c r="BP19" s="5">
        <f t="shared" ref="BP19:BP38" si="44">AS6-AS30</f>
        <v>0</v>
      </c>
      <c r="BQ19" s="5">
        <f t="shared" ref="BQ19:BQ38" si="45">AT6-AT30</f>
        <v>0</v>
      </c>
      <c r="BR19" s="5">
        <f t="shared" ref="BR19:BR38" si="46">AU6-AU30</f>
        <v>0</v>
      </c>
      <c r="BS19" s="6">
        <f t="shared" ref="BS19:BS38" si="47">AV6-AV30</f>
        <v>0</v>
      </c>
      <c r="BV19" s="25">
        <v>5472.66</v>
      </c>
      <c r="BW19" s="26">
        <v>7464.84</v>
      </c>
    </row>
    <row r="20" spans="26:75" s="4" customFormat="1" ht="16.5" customHeight="1" thickBot="1">
      <c r="Z20" s="266"/>
      <c r="AA20" s="244">
        <v>5500</v>
      </c>
      <c r="AB20" s="240">
        <f t="shared" ref="AB20:AB25" si="48">AB44</f>
        <v>38</v>
      </c>
      <c r="AC20" s="5">
        <f>ROUND(AVERAGE(AC44,AC44,AB43:AD45),0)</f>
        <v>38</v>
      </c>
      <c r="AD20" s="32">
        <f>AD44</f>
        <v>38</v>
      </c>
      <c r="AE20" s="32">
        <f>AE44</f>
        <v>38</v>
      </c>
      <c r="AF20" s="5">
        <f t="shared" si="19"/>
        <v>35</v>
      </c>
      <c r="AG20" s="5">
        <f t="shared" si="16"/>
        <v>33</v>
      </c>
      <c r="AH20" s="5">
        <f t="shared" si="18"/>
        <v>31</v>
      </c>
      <c r="AI20" s="5">
        <f t="shared" si="17"/>
        <v>30</v>
      </c>
      <c r="AJ20" s="5">
        <f t="shared" si="17"/>
        <v>29</v>
      </c>
      <c r="AK20" s="5">
        <f t="shared" si="7"/>
        <v>27</v>
      </c>
      <c r="AL20" s="5">
        <f t="shared" si="7"/>
        <v>25</v>
      </c>
      <c r="AM20" s="5">
        <f t="shared" si="7"/>
        <v>21</v>
      </c>
      <c r="AN20" s="5">
        <f t="shared" si="7"/>
        <v>18</v>
      </c>
      <c r="AO20" s="5">
        <f t="shared" si="7"/>
        <v>14</v>
      </c>
      <c r="AP20" s="5">
        <f t="shared" si="20"/>
        <v>12</v>
      </c>
      <c r="AQ20" s="5">
        <f t="shared" si="21"/>
        <v>9</v>
      </c>
      <c r="AR20" s="5">
        <f t="shared" si="22"/>
        <v>7</v>
      </c>
      <c r="AS20" s="5">
        <f t="shared" si="23"/>
        <v>5</v>
      </c>
      <c r="AT20" s="5">
        <f t="shared" si="24"/>
        <v>4</v>
      </c>
      <c r="AU20" s="5">
        <f t="shared" si="25"/>
        <v>3</v>
      </c>
      <c r="AV20" s="6">
        <f t="shared" si="26"/>
        <v>3</v>
      </c>
      <c r="AX20" s="242">
        <v>500</v>
      </c>
      <c r="AY20" s="5">
        <f t="shared" si="27"/>
        <v>0</v>
      </c>
      <c r="AZ20" s="5">
        <f t="shared" si="28"/>
        <v>0</v>
      </c>
      <c r="BA20" s="5">
        <f t="shared" si="29"/>
        <v>0</v>
      </c>
      <c r="BB20" s="5">
        <f t="shared" si="30"/>
        <v>0</v>
      </c>
      <c r="BC20" s="5">
        <f t="shared" si="31"/>
        <v>0</v>
      </c>
      <c r="BD20" s="5">
        <f t="shared" si="32"/>
        <v>0</v>
      </c>
      <c r="BE20" s="5">
        <f t="shared" si="33"/>
        <v>0</v>
      </c>
      <c r="BF20" s="5">
        <f t="shared" si="34"/>
        <v>0</v>
      </c>
      <c r="BG20" s="5">
        <f t="shared" si="35"/>
        <v>0</v>
      </c>
      <c r="BH20" s="5">
        <f t="shared" si="36"/>
        <v>0</v>
      </c>
      <c r="BI20" s="5">
        <f t="shared" si="37"/>
        <v>0</v>
      </c>
      <c r="BJ20" s="5">
        <f t="shared" si="38"/>
        <v>0</v>
      </c>
      <c r="BK20" s="5">
        <f t="shared" si="39"/>
        <v>0</v>
      </c>
      <c r="BL20" s="5">
        <f t="shared" si="40"/>
        <v>0</v>
      </c>
      <c r="BM20" s="5">
        <f t="shared" si="41"/>
        <v>0</v>
      </c>
      <c r="BN20" s="5">
        <f t="shared" si="42"/>
        <v>0</v>
      </c>
      <c r="BO20" s="5">
        <f t="shared" si="43"/>
        <v>0</v>
      </c>
      <c r="BP20" s="5">
        <f t="shared" si="44"/>
        <v>0</v>
      </c>
      <c r="BQ20" s="5">
        <f t="shared" si="45"/>
        <v>0</v>
      </c>
      <c r="BR20" s="5">
        <f t="shared" si="46"/>
        <v>0</v>
      </c>
      <c r="BS20" s="6">
        <f t="shared" si="47"/>
        <v>0</v>
      </c>
      <c r="BV20" s="25">
        <v>5894.53</v>
      </c>
      <c r="BW20" s="27">
        <v>8000</v>
      </c>
    </row>
    <row r="21" spans="26:75" s="4" customFormat="1" ht="16.5" customHeight="1">
      <c r="Z21" s="266"/>
      <c r="AA21" s="244">
        <v>6000</v>
      </c>
      <c r="AB21" s="240">
        <f t="shared" si="48"/>
        <v>38</v>
      </c>
      <c r="AC21" s="5">
        <f>ROUND(AVERAGE(AC45,AC45,AB44:AD46),0)</f>
        <v>38</v>
      </c>
      <c r="AD21" s="32">
        <f t="shared" ref="AD21:AG22" si="49">AD45</f>
        <v>38</v>
      </c>
      <c r="AE21" s="32">
        <f t="shared" si="49"/>
        <v>38</v>
      </c>
      <c r="AF21" s="5">
        <f t="shared" si="19"/>
        <v>36</v>
      </c>
      <c r="AG21" s="5">
        <f t="shared" si="16"/>
        <v>34</v>
      </c>
      <c r="AH21" s="5">
        <f t="shared" si="18"/>
        <v>33</v>
      </c>
      <c r="AI21" s="5">
        <f t="shared" si="17"/>
        <v>32</v>
      </c>
      <c r="AJ21" s="5">
        <f t="shared" si="17"/>
        <v>31</v>
      </c>
      <c r="AK21" s="5">
        <f t="shared" si="7"/>
        <v>29</v>
      </c>
      <c r="AL21" s="5">
        <f t="shared" si="7"/>
        <v>26</v>
      </c>
      <c r="AM21" s="5">
        <f t="shared" si="7"/>
        <v>23</v>
      </c>
      <c r="AN21" s="5">
        <f t="shared" si="7"/>
        <v>20</v>
      </c>
      <c r="AO21" s="5">
        <f t="shared" si="7"/>
        <v>16</v>
      </c>
      <c r="AP21" s="5">
        <f t="shared" si="20"/>
        <v>13</v>
      </c>
      <c r="AQ21" s="5">
        <f t="shared" si="21"/>
        <v>10</v>
      </c>
      <c r="AR21" s="5">
        <f t="shared" si="22"/>
        <v>8</v>
      </c>
      <c r="AS21" s="5">
        <f t="shared" si="23"/>
        <v>6</v>
      </c>
      <c r="AT21" s="5">
        <f t="shared" si="24"/>
        <v>5</v>
      </c>
      <c r="AU21" s="5">
        <f t="shared" si="25"/>
        <v>5</v>
      </c>
      <c r="AV21" s="6">
        <f t="shared" si="26"/>
        <v>4</v>
      </c>
      <c r="AX21" s="242">
        <v>750</v>
      </c>
      <c r="AY21" s="5">
        <f t="shared" si="27"/>
        <v>0</v>
      </c>
      <c r="AZ21" s="5">
        <f t="shared" si="28"/>
        <v>0</v>
      </c>
      <c r="BA21" s="5">
        <f t="shared" si="29"/>
        <v>0</v>
      </c>
      <c r="BB21" s="5">
        <f t="shared" si="30"/>
        <v>0</v>
      </c>
      <c r="BC21" s="5">
        <f t="shared" si="31"/>
        <v>0</v>
      </c>
      <c r="BD21" s="5">
        <f t="shared" si="32"/>
        <v>0</v>
      </c>
      <c r="BE21" s="5">
        <f t="shared" si="33"/>
        <v>0</v>
      </c>
      <c r="BF21" s="5">
        <f t="shared" si="34"/>
        <v>0</v>
      </c>
      <c r="BG21" s="5">
        <f t="shared" si="35"/>
        <v>0</v>
      </c>
      <c r="BH21" s="5">
        <f t="shared" si="36"/>
        <v>1</v>
      </c>
      <c r="BI21" s="5">
        <f t="shared" si="37"/>
        <v>1</v>
      </c>
      <c r="BJ21" s="5">
        <f t="shared" si="38"/>
        <v>0</v>
      </c>
      <c r="BK21" s="5">
        <f t="shared" si="39"/>
        <v>1</v>
      </c>
      <c r="BL21" s="5">
        <f t="shared" si="40"/>
        <v>0</v>
      </c>
      <c r="BM21" s="5">
        <f t="shared" si="41"/>
        <v>0</v>
      </c>
      <c r="BN21" s="5">
        <f t="shared" si="42"/>
        <v>0</v>
      </c>
      <c r="BO21" s="5">
        <f t="shared" si="43"/>
        <v>0</v>
      </c>
      <c r="BP21" s="5">
        <f t="shared" si="44"/>
        <v>0</v>
      </c>
      <c r="BQ21" s="5">
        <f t="shared" si="45"/>
        <v>0</v>
      </c>
      <c r="BR21" s="5">
        <f t="shared" si="46"/>
        <v>0</v>
      </c>
      <c r="BS21" s="6">
        <f t="shared" si="47"/>
        <v>0</v>
      </c>
      <c r="BV21" s="26">
        <v>6316.41</v>
      </c>
    </row>
    <row r="22" spans="26:75" s="4" customFormat="1" ht="16.5" customHeight="1">
      <c r="Z22" s="266"/>
      <c r="AA22" s="244">
        <v>6500</v>
      </c>
      <c r="AB22" s="240">
        <f t="shared" si="48"/>
        <v>38</v>
      </c>
      <c r="AC22" s="5">
        <f>ROUND(AVERAGE(AC46,AC46,AB45:AD47),0)</f>
        <v>38</v>
      </c>
      <c r="AD22" s="5">
        <f>ROUND(AVERAGE(AD46,AD46,AC45:AE47),0)</f>
        <v>38</v>
      </c>
      <c r="AE22" s="32">
        <f t="shared" si="49"/>
        <v>38</v>
      </c>
      <c r="AF22" s="32">
        <f t="shared" si="49"/>
        <v>38</v>
      </c>
      <c r="AG22" s="32">
        <f t="shared" si="49"/>
        <v>37</v>
      </c>
      <c r="AH22" s="5">
        <f>ROUND(AVERAGE(AH46,AH46,AG45:AI47),0)</f>
        <v>35</v>
      </c>
      <c r="AI22" s="5">
        <f t="shared" si="17"/>
        <v>34</v>
      </c>
      <c r="AJ22" s="5">
        <f t="shared" si="17"/>
        <v>33</v>
      </c>
      <c r="AK22" s="5">
        <f t="shared" si="7"/>
        <v>31</v>
      </c>
      <c r="AL22" s="5">
        <f t="shared" si="7"/>
        <v>29</v>
      </c>
      <c r="AM22" s="5">
        <f t="shared" si="7"/>
        <v>26</v>
      </c>
      <c r="AN22" s="5">
        <f t="shared" si="7"/>
        <v>23</v>
      </c>
      <c r="AO22" s="5">
        <f t="shared" si="7"/>
        <v>19</v>
      </c>
      <c r="AP22" s="5">
        <f t="shared" si="20"/>
        <v>15</v>
      </c>
      <c r="AQ22" s="5">
        <f t="shared" si="21"/>
        <v>12</v>
      </c>
      <c r="AR22" s="5">
        <f t="shared" si="22"/>
        <v>9</v>
      </c>
      <c r="AS22" s="5">
        <f t="shared" si="23"/>
        <v>8</v>
      </c>
      <c r="AT22" s="5">
        <f t="shared" si="24"/>
        <v>7</v>
      </c>
      <c r="AU22" s="5">
        <f t="shared" si="25"/>
        <v>6</v>
      </c>
      <c r="AV22" s="6">
        <f t="shared" si="26"/>
        <v>6</v>
      </c>
      <c r="AX22" s="242">
        <v>1000</v>
      </c>
      <c r="AY22" s="5">
        <f t="shared" si="27"/>
        <v>0</v>
      </c>
      <c r="AZ22" s="5">
        <f t="shared" si="28"/>
        <v>0</v>
      </c>
      <c r="BA22" s="5">
        <f t="shared" si="29"/>
        <v>0</v>
      </c>
      <c r="BB22" s="5">
        <f t="shared" si="30"/>
        <v>0</v>
      </c>
      <c r="BC22" s="5">
        <f t="shared" si="31"/>
        <v>0</v>
      </c>
      <c r="BD22" s="5">
        <f t="shared" si="32"/>
        <v>0</v>
      </c>
      <c r="BE22" s="5">
        <f t="shared" si="33"/>
        <v>0</v>
      </c>
      <c r="BF22" s="5">
        <f t="shared" si="34"/>
        <v>2</v>
      </c>
      <c r="BG22" s="5">
        <f t="shared" si="35"/>
        <v>1</v>
      </c>
      <c r="BH22" s="5">
        <f t="shared" si="36"/>
        <v>0</v>
      </c>
      <c r="BI22" s="5">
        <f t="shared" si="37"/>
        <v>0</v>
      </c>
      <c r="BJ22" s="5">
        <f t="shared" si="38"/>
        <v>0</v>
      </c>
      <c r="BK22" s="5">
        <f t="shared" si="39"/>
        <v>0</v>
      </c>
      <c r="BL22" s="5">
        <f t="shared" si="40"/>
        <v>1</v>
      </c>
      <c r="BM22" s="5">
        <f t="shared" si="41"/>
        <v>0</v>
      </c>
      <c r="BN22" s="5">
        <f t="shared" si="42"/>
        <v>0</v>
      </c>
      <c r="BO22" s="5">
        <f t="shared" si="43"/>
        <v>0</v>
      </c>
      <c r="BP22" s="5">
        <f t="shared" si="44"/>
        <v>0</v>
      </c>
      <c r="BQ22" s="5">
        <f t="shared" si="45"/>
        <v>0</v>
      </c>
      <c r="BR22" s="5">
        <f t="shared" si="46"/>
        <v>0</v>
      </c>
      <c r="BS22" s="6">
        <f t="shared" si="47"/>
        <v>0</v>
      </c>
      <c r="BV22" s="26">
        <v>6738.28</v>
      </c>
    </row>
    <row r="23" spans="26:75" s="4" customFormat="1" ht="16.5" customHeight="1">
      <c r="Z23" s="266"/>
      <c r="AA23" s="244">
        <v>7000</v>
      </c>
      <c r="AB23" s="240">
        <f t="shared" si="48"/>
        <v>38</v>
      </c>
      <c r="AC23" s="5">
        <f>ROUND(AVERAGE(AC47,AC47,AB46:AD48),0)</f>
        <v>38</v>
      </c>
      <c r="AD23" s="5">
        <f>ROUND(AVERAGE(AD47,AD47,AC46:AE48),0)</f>
        <v>38</v>
      </c>
      <c r="AE23" s="5">
        <f t="shared" ref="AE23:AG24" si="50">ROUND(AVERAGE(AE47,AE47,AD46:AF48),0)</f>
        <v>38</v>
      </c>
      <c r="AF23" s="5">
        <f t="shared" si="50"/>
        <v>38</v>
      </c>
      <c r="AG23" s="5">
        <f t="shared" si="50"/>
        <v>37</v>
      </c>
      <c r="AH23" s="5">
        <f>ROUND(AVERAGE(AH47,AH47,AG46:AI48),0)</f>
        <v>36</v>
      </c>
      <c r="AI23" s="5">
        <f>ROUND(AVERAGE(AI47,AI47,AH46:AJ48),0)</f>
        <v>35</v>
      </c>
      <c r="AJ23" s="5">
        <f>ROUND(AVERAGE(AJ47,AJ47,AI46:AK48),0)</f>
        <v>34</v>
      </c>
      <c r="AK23" s="5">
        <f t="shared" si="7"/>
        <v>33</v>
      </c>
      <c r="AL23" s="5">
        <f t="shared" si="7"/>
        <v>31</v>
      </c>
      <c r="AM23" s="5">
        <f t="shared" si="7"/>
        <v>29</v>
      </c>
      <c r="AN23" s="5">
        <f t="shared" si="7"/>
        <v>25</v>
      </c>
      <c r="AO23" s="5">
        <f t="shared" si="7"/>
        <v>21</v>
      </c>
      <c r="AP23" s="5">
        <f t="shared" si="20"/>
        <v>17</v>
      </c>
      <c r="AQ23" s="5">
        <f t="shared" si="21"/>
        <v>13</v>
      </c>
      <c r="AR23" s="5">
        <f t="shared" si="22"/>
        <v>10</v>
      </c>
      <c r="AS23" s="5">
        <f t="shared" si="23"/>
        <v>9</v>
      </c>
      <c r="AT23" s="5">
        <f t="shared" si="24"/>
        <v>9</v>
      </c>
      <c r="AU23" s="5">
        <f t="shared" si="25"/>
        <v>8</v>
      </c>
      <c r="AV23" s="6">
        <f t="shared" si="26"/>
        <v>8</v>
      </c>
      <c r="AX23" s="243">
        <v>1250</v>
      </c>
      <c r="AY23" s="5">
        <f t="shared" si="27"/>
        <v>0</v>
      </c>
      <c r="AZ23" s="5">
        <f t="shared" si="28"/>
        <v>0</v>
      </c>
      <c r="BA23" s="5">
        <f t="shared" si="29"/>
        <v>0</v>
      </c>
      <c r="BB23" s="5">
        <f t="shared" si="30"/>
        <v>0</v>
      </c>
      <c r="BC23" s="5">
        <f t="shared" si="31"/>
        <v>0</v>
      </c>
      <c r="BD23" s="5">
        <f t="shared" si="32"/>
        <v>0</v>
      </c>
      <c r="BE23" s="5">
        <f t="shared" si="33"/>
        <v>0</v>
      </c>
      <c r="BF23" s="5">
        <f t="shared" si="34"/>
        <v>0</v>
      </c>
      <c r="BG23" s="5">
        <f t="shared" si="35"/>
        <v>0</v>
      </c>
      <c r="BH23" s="5">
        <f t="shared" si="36"/>
        <v>0</v>
      </c>
      <c r="BI23" s="5">
        <f t="shared" si="37"/>
        <v>0</v>
      </c>
      <c r="BJ23" s="5">
        <f t="shared" si="38"/>
        <v>0</v>
      </c>
      <c r="BK23" s="5">
        <f t="shared" si="39"/>
        <v>0</v>
      </c>
      <c r="BL23" s="5">
        <f t="shared" si="40"/>
        <v>0</v>
      </c>
      <c r="BM23" s="5">
        <f t="shared" si="41"/>
        <v>0</v>
      </c>
      <c r="BN23" s="5">
        <f t="shared" si="42"/>
        <v>0</v>
      </c>
      <c r="BO23" s="5">
        <f t="shared" si="43"/>
        <v>0</v>
      </c>
      <c r="BP23" s="5">
        <f t="shared" si="44"/>
        <v>0</v>
      </c>
      <c r="BQ23" s="5">
        <f t="shared" si="45"/>
        <v>0</v>
      </c>
      <c r="BR23" s="5">
        <f t="shared" si="46"/>
        <v>1</v>
      </c>
      <c r="BS23" s="6">
        <f t="shared" si="47"/>
        <v>1</v>
      </c>
      <c r="BV23" s="26">
        <v>7156.25</v>
      </c>
    </row>
    <row r="24" spans="26:75" s="4" customFormat="1" ht="16.5" customHeight="1">
      <c r="Z24" s="266"/>
      <c r="AA24" s="244">
        <v>7500</v>
      </c>
      <c r="AB24" s="240">
        <f t="shared" si="48"/>
        <v>38</v>
      </c>
      <c r="AC24" s="5">
        <f>ROUND(AVERAGE(AC48,AC48,AB47:AD49),0)</f>
        <v>38</v>
      </c>
      <c r="AD24" s="5">
        <f>ROUND(AVERAGE(AD48,AD48,AC47:AE49),0)</f>
        <v>38</v>
      </c>
      <c r="AE24" s="5">
        <f t="shared" si="50"/>
        <v>38</v>
      </c>
      <c r="AF24" s="5">
        <f t="shared" si="50"/>
        <v>38</v>
      </c>
      <c r="AG24" s="5">
        <f t="shared" si="50"/>
        <v>37</v>
      </c>
      <c r="AH24" s="5">
        <f>ROUND(AVERAGE(AH48,AH48,AG47:AI49),0)</f>
        <v>36</v>
      </c>
      <c r="AI24" s="5">
        <f>ROUND(AVERAGE(AI48,AI48,AH47:AJ49),0)</f>
        <v>35</v>
      </c>
      <c r="AJ24" s="5">
        <f>ROUND(AVERAGE(AJ48,AJ48,AI47:AK49),0)</f>
        <v>35</v>
      </c>
      <c r="AK24" s="5">
        <f t="shared" si="7"/>
        <v>34</v>
      </c>
      <c r="AL24" s="5">
        <f t="shared" si="7"/>
        <v>32</v>
      </c>
      <c r="AM24" s="5">
        <f t="shared" si="7"/>
        <v>30</v>
      </c>
      <c r="AN24" s="5">
        <f t="shared" si="7"/>
        <v>26</v>
      </c>
      <c r="AO24" s="5">
        <f t="shared" si="7"/>
        <v>22</v>
      </c>
      <c r="AP24" s="5">
        <f t="shared" si="20"/>
        <v>17</v>
      </c>
      <c r="AQ24" s="5">
        <f t="shared" si="21"/>
        <v>14</v>
      </c>
      <c r="AR24" s="5">
        <f t="shared" si="22"/>
        <v>11</v>
      </c>
      <c r="AS24" s="5">
        <f t="shared" si="23"/>
        <v>10</v>
      </c>
      <c r="AT24" s="5">
        <f t="shared" si="24"/>
        <v>10</v>
      </c>
      <c r="AU24" s="5">
        <f t="shared" si="25"/>
        <v>10</v>
      </c>
      <c r="AV24" s="6">
        <f t="shared" si="26"/>
        <v>10</v>
      </c>
      <c r="AX24" s="243">
        <v>1500</v>
      </c>
      <c r="AY24" s="5">
        <f t="shared" si="27"/>
        <v>0</v>
      </c>
      <c r="AZ24" s="5">
        <f t="shared" si="28"/>
        <v>0</v>
      </c>
      <c r="BA24" s="5">
        <f t="shared" si="29"/>
        <v>0</v>
      </c>
      <c r="BB24" s="5">
        <f t="shared" si="30"/>
        <v>0</v>
      </c>
      <c r="BC24" s="5">
        <f t="shared" si="31"/>
        <v>0</v>
      </c>
      <c r="BD24" s="5">
        <f t="shared" si="32"/>
        <v>0</v>
      </c>
      <c r="BE24" s="5">
        <f t="shared" si="33"/>
        <v>0</v>
      </c>
      <c r="BF24" s="5">
        <f t="shared" si="34"/>
        <v>0</v>
      </c>
      <c r="BG24" s="5">
        <f t="shared" si="35"/>
        <v>0</v>
      </c>
      <c r="BH24" s="5">
        <f t="shared" si="36"/>
        <v>0</v>
      </c>
      <c r="BI24" s="5">
        <f t="shared" si="37"/>
        <v>0</v>
      </c>
      <c r="BJ24" s="5">
        <f t="shared" si="38"/>
        <v>0</v>
      </c>
      <c r="BK24" s="5">
        <f t="shared" si="39"/>
        <v>0</v>
      </c>
      <c r="BL24" s="5">
        <f t="shared" si="40"/>
        <v>0</v>
      </c>
      <c r="BM24" s="5">
        <f t="shared" si="41"/>
        <v>0</v>
      </c>
      <c r="BN24" s="5">
        <f t="shared" si="42"/>
        <v>0</v>
      </c>
      <c r="BO24" s="5">
        <f t="shared" si="43"/>
        <v>0</v>
      </c>
      <c r="BP24" s="5">
        <f t="shared" si="44"/>
        <v>0</v>
      </c>
      <c r="BQ24" s="5">
        <f t="shared" si="45"/>
        <v>0</v>
      </c>
      <c r="BR24" s="5">
        <f t="shared" si="46"/>
        <v>0</v>
      </c>
      <c r="BS24" s="6">
        <f t="shared" si="47"/>
        <v>0</v>
      </c>
      <c r="BV24" s="26">
        <v>7578.12</v>
      </c>
    </row>
    <row r="25" spans="26:75" s="4" customFormat="1" ht="16.5" customHeight="1" thickBot="1">
      <c r="Z25" s="267"/>
      <c r="AA25" s="245">
        <v>11000</v>
      </c>
      <c r="AB25" s="241">
        <f t="shared" si="48"/>
        <v>38</v>
      </c>
      <c r="AC25" s="7">
        <f t="shared" ref="AC25:AO25" si="51">ROUND(AVERAGE(AC49,AC49,AB48:AD49),0)</f>
        <v>38</v>
      </c>
      <c r="AD25" s="7">
        <f t="shared" si="51"/>
        <v>38</v>
      </c>
      <c r="AE25" s="7">
        <f t="shared" si="51"/>
        <v>38</v>
      </c>
      <c r="AF25" s="7">
        <f t="shared" si="51"/>
        <v>38</v>
      </c>
      <c r="AG25" s="7">
        <f t="shared" si="51"/>
        <v>37</v>
      </c>
      <c r="AH25" s="7">
        <f t="shared" si="51"/>
        <v>36</v>
      </c>
      <c r="AI25" s="7">
        <f t="shared" si="51"/>
        <v>35</v>
      </c>
      <c r="AJ25" s="7">
        <f t="shared" si="51"/>
        <v>35</v>
      </c>
      <c r="AK25" s="7">
        <f t="shared" si="51"/>
        <v>34</v>
      </c>
      <c r="AL25" s="7">
        <f t="shared" si="51"/>
        <v>33</v>
      </c>
      <c r="AM25" s="7">
        <f t="shared" si="51"/>
        <v>30</v>
      </c>
      <c r="AN25" s="7">
        <f t="shared" si="51"/>
        <v>27</v>
      </c>
      <c r="AO25" s="7">
        <f t="shared" si="51"/>
        <v>22</v>
      </c>
      <c r="AP25" s="7">
        <f t="shared" si="20"/>
        <v>18</v>
      </c>
      <c r="AQ25" s="7">
        <f t="shared" si="21"/>
        <v>14</v>
      </c>
      <c r="AR25" s="7">
        <f t="shared" si="22"/>
        <v>12</v>
      </c>
      <c r="AS25" s="7">
        <f t="shared" si="23"/>
        <v>10</v>
      </c>
      <c r="AT25" s="7">
        <f t="shared" si="24"/>
        <v>10</v>
      </c>
      <c r="AU25" s="7">
        <f t="shared" si="25"/>
        <v>10</v>
      </c>
      <c r="AV25" s="8">
        <f t="shared" si="26"/>
        <v>10</v>
      </c>
      <c r="AX25" s="243">
        <v>1750</v>
      </c>
      <c r="AY25" s="5">
        <f t="shared" si="27"/>
        <v>0</v>
      </c>
      <c r="AZ25" s="5">
        <f t="shared" si="28"/>
        <v>2</v>
      </c>
      <c r="BA25" s="5">
        <f t="shared" si="29"/>
        <v>0</v>
      </c>
      <c r="BB25" s="5">
        <f t="shared" si="30"/>
        <v>1</v>
      </c>
      <c r="BC25" s="5">
        <f t="shared" si="31"/>
        <v>0</v>
      </c>
      <c r="BD25" s="5">
        <f t="shared" si="32"/>
        <v>0</v>
      </c>
      <c r="BE25" s="5">
        <f t="shared" si="33"/>
        <v>0</v>
      </c>
      <c r="BF25" s="5">
        <f t="shared" si="34"/>
        <v>0</v>
      </c>
      <c r="BG25" s="5">
        <f t="shared" si="35"/>
        <v>-1</v>
      </c>
      <c r="BH25" s="5">
        <f t="shared" si="36"/>
        <v>0</v>
      </c>
      <c r="BI25" s="5">
        <f t="shared" si="37"/>
        <v>0</v>
      </c>
      <c r="BJ25" s="5">
        <f t="shared" si="38"/>
        <v>0</v>
      </c>
      <c r="BK25" s="5">
        <f t="shared" si="39"/>
        <v>0</v>
      </c>
      <c r="BL25" s="5">
        <f t="shared" si="40"/>
        <v>0</v>
      </c>
      <c r="BM25" s="5">
        <f t="shared" si="41"/>
        <v>0</v>
      </c>
      <c r="BN25" s="5">
        <f t="shared" si="42"/>
        <v>0</v>
      </c>
      <c r="BO25" s="5">
        <f t="shared" si="43"/>
        <v>0</v>
      </c>
      <c r="BP25" s="5">
        <f t="shared" si="44"/>
        <v>1</v>
      </c>
      <c r="BQ25" s="5">
        <f t="shared" si="45"/>
        <v>0</v>
      </c>
      <c r="BR25" s="5">
        <f t="shared" si="46"/>
        <v>0</v>
      </c>
      <c r="BS25" s="6">
        <f t="shared" si="47"/>
        <v>0</v>
      </c>
      <c r="BV25" s="27">
        <v>8000</v>
      </c>
    </row>
    <row r="26" spans="26:75" s="4" customFormat="1" ht="16.5" customHeight="1" thickBot="1">
      <c r="AX26" s="243">
        <v>2000</v>
      </c>
      <c r="AY26" s="5">
        <f t="shared" si="27"/>
        <v>0</v>
      </c>
      <c r="AZ26" s="5">
        <f t="shared" si="28"/>
        <v>1</v>
      </c>
      <c r="BA26" s="5">
        <f t="shared" si="29"/>
        <v>0</v>
      </c>
      <c r="BB26" s="5">
        <f t="shared" si="30"/>
        <v>0</v>
      </c>
      <c r="BC26" s="5">
        <f t="shared" si="31"/>
        <v>0</v>
      </c>
      <c r="BD26" s="5">
        <f t="shared" si="32"/>
        <v>1</v>
      </c>
      <c r="BE26" s="5">
        <f t="shared" si="33"/>
        <v>0</v>
      </c>
      <c r="BF26" s="5">
        <f t="shared" si="34"/>
        <v>0</v>
      </c>
      <c r="BG26" s="5">
        <f t="shared" si="35"/>
        <v>0</v>
      </c>
      <c r="BH26" s="5">
        <f t="shared" si="36"/>
        <v>0</v>
      </c>
      <c r="BI26" s="5">
        <f t="shared" si="37"/>
        <v>0</v>
      </c>
      <c r="BJ26" s="5">
        <f t="shared" si="38"/>
        <v>0</v>
      </c>
      <c r="BK26" s="5">
        <f t="shared" si="39"/>
        <v>0</v>
      </c>
      <c r="BL26" s="5">
        <f t="shared" si="40"/>
        <v>0</v>
      </c>
      <c r="BM26" s="5">
        <f t="shared" si="41"/>
        <v>0</v>
      </c>
      <c r="BN26" s="5">
        <f t="shared" si="42"/>
        <v>0</v>
      </c>
      <c r="BO26" s="5">
        <f t="shared" si="43"/>
        <v>0</v>
      </c>
      <c r="BP26" s="5">
        <f t="shared" si="44"/>
        <v>0</v>
      </c>
      <c r="BQ26" s="5">
        <f t="shared" si="45"/>
        <v>0</v>
      </c>
      <c r="BR26" s="5">
        <f t="shared" si="46"/>
        <v>0</v>
      </c>
      <c r="BS26" s="6">
        <f t="shared" si="47"/>
        <v>1</v>
      </c>
    </row>
    <row r="27" spans="26:75" s="4" customFormat="1" ht="16.5" customHeight="1" thickBot="1">
      <c r="Z27" s="278">
        <v>2</v>
      </c>
      <c r="AA27" s="279"/>
      <c r="AB27" s="271" t="s">
        <v>28</v>
      </c>
      <c r="AC27" s="272"/>
      <c r="AD27" s="272"/>
      <c r="AE27" s="272"/>
      <c r="AF27" s="272"/>
      <c r="AG27" s="272"/>
      <c r="AH27" s="272"/>
      <c r="AI27" s="272"/>
      <c r="AJ27" s="272"/>
      <c r="AK27" s="272"/>
      <c r="AL27" s="272"/>
      <c r="AM27" s="272"/>
      <c r="AN27" s="272"/>
      <c r="AO27" s="272"/>
      <c r="AP27" s="272"/>
      <c r="AQ27" s="272"/>
      <c r="AR27" s="272"/>
      <c r="AS27" s="272"/>
      <c r="AT27" s="272"/>
      <c r="AU27" s="272"/>
      <c r="AV27" s="273"/>
      <c r="AX27" s="243">
        <v>2500</v>
      </c>
      <c r="AY27" s="5">
        <f t="shared" si="27"/>
        <v>0</v>
      </c>
      <c r="AZ27" s="5">
        <f t="shared" si="28"/>
        <v>4</v>
      </c>
      <c r="BA27" s="5">
        <f t="shared" si="29"/>
        <v>0</v>
      </c>
      <c r="BB27" s="5">
        <f t="shared" si="30"/>
        <v>0</v>
      </c>
      <c r="BC27" s="5">
        <f t="shared" si="31"/>
        <v>0</v>
      </c>
      <c r="BD27" s="5">
        <f t="shared" si="32"/>
        <v>0</v>
      </c>
      <c r="BE27" s="5">
        <f t="shared" si="33"/>
        <v>0</v>
      </c>
      <c r="BF27" s="5">
        <f t="shared" si="34"/>
        <v>0</v>
      </c>
      <c r="BG27" s="5">
        <f t="shared" si="35"/>
        <v>0</v>
      </c>
      <c r="BH27" s="5">
        <f t="shared" si="36"/>
        <v>0</v>
      </c>
      <c r="BI27" s="5">
        <f t="shared" si="37"/>
        <v>0</v>
      </c>
      <c r="BJ27" s="5">
        <f t="shared" si="38"/>
        <v>0</v>
      </c>
      <c r="BK27" s="5">
        <f t="shared" si="39"/>
        <v>1</v>
      </c>
      <c r="BL27" s="5">
        <f t="shared" si="40"/>
        <v>0</v>
      </c>
      <c r="BM27" s="5">
        <f t="shared" si="41"/>
        <v>0</v>
      </c>
      <c r="BN27" s="5">
        <f t="shared" si="42"/>
        <v>0</v>
      </c>
      <c r="BO27" s="5">
        <f t="shared" si="43"/>
        <v>0</v>
      </c>
      <c r="BP27" s="5">
        <f t="shared" si="44"/>
        <v>1</v>
      </c>
      <c r="BQ27" s="5">
        <f t="shared" si="45"/>
        <v>1</v>
      </c>
      <c r="BR27" s="5">
        <f t="shared" si="46"/>
        <v>1</v>
      </c>
      <c r="BS27" s="6">
        <f t="shared" si="47"/>
        <v>2</v>
      </c>
    </row>
    <row r="28" spans="26:75" s="4" customFormat="1" ht="16.5" customHeight="1" thickBot="1">
      <c r="Z28" s="280"/>
      <c r="AA28" s="281"/>
      <c r="AB28" s="274" t="s">
        <v>0</v>
      </c>
      <c r="AC28" s="275"/>
      <c r="AD28" s="275"/>
      <c r="AE28" s="275"/>
      <c r="AF28" s="275"/>
      <c r="AG28" s="275"/>
      <c r="AH28" s="275"/>
      <c r="AI28" s="275"/>
      <c r="AJ28" s="275"/>
      <c r="AK28" s="275"/>
      <c r="AL28" s="275"/>
      <c r="AM28" s="275"/>
      <c r="AN28" s="275"/>
      <c r="AO28" s="275"/>
      <c r="AP28" s="275"/>
      <c r="AQ28" s="275"/>
      <c r="AR28" s="275"/>
      <c r="AS28" s="275"/>
      <c r="AT28" s="275"/>
      <c r="AU28" s="275"/>
      <c r="AV28" s="343"/>
      <c r="AX28" s="243">
        <v>3000</v>
      </c>
      <c r="AY28" s="5">
        <f t="shared" si="27"/>
        <v>0</v>
      </c>
      <c r="AZ28" s="5">
        <f t="shared" si="28"/>
        <v>2</v>
      </c>
      <c r="BA28" s="5">
        <f t="shared" si="29"/>
        <v>0</v>
      </c>
      <c r="BB28" s="5">
        <f t="shared" si="30"/>
        <v>0</v>
      </c>
      <c r="BC28" s="5">
        <f t="shared" si="31"/>
        <v>0</v>
      </c>
      <c r="BD28" s="5">
        <f t="shared" si="32"/>
        <v>0</v>
      </c>
      <c r="BE28" s="5">
        <f t="shared" si="33"/>
        <v>0</v>
      </c>
      <c r="BF28" s="5">
        <f t="shared" si="34"/>
        <v>0</v>
      </c>
      <c r="BG28" s="5">
        <f t="shared" si="35"/>
        <v>0</v>
      </c>
      <c r="BH28" s="5">
        <f t="shared" si="36"/>
        <v>-1</v>
      </c>
      <c r="BI28" s="5">
        <f t="shared" si="37"/>
        <v>-1</v>
      </c>
      <c r="BJ28" s="5">
        <f t="shared" si="38"/>
        <v>0</v>
      </c>
      <c r="BK28" s="5">
        <f t="shared" si="39"/>
        <v>0</v>
      </c>
      <c r="BL28" s="5">
        <f t="shared" si="40"/>
        <v>1</v>
      </c>
      <c r="BM28" s="5">
        <f t="shared" si="41"/>
        <v>0</v>
      </c>
      <c r="BN28" s="5">
        <f t="shared" si="42"/>
        <v>0</v>
      </c>
      <c r="BO28" s="5">
        <f t="shared" si="43"/>
        <v>0</v>
      </c>
      <c r="BP28" s="5">
        <f t="shared" si="44"/>
        <v>1</v>
      </c>
      <c r="BQ28" s="5">
        <f t="shared" si="45"/>
        <v>0</v>
      </c>
      <c r="BR28" s="5">
        <f t="shared" si="46"/>
        <v>-1</v>
      </c>
      <c r="BS28" s="6">
        <f t="shared" si="47"/>
        <v>-1</v>
      </c>
    </row>
    <row r="29" spans="26:75" s="4" customFormat="1" ht="16.5" customHeight="1" thickBot="1">
      <c r="Z29" s="282"/>
      <c r="AA29" s="283"/>
      <c r="AB29" s="235">
        <v>0</v>
      </c>
      <c r="AC29" s="236">
        <v>10</v>
      </c>
      <c r="AD29" s="236">
        <v>20</v>
      </c>
      <c r="AE29" s="236">
        <v>30</v>
      </c>
      <c r="AF29" s="236">
        <v>40</v>
      </c>
      <c r="AG29" s="237">
        <v>50</v>
      </c>
      <c r="AH29" s="237">
        <v>60</v>
      </c>
      <c r="AI29" s="237">
        <v>70</v>
      </c>
      <c r="AJ29" s="237">
        <v>80</v>
      </c>
      <c r="AK29" s="237">
        <v>90</v>
      </c>
      <c r="AL29" s="237">
        <v>100</v>
      </c>
      <c r="AM29" s="237">
        <v>120</v>
      </c>
      <c r="AN29" s="237">
        <v>140</v>
      </c>
      <c r="AO29" s="238">
        <v>160</v>
      </c>
      <c r="AP29" s="238">
        <v>180</v>
      </c>
      <c r="AQ29" s="238">
        <v>200</v>
      </c>
      <c r="AR29" s="238">
        <v>220</v>
      </c>
      <c r="AS29" s="238">
        <v>240</v>
      </c>
      <c r="AT29" s="238">
        <v>260</v>
      </c>
      <c r="AU29" s="238">
        <v>280</v>
      </c>
      <c r="AV29" s="239">
        <v>300</v>
      </c>
      <c r="AX29" s="243">
        <v>3500</v>
      </c>
      <c r="AY29" s="5">
        <f t="shared" si="27"/>
        <v>0</v>
      </c>
      <c r="AZ29" s="5">
        <f t="shared" si="28"/>
        <v>3</v>
      </c>
      <c r="BA29" s="5">
        <f t="shared" si="29"/>
        <v>0</v>
      </c>
      <c r="BB29" s="5">
        <f t="shared" si="30"/>
        <v>0</v>
      </c>
      <c r="BC29" s="5">
        <f t="shared" si="31"/>
        <v>0</v>
      </c>
      <c r="BD29" s="5">
        <f t="shared" si="32"/>
        <v>0</v>
      </c>
      <c r="BE29" s="5">
        <f t="shared" si="33"/>
        <v>0</v>
      </c>
      <c r="BF29" s="5">
        <f t="shared" si="34"/>
        <v>-1</v>
      </c>
      <c r="BG29" s="5">
        <f t="shared" si="35"/>
        <v>0</v>
      </c>
      <c r="BH29" s="5">
        <f t="shared" si="36"/>
        <v>0</v>
      </c>
      <c r="BI29" s="5">
        <f t="shared" si="37"/>
        <v>-1</v>
      </c>
      <c r="BJ29" s="5">
        <f t="shared" si="38"/>
        <v>0</v>
      </c>
      <c r="BK29" s="5">
        <f t="shared" si="39"/>
        <v>0</v>
      </c>
      <c r="BL29" s="5">
        <f t="shared" si="40"/>
        <v>0</v>
      </c>
      <c r="BM29" s="5">
        <f t="shared" si="41"/>
        <v>0</v>
      </c>
      <c r="BN29" s="5">
        <f t="shared" si="42"/>
        <v>0</v>
      </c>
      <c r="BO29" s="5">
        <f t="shared" si="43"/>
        <v>-1</v>
      </c>
      <c r="BP29" s="5">
        <f t="shared" si="44"/>
        <v>0</v>
      </c>
      <c r="BQ29" s="5">
        <f t="shared" si="45"/>
        <v>0</v>
      </c>
      <c r="BR29" s="5">
        <f t="shared" si="46"/>
        <v>0</v>
      </c>
      <c r="BS29" s="6">
        <f t="shared" si="47"/>
        <v>1</v>
      </c>
    </row>
    <row r="30" spans="26:75" s="4" customFormat="1" ht="16.5" customHeight="1">
      <c r="Z30" s="265" t="s">
        <v>1</v>
      </c>
      <c r="AA30" s="235">
        <v>0</v>
      </c>
      <c r="AB30" s="246">
        <v>5</v>
      </c>
      <c r="AC30" s="15">
        <v>5</v>
      </c>
      <c r="AD30" s="15">
        <v>5</v>
      </c>
      <c r="AE30" s="15">
        <v>5</v>
      </c>
      <c r="AF30" s="15">
        <v>5</v>
      </c>
      <c r="AG30" s="15">
        <v>11</v>
      </c>
      <c r="AH30" s="15">
        <v>15</v>
      </c>
      <c r="AI30" s="15">
        <v>6</v>
      </c>
      <c r="AJ30" s="15">
        <v>3</v>
      </c>
      <c r="AK30" s="15">
        <v>2</v>
      </c>
      <c r="AL30" s="15">
        <v>-1</v>
      </c>
      <c r="AM30" s="15">
        <v>-2</v>
      </c>
      <c r="AN30" s="15">
        <v>-5</v>
      </c>
      <c r="AO30" s="15">
        <v>-8</v>
      </c>
      <c r="AP30" s="15">
        <v>-10</v>
      </c>
      <c r="AQ30" s="15">
        <v>-10</v>
      </c>
      <c r="AR30" s="15">
        <v>-10</v>
      </c>
      <c r="AS30" s="15">
        <v>-10</v>
      </c>
      <c r="AT30" s="15">
        <v>-10</v>
      </c>
      <c r="AU30" s="15">
        <v>-10</v>
      </c>
      <c r="AV30" s="16">
        <v>-10</v>
      </c>
      <c r="AX30" s="243">
        <v>4000</v>
      </c>
      <c r="AY30" s="5">
        <f t="shared" si="27"/>
        <v>0</v>
      </c>
      <c r="AZ30" s="5">
        <f t="shared" si="28"/>
        <v>4</v>
      </c>
      <c r="BA30" s="5">
        <f t="shared" si="29"/>
        <v>0</v>
      </c>
      <c r="BB30" s="5">
        <f t="shared" si="30"/>
        <v>0</v>
      </c>
      <c r="BC30" s="5">
        <f t="shared" si="31"/>
        <v>0</v>
      </c>
      <c r="BD30" s="5">
        <f t="shared" si="32"/>
        <v>1</v>
      </c>
      <c r="BE30" s="5">
        <f t="shared" si="33"/>
        <v>0</v>
      </c>
      <c r="BF30" s="5">
        <f t="shared" si="34"/>
        <v>0</v>
      </c>
      <c r="BG30" s="5">
        <f t="shared" si="35"/>
        <v>0</v>
      </c>
      <c r="BH30" s="5">
        <f t="shared" si="36"/>
        <v>-1</v>
      </c>
      <c r="BI30" s="5">
        <f t="shared" si="37"/>
        <v>0</v>
      </c>
      <c r="BJ30" s="5">
        <f t="shared" si="38"/>
        <v>0</v>
      </c>
      <c r="BK30" s="5">
        <f t="shared" si="39"/>
        <v>0</v>
      </c>
      <c r="BL30" s="5">
        <f t="shared" si="40"/>
        <v>0</v>
      </c>
      <c r="BM30" s="5">
        <f t="shared" si="41"/>
        <v>0</v>
      </c>
      <c r="BN30" s="5">
        <f t="shared" si="42"/>
        <v>0</v>
      </c>
      <c r="BO30" s="5">
        <f t="shared" si="43"/>
        <v>0</v>
      </c>
      <c r="BP30" s="5">
        <f t="shared" si="44"/>
        <v>0</v>
      </c>
      <c r="BQ30" s="5">
        <f t="shared" si="45"/>
        <v>0</v>
      </c>
      <c r="BR30" s="5">
        <f t="shared" si="46"/>
        <v>0</v>
      </c>
      <c r="BS30" s="6">
        <f t="shared" si="47"/>
        <v>1</v>
      </c>
    </row>
    <row r="31" spans="26:75" s="4" customFormat="1" ht="16.5" customHeight="1">
      <c r="Z31" s="266"/>
      <c r="AA31" s="242">
        <v>500</v>
      </c>
      <c r="AB31" s="247">
        <v>5</v>
      </c>
      <c r="AC31" s="5">
        <v>5</v>
      </c>
      <c r="AD31" s="5">
        <v>5</v>
      </c>
      <c r="AE31" s="5">
        <v>5</v>
      </c>
      <c r="AF31" s="5">
        <v>5</v>
      </c>
      <c r="AG31" s="5">
        <v>8</v>
      </c>
      <c r="AH31" s="5">
        <v>13</v>
      </c>
      <c r="AI31" s="5">
        <v>6</v>
      </c>
      <c r="AJ31" s="5">
        <v>3</v>
      </c>
      <c r="AK31" s="5">
        <v>2</v>
      </c>
      <c r="AL31" s="5">
        <v>-1</v>
      </c>
      <c r="AM31" s="5">
        <v>-2</v>
      </c>
      <c r="AN31" s="5">
        <v>-5</v>
      </c>
      <c r="AO31" s="5">
        <v>-8</v>
      </c>
      <c r="AP31" s="5">
        <v>-10</v>
      </c>
      <c r="AQ31" s="5">
        <v>-10</v>
      </c>
      <c r="AR31" s="5">
        <v>-10</v>
      </c>
      <c r="AS31" s="5">
        <v>-10</v>
      </c>
      <c r="AT31" s="5">
        <v>-10</v>
      </c>
      <c r="AU31" s="5">
        <v>-10</v>
      </c>
      <c r="AV31" s="6">
        <v>-10</v>
      </c>
      <c r="AX31" s="243">
        <v>4500</v>
      </c>
      <c r="AY31" s="5">
        <f t="shared" si="27"/>
        <v>0</v>
      </c>
      <c r="AZ31" s="5">
        <f t="shared" si="28"/>
        <v>1</v>
      </c>
      <c r="BA31" s="5">
        <f t="shared" si="29"/>
        <v>0</v>
      </c>
      <c r="BB31" s="5">
        <f t="shared" si="30"/>
        <v>0</v>
      </c>
      <c r="BC31" s="5">
        <f t="shared" si="31"/>
        <v>0</v>
      </c>
      <c r="BD31" s="5">
        <f t="shared" si="32"/>
        <v>1</v>
      </c>
      <c r="BE31" s="5">
        <f t="shared" si="33"/>
        <v>0</v>
      </c>
      <c r="BF31" s="5">
        <f t="shared" si="34"/>
        <v>0</v>
      </c>
      <c r="BG31" s="5">
        <f t="shared" si="35"/>
        <v>0</v>
      </c>
      <c r="BH31" s="5">
        <f t="shared" si="36"/>
        <v>-1</v>
      </c>
      <c r="BI31" s="5">
        <f t="shared" si="37"/>
        <v>0</v>
      </c>
      <c r="BJ31" s="5">
        <f t="shared" si="38"/>
        <v>0</v>
      </c>
      <c r="BK31" s="5">
        <f t="shared" si="39"/>
        <v>0</v>
      </c>
      <c r="BL31" s="5">
        <f t="shared" si="40"/>
        <v>0</v>
      </c>
      <c r="BM31" s="5">
        <f t="shared" si="41"/>
        <v>0</v>
      </c>
      <c r="BN31" s="5">
        <f t="shared" si="42"/>
        <v>0</v>
      </c>
      <c r="BO31" s="5">
        <f t="shared" si="43"/>
        <v>0</v>
      </c>
      <c r="BP31" s="5">
        <f t="shared" si="44"/>
        <v>0</v>
      </c>
      <c r="BQ31" s="5">
        <f t="shared" si="45"/>
        <v>0</v>
      </c>
      <c r="BR31" s="5">
        <f t="shared" si="46"/>
        <v>-1</v>
      </c>
      <c r="BS31" s="6">
        <f t="shared" si="47"/>
        <v>0</v>
      </c>
    </row>
    <row r="32" spans="26:75" s="4" customFormat="1" ht="16.5" customHeight="1">
      <c r="Z32" s="266"/>
      <c r="AA32" s="242">
        <v>750</v>
      </c>
      <c r="AB32" s="247">
        <v>5</v>
      </c>
      <c r="AC32" s="5">
        <v>5</v>
      </c>
      <c r="AD32" s="5">
        <v>5</v>
      </c>
      <c r="AE32" s="5">
        <v>5</v>
      </c>
      <c r="AF32" s="5">
        <v>5</v>
      </c>
      <c r="AG32" s="5">
        <v>9</v>
      </c>
      <c r="AH32" s="5">
        <v>13</v>
      </c>
      <c r="AI32" s="5">
        <v>10</v>
      </c>
      <c r="AJ32" s="5">
        <v>6</v>
      </c>
      <c r="AK32" s="5">
        <v>3</v>
      </c>
      <c r="AL32" s="5">
        <v>1</v>
      </c>
      <c r="AM32" s="5">
        <v>-1</v>
      </c>
      <c r="AN32" s="5">
        <v>-4</v>
      </c>
      <c r="AO32" s="5">
        <v>-6</v>
      </c>
      <c r="AP32" s="5">
        <v>-9</v>
      </c>
      <c r="AQ32" s="5">
        <v>-10</v>
      </c>
      <c r="AR32" s="5">
        <v>-10</v>
      </c>
      <c r="AS32" s="5">
        <v>-10</v>
      </c>
      <c r="AT32" s="5">
        <v>-10</v>
      </c>
      <c r="AU32" s="5">
        <v>-10</v>
      </c>
      <c r="AV32" s="6">
        <v>-10</v>
      </c>
      <c r="AX32" s="244">
        <v>5000</v>
      </c>
      <c r="AY32" s="5">
        <f t="shared" si="27"/>
        <v>0</v>
      </c>
      <c r="AZ32" s="5">
        <f t="shared" si="28"/>
        <v>0</v>
      </c>
      <c r="BA32" s="5">
        <f t="shared" si="29"/>
        <v>0</v>
      </c>
      <c r="BB32" s="5">
        <f t="shared" si="30"/>
        <v>0</v>
      </c>
      <c r="BC32" s="5">
        <f t="shared" si="31"/>
        <v>0</v>
      </c>
      <c r="BD32" s="5">
        <f t="shared" si="32"/>
        <v>1</v>
      </c>
      <c r="BE32" s="5">
        <f t="shared" si="33"/>
        <v>0</v>
      </c>
      <c r="BF32" s="5">
        <f t="shared" si="34"/>
        <v>0</v>
      </c>
      <c r="BG32" s="5">
        <f t="shared" si="35"/>
        <v>0</v>
      </c>
      <c r="BH32" s="5">
        <f t="shared" si="36"/>
        <v>0</v>
      </c>
      <c r="BI32" s="5">
        <f t="shared" si="37"/>
        <v>0</v>
      </c>
      <c r="BJ32" s="5">
        <f t="shared" si="38"/>
        <v>0</v>
      </c>
      <c r="BK32" s="5">
        <f t="shared" si="39"/>
        <v>1</v>
      </c>
      <c r="BL32" s="5">
        <f t="shared" si="40"/>
        <v>0</v>
      </c>
      <c r="BM32" s="5">
        <f t="shared" si="41"/>
        <v>0</v>
      </c>
      <c r="BN32" s="5">
        <f t="shared" si="42"/>
        <v>0</v>
      </c>
      <c r="BO32" s="5">
        <f t="shared" si="43"/>
        <v>0</v>
      </c>
      <c r="BP32" s="5">
        <f t="shared" si="44"/>
        <v>1</v>
      </c>
      <c r="BQ32" s="5">
        <f t="shared" si="45"/>
        <v>1</v>
      </c>
      <c r="BR32" s="5">
        <f t="shared" si="46"/>
        <v>1</v>
      </c>
      <c r="BS32" s="6">
        <f t="shared" si="47"/>
        <v>1</v>
      </c>
    </row>
    <row r="33" spans="26:71" s="4" customFormat="1" ht="16.5" customHeight="1">
      <c r="Z33" s="266"/>
      <c r="AA33" s="242">
        <v>1000</v>
      </c>
      <c r="AB33" s="247">
        <v>5</v>
      </c>
      <c r="AC33" s="5">
        <v>5</v>
      </c>
      <c r="AD33" s="5">
        <v>5</v>
      </c>
      <c r="AE33" s="5">
        <v>5</v>
      </c>
      <c r="AF33" s="5">
        <v>9</v>
      </c>
      <c r="AG33" s="5">
        <v>13</v>
      </c>
      <c r="AH33" s="5">
        <v>18</v>
      </c>
      <c r="AI33" s="5">
        <v>10</v>
      </c>
      <c r="AJ33" s="5">
        <v>9</v>
      </c>
      <c r="AK33" s="5">
        <v>7</v>
      </c>
      <c r="AL33" s="5">
        <v>5</v>
      </c>
      <c r="AM33" s="5">
        <v>2</v>
      </c>
      <c r="AN33" s="5">
        <v>-1</v>
      </c>
      <c r="AO33" s="5">
        <v>-4</v>
      </c>
      <c r="AP33" s="5">
        <v>-6</v>
      </c>
      <c r="AQ33" s="5">
        <v>-9</v>
      </c>
      <c r="AR33" s="5">
        <v>-10</v>
      </c>
      <c r="AS33" s="5">
        <v>-10</v>
      </c>
      <c r="AT33" s="5">
        <v>-10</v>
      </c>
      <c r="AU33" s="5">
        <v>-10</v>
      </c>
      <c r="AV33" s="6">
        <v>-10</v>
      </c>
      <c r="AX33" s="244">
        <v>5500</v>
      </c>
      <c r="AY33" s="5">
        <f t="shared" si="27"/>
        <v>0</v>
      </c>
      <c r="AZ33" s="5">
        <f t="shared" si="28"/>
        <v>0</v>
      </c>
      <c r="BA33" s="5">
        <f t="shared" si="29"/>
        <v>0</v>
      </c>
      <c r="BB33" s="5">
        <f t="shared" si="30"/>
        <v>0</v>
      </c>
      <c r="BC33" s="5">
        <f t="shared" si="31"/>
        <v>0</v>
      </c>
      <c r="BD33" s="5">
        <f t="shared" si="32"/>
        <v>1</v>
      </c>
      <c r="BE33" s="5">
        <f t="shared" si="33"/>
        <v>0</v>
      </c>
      <c r="BF33" s="5">
        <f t="shared" si="34"/>
        <v>0</v>
      </c>
      <c r="BG33" s="5">
        <f t="shared" si="35"/>
        <v>0</v>
      </c>
      <c r="BH33" s="5">
        <f t="shared" si="36"/>
        <v>0</v>
      </c>
      <c r="BI33" s="5">
        <f t="shared" si="37"/>
        <v>0</v>
      </c>
      <c r="BJ33" s="5">
        <f t="shared" si="38"/>
        <v>0</v>
      </c>
      <c r="BK33" s="5">
        <f t="shared" si="39"/>
        <v>1</v>
      </c>
      <c r="BL33" s="5">
        <f t="shared" si="40"/>
        <v>0</v>
      </c>
      <c r="BM33" s="5">
        <f t="shared" si="41"/>
        <v>0</v>
      </c>
      <c r="BN33" s="5">
        <f t="shared" si="42"/>
        <v>0</v>
      </c>
      <c r="BO33" s="5">
        <f t="shared" si="43"/>
        <v>0</v>
      </c>
      <c r="BP33" s="5">
        <f t="shared" si="44"/>
        <v>1</v>
      </c>
      <c r="BQ33" s="5">
        <f t="shared" si="45"/>
        <v>0</v>
      </c>
      <c r="BR33" s="5">
        <f t="shared" si="46"/>
        <v>-1</v>
      </c>
      <c r="BS33" s="6">
        <f t="shared" si="47"/>
        <v>-1</v>
      </c>
    </row>
    <row r="34" spans="26:71" s="4" customFormat="1" ht="16.5" customHeight="1">
      <c r="Z34" s="266"/>
      <c r="AA34" s="243">
        <v>1250</v>
      </c>
      <c r="AB34" s="247">
        <v>8</v>
      </c>
      <c r="AC34" s="5">
        <v>8</v>
      </c>
      <c r="AD34" s="5">
        <v>12</v>
      </c>
      <c r="AE34" s="5">
        <v>12</v>
      </c>
      <c r="AF34" s="5">
        <v>16</v>
      </c>
      <c r="AG34" s="5">
        <v>20</v>
      </c>
      <c r="AH34" s="5">
        <v>20</v>
      </c>
      <c r="AI34" s="5">
        <v>17</v>
      </c>
      <c r="AJ34" s="5">
        <v>14</v>
      </c>
      <c r="AK34" s="5">
        <v>11</v>
      </c>
      <c r="AL34" s="5">
        <v>8</v>
      </c>
      <c r="AM34" s="5">
        <v>6</v>
      </c>
      <c r="AN34" s="5">
        <v>3</v>
      </c>
      <c r="AO34" s="5">
        <v>0</v>
      </c>
      <c r="AP34" s="5">
        <v>-3</v>
      </c>
      <c r="AQ34" s="5">
        <v>-6</v>
      </c>
      <c r="AR34" s="5">
        <v>-8</v>
      </c>
      <c r="AS34" s="5">
        <v>-9</v>
      </c>
      <c r="AT34" s="5">
        <v>-10</v>
      </c>
      <c r="AU34" s="5">
        <v>-11</v>
      </c>
      <c r="AV34" s="6">
        <v>-12</v>
      </c>
      <c r="AX34" s="244">
        <v>6000</v>
      </c>
      <c r="AY34" s="5">
        <f t="shared" si="27"/>
        <v>0</v>
      </c>
      <c r="AZ34" s="5">
        <f t="shared" si="28"/>
        <v>0</v>
      </c>
      <c r="BA34" s="5">
        <f t="shared" si="29"/>
        <v>0</v>
      </c>
      <c r="BB34" s="5">
        <f t="shared" si="30"/>
        <v>0</v>
      </c>
      <c r="BC34" s="5">
        <f t="shared" si="31"/>
        <v>1</v>
      </c>
      <c r="BD34" s="5">
        <f t="shared" si="32"/>
        <v>0</v>
      </c>
      <c r="BE34" s="5">
        <f t="shared" si="33"/>
        <v>1</v>
      </c>
      <c r="BF34" s="5">
        <f t="shared" si="34"/>
        <v>0</v>
      </c>
      <c r="BG34" s="5">
        <f t="shared" si="35"/>
        <v>1</v>
      </c>
      <c r="BH34" s="5">
        <f t="shared" si="36"/>
        <v>0</v>
      </c>
      <c r="BI34" s="5">
        <f t="shared" si="37"/>
        <v>0</v>
      </c>
      <c r="BJ34" s="5">
        <f t="shared" si="38"/>
        <v>0</v>
      </c>
      <c r="BK34" s="5">
        <f t="shared" si="39"/>
        <v>1</v>
      </c>
      <c r="BL34" s="5">
        <f t="shared" si="40"/>
        <v>0</v>
      </c>
      <c r="BM34" s="5">
        <f t="shared" si="41"/>
        <v>0</v>
      </c>
      <c r="BN34" s="5">
        <f t="shared" si="42"/>
        <v>0</v>
      </c>
      <c r="BO34" s="5">
        <f t="shared" si="43"/>
        <v>0</v>
      </c>
      <c r="BP34" s="5">
        <f t="shared" si="44"/>
        <v>0</v>
      </c>
      <c r="BQ34" s="5">
        <f t="shared" si="45"/>
        <v>0</v>
      </c>
      <c r="BR34" s="5">
        <f t="shared" si="46"/>
        <v>1</v>
      </c>
      <c r="BS34" s="6">
        <f t="shared" si="47"/>
        <v>1</v>
      </c>
    </row>
    <row r="35" spans="26:71" s="4" customFormat="1" ht="16.5" customHeight="1">
      <c r="Z35" s="266"/>
      <c r="AA35" s="243">
        <v>1500</v>
      </c>
      <c r="AB35" s="247">
        <v>13</v>
      </c>
      <c r="AC35" s="5">
        <v>13</v>
      </c>
      <c r="AD35" s="5">
        <v>19</v>
      </c>
      <c r="AE35" s="5">
        <v>19</v>
      </c>
      <c r="AF35" s="5">
        <v>26</v>
      </c>
      <c r="AG35" s="5">
        <v>24</v>
      </c>
      <c r="AH35" s="5">
        <v>23</v>
      </c>
      <c r="AI35" s="5">
        <v>21</v>
      </c>
      <c r="AJ35" s="5">
        <v>18</v>
      </c>
      <c r="AK35" s="5">
        <v>14</v>
      </c>
      <c r="AL35" s="5">
        <v>11</v>
      </c>
      <c r="AM35" s="5">
        <v>9</v>
      </c>
      <c r="AN35" s="5">
        <v>6</v>
      </c>
      <c r="AO35" s="5">
        <v>3</v>
      </c>
      <c r="AP35" s="5">
        <v>0</v>
      </c>
      <c r="AQ35" s="5">
        <v>-3</v>
      </c>
      <c r="AR35" s="5">
        <v>-6</v>
      </c>
      <c r="AS35" s="5">
        <v>-8</v>
      </c>
      <c r="AT35" s="5">
        <v>-9</v>
      </c>
      <c r="AU35" s="5">
        <v>-10</v>
      </c>
      <c r="AV35" s="6">
        <v>-11</v>
      </c>
      <c r="AX35" s="244">
        <v>6500</v>
      </c>
      <c r="AY35" s="5">
        <f t="shared" si="27"/>
        <v>0</v>
      </c>
      <c r="AZ35" s="5">
        <f t="shared" si="28"/>
        <v>0</v>
      </c>
      <c r="BA35" s="5">
        <f t="shared" si="29"/>
        <v>0</v>
      </c>
      <c r="BB35" s="5">
        <f t="shared" si="30"/>
        <v>0</v>
      </c>
      <c r="BC35" s="5">
        <f t="shared" si="31"/>
        <v>0</v>
      </c>
      <c r="BD35" s="5">
        <f t="shared" si="32"/>
        <v>0</v>
      </c>
      <c r="BE35" s="5">
        <f t="shared" si="33"/>
        <v>0</v>
      </c>
      <c r="BF35" s="5">
        <f t="shared" si="34"/>
        <v>0</v>
      </c>
      <c r="BG35" s="5">
        <f t="shared" si="35"/>
        <v>0</v>
      </c>
      <c r="BH35" s="5">
        <f t="shared" si="36"/>
        <v>-1</v>
      </c>
      <c r="BI35" s="5">
        <f t="shared" si="37"/>
        <v>-1</v>
      </c>
      <c r="BJ35" s="5">
        <f t="shared" si="38"/>
        <v>0</v>
      </c>
      <c r="BK35" s="5">
        <f t="shared" si="39"/>
        <v>0</v>
      </c>
      <c r="BL35" s="5">
        <f t="shared" si="40"/>
        <v>0</v>
      </c>
      <c r="BM35" s="5">
        <f t="shared" si="41"/>
        <v>0</v>
      </c>
      <c r="BN35" s="5">
        <f t="shared" si="42"/>
        <v>1</v>
      </c>
      <c r="BO35" s="5">
        <f t="shared" si="43"/>
        <v>0</v>
      </c>
      <c r="BP35" s="5">
        <f t="shared" si="44"/>
        <v>0</v>
      </c>
      <c r="BQ35" s="5">
        <f t="shared" si="45"/>
        <v>0</v>
      </c>
      <c r="BR35" s="5">
        <f t="shared" si="46"/>
        <v>0</v>
      </c>
      <c r="BS35" s="6">
        <f t="shared" si="47"/>
        <v>1</v>
      </c>
    </row>
    <row r="36" spans="26:71" s="4" customFormat="1" ht="16.5" customHeight="1">
      <c r="Z36" s="266"/>
      <c r="AA36" s="243">
        <v>1750</v>
      </c>
      <c r="AB36" s="247">
        <v>18</v>
      </c>
      <c r="AC36" s="5">
        <v>18</v>
      </c>
      <c r="AD36" s="5">
        <v>25</v>
      </c>
      <c r="AE36" s="5">
        <v>25</v>
      </c>
      <c r="AF36" s="5">
        <v>27</v>
      </c>
      <c r="AG36" s="5">
        <v>25</v>
      </c>
      <c r="AH36" s="5">
        <v>24</v>
      </c>
      <c r="AI36" s="5">
        <v>23</v>
      </c>
      <c r="AJ36" s="5">
        <v>21</v>
      </c>
      <c r="AK36" s="5">
        <v>17</v>
      </c>
      <c r="AL36" s="5">
        <v>14</v>
      </c>
      <c r="AM36" s="5">
        <v>11</v>
      </c>
      <c r="AN36" s="5">
        <v>8</v>
      </c>
      <c r="AO36" s="5">
        <v>5</v>
      </c>
      <c r="AP36" s="5">
        <v>2</v>
      </c>
      <c r="AQ36" s="5">
        <v>-1</v>
      </c>
      <c r="AR36" s="5">
        <v>-4</v>
      </c>
      <c r="AS36" s="5">
        <v>-7</v>
      </c>
      <c r="AT36" s="5">
        <v>-8</v>
      </c>
      <c r="AU36" s="5">
        <v>-9</v>
      </c>
      <c r="AV36" s="6">
        <v>-10</v>
      </c>
      <c r="AX36" s="244">
        <v>7000</v>
      </c>
      <c r="AY36" s="5">
        <f t="shared" si="27"/>
        <v>0</v>
      </c>
      <c r="AZ36" s="5">
        <f t="shared" si="28"/>
        <v>0</v>
      </c>
      <c r="BA36" s="5">
        <f t="shared" si="29"/>
        <v>0</v>
      </c>
      <c r="BB36" s="5">
        <f t="shared" si="30"/>
        <v>0</v>
      </c>
      <c r="BC36" s="5">
        <f t="shared" si="31"/>
        <v>0</v>
      </c>
      <c r="BD36" s="5">
        <f t="shared" si="32"/>
        <v>0</v>
      </c>
      <c r="BE36" s="5">
        <f t="shared" si="33"/>
        <v>0</v>
      </c>
      <c r="BF36" s="5">
        <f t="shared" si="34"/>
        <v>0</v>
      </c>
      <c r="BG36" s="5">
        <f t="shared" si="35"/>
        <v>0</v>
      </c>
      <c r="BH36" s="5">
        <f t="shared" si="36"/>
        <v>-1</v>
      </c>
      <c r="BI36" s="5">
        <f t="shared" si="37"/>
        <v>-1</v>
      </c>
      <c r="BJ36" s="5">
        <f t="shared" si="38"/>
        <v>0</v>
      </c>
      <c r="BK36" s="5">
        <f t="shared" si="39"/>
        <v>-1</v>
      </c>
      <c r="BL36" s="5">
        <f t="shared" si="40"/>
        <v>-1</v>
      </c>
      <c r="BM36" s="5">
        <f t="shared" si="41"/>
        <v>0</v>
      </c>
      <c r="BN36" s="5">
        <f t="shared" si="42"/>
        <v>1</v>
      </c>
      <c r="BO36" s="5">
        <f t="shared" si="43"/>
        <v>0</v>
      </c>
      <c r="BP36" s="5">
        <f t="shared" si="44"/>
        <v>0</v>
      </c>
      <c r="BQ36" s="5">
        <f t="shared" si="45"/>
        <v>0</v>
      </c>
      <c r="BR36" s="5">
        <f t="shared" si="46"/>
        <v>-1</v>
      </c>
      <c r="BS36" s="6">
        <f t="shared" si="47"/>
        <v>-1</v>
      </c>
    </row>
    <row r="37" spans="26:71" s="4" customFormat="1" ht="16.5" customHeight="1">
      <c r="Z37" s="266"/>
      <c r="AA37" s="243">
        <v>2000</v>
      </c>
      <c r="AB37" s="247">
        <v>24</v>
      </c>
      <c r="AC37" s="5">
        <v>24</v>
      </c>
      <c r="AD37" s="5">
        <v>32</v>
      </c>
      <c r="AE37" s="5">
        <v>32</v>
      </c>
      <c r="AF37" s="5">
        <v>29</v>
      </c>
      <c r="AG37" s="5">
        <v>26</v>
      </c>
      <c r="AH37" s="5">
        <v>26</v>
      </c>
      <c r="AI37" s="5">
        <v>25</v>
      </c>
      <c r="AJ37" s="5">
        <v>23</v>
      </c>
      <c r="AK37" s="5">
        <v>20</v>
      </c>
      <c r="AL37" s="5">
        <v>16</v>
      </c>
      <c r="AM37" s="5">
        <v>13</v>
      </c>
      <c r="AN37" s="5">
        <v>9</v>
      </c>
      <c r="AO37" s="5">
        <v>6</v>
      </c>
      <c r="AP37" s="5">
        <v>3</v>
      </c>
      <c r="AQ37" s="5">
        <v>0</v>
      </c>
      <c r="AR37" s="5">
        <v>-3</v>
      </c>
      <c r="AS37" s="5">
        <v>-5</v>
      </c>
      <c r="AT37" s="5">
        <v>-7</v>
      </c>
      <c r="AU37" s="5">
        <v>-9</v>
      </c>
      <c r="AV37" s="6">
        <v>-11</v>
      </c>
      <c r="AX37" s="244">
        <v>7500</v>
      </c>
      <c r="AY37" s="5">
        <f t="shared" si="27"/>
        <v>0</v>
      </c>
      <c r="AZ37" s="5">
        <f t="shared" si="28"/>
        <v>0</v>
      </c>
      <c r="BA37" s="5">
        <f t="shared" si="29"/>
        <v>0</v>
      </c>
      <c r="BB37" s="5">
        <f t="shared" si="30"/>
        <v>0</v>
      </c>
      <c r="BC37" s="5">
        <f t="shared" si="31"/>
        <v>0</v>
      </c>
      <c r="BD37" s="5">
        <f t="shared" si="32"/>
        <v>0</v>
      </c>
      <c r="BE37" s="5">
        <f t="shared" si="33"/>
        <v>0</v>
      </c>
      <c r="BF37" s="5">
        <f t="shared" si="34"/>
        <v>0</v>
      </c>
      <c r="BG37" s="5">
        <f t="shared" si="35"/>
        <v>0</v>
      </c>
      <c r="BH37" s="5">
        <f t="shared" si="36"/>
        <v>0</v>
      </c>
      <c r="BI37" s="5">
        <f t="shared" si="37"/>
        <v>-1</v>
      </c>
      <c r="BJ37" s="5">
        <f t="shared" si="38"/>
        <v>0</v>
      </c>
      <c r="BK37" s="5">
        <f t="shared" si="39"/>
        <v>-1</v>
      </c>
      <c r="BL37" s="5">
        <f t="shared" si="40"/>
        <v>0</v>
      </c>
      <c r="BM37" s="5">
        <f t="shared" si="41"/>
        <v>0</v>
      </c>
      <c r="BN37" s="5">
        <f t="shared" si="42"/>
        <v>1</v>
      </c>
      <c r="BO37" s="5">
        <f t="shared" si="43"/>
        <v>0</v>
      </c>
      <c r="BP37" s="5">
        <f t="shared" si="44"/>
        <v>0</v>
      </c>
      <c r="BQ37" s="5">
        <f t="shared" si="45"/>
        <v>0</v>
      </c>
      <c r="BR37" s="5">
        <f t="shared" si="46"/>
        <v>0</v>
      </c>
      <c r="BS37" s="6">
        <f t="shared" si="47"/>
        <v>0</v>
      </c>
    </row>
    <row r="38" spans="26:71" s="4" customFormat="1" ht="16.5" customHeight="1" thickBot="1">
      <c r="Z38" s="266"/>
      <c r="AA38" s="243">
        <v>2500</v>
      </c>
      <c r="AB38" s="247">
        <v>24</v>
      </c>
      <c r="AC38" s="5">
        <v>24</v>
      </c>
      <c r="AD38" s="5">
        <v>34</v>
      </c>
      <c r="AE38" s="5">
        <v>34</v>
      </c>
      <c r="AF38" s="5">
        <v>32</v>
      </c>
      <c r="AG38" s="5">
        <v>30</v>
      </c>
      <c r="AH38" s="5">
        <v>29</v>
      </c>
      <c r="AI38" s="5">
        <v>27</v>
      </c>
      <c r="AJ38" s="5">
        <v>25</v>
      </c>
      <c r="AK38" s="5">
        <v>22</v>
      </c>
      <c r="AL38" s="5">
        <v>19</v>
      </c>
      <c r="AM38" s="5">
        <v>15</v>
      </c>
      <c r="AN38" s="5">
        <v>10</v>
      </c>
      <c r="AO38" s="5">
        <v>7</v>
      </c>
      <c r="AP38" s="5">
        <v>5</v>
      </c>
      <c r="AQ38" s="5">
        <v>2</v>
      </c>
      <c r="AR38" s="13">
        <v>-1</v>
      </c>
      <c r="AS38" s="13">
        <v>-4</v>
      </c>
      <c r="AT38" s="13">
        <v>-6</v>
      </c>
      <c r="AU38" s="13">
        <v>-8</v>
      </c>
      <c r="AV38" s="14">
        <v>-10</v>
      </c>
      <c r="AX38" s="245">
        <v>11000</v>
      </c>
      <c r="AY38" s="7">
        <f t="shared" si="27"/>
        <v>0</v>
      </c>
      <c r="AZ38" s="7">
        <f t="shared" si="28"/>
        <v>0</v>
      </c>
      <c r="BA38" s="7">
        <f t="shared" si="29"/>
        <v>0</v>
      </c>
      <c r="BB38" s="7">
        <f t="shared" si="30"/>
        <v>0</v>
      </c>
      <c r="BC38" s="7">
        <f t="shared" si="31"/>
        <v>0</v>
      </c>
      <c r="BD38" s="7">
        <f t="shared" si="32"/>
        <v>0</v>
      </c>
      <c r="BE38" s="7">
        <f t="shared" si="33"/>
        <v>0</v>
      </c>
      <c r="BF38" s="7">
        <f t="shared" si="34"/>
        <v>0</v>
      </c>
      <c r="BG38" s="7">
        <f t="shared" si="35"/>
        <v>0</v>
      </c>
      <c r="BH38" s="7">
        <f t="shared" si="36"/>
        <v>0</v>
      </c>
      <c r="BI38" s="7">
        <f t="shared" si="37"/>
        <v>0</v>
      </c>
      <c r="BJ38" s="7">
        <f t="shared" si="38"/>
        <v>0</v>
      </c>
      <c r="BK38" s="7">
        <f t="shared" si="39"/>
        <v>0</v>
      </c>
      <c r="BL38" s="7">
        <f t="shared" si="40"/>
        <v>0</v>
      </c>
      <c r="BM38" s="7">
        <f t="shared" si="41"/>
        <v>0</v>
      </c>
      <c r="BN38" s="7">
        <f t="shared" si="42"/>
        <v>0</v>
      </c>
      <c r="BO38" s="7">
        <f t="shared" si="43"/>
        <v>0</v>
      </c>
      <c r="BP38" s="7">
        <f t="shared" si="44"/>
        <v>0</v>
      </c>
      <c r="BQ38" s="7">
        <f t="shared" si="45"/>
        <v>0</v>
      </c>
      <c r="BR38" s="7">
        <f t="shared" si="46"/>
        <v>0</v>
      </c>
      <c r="BS38" s="8">
        <f t="shared" si="47"/>
        <v>0</v>
      </c>
    </row>
    <row r="39" spans="26:71" s="4" customFormat="1" ht="16.5" customHeight="1">
      <c r="Z39" s="266"/>
      <c r="AA39" s="243">
        <v>3000</v>
      </c>
      <c r="AB39" s="247">
        <v>28</v>
      </c>
      <c r="AC39" s="5">
        <v>28</v>
      </c>
      <c r="AD39" s="5">
        <v>38</v>
      </c>
      <c r="AE39" s="5">
        <v>38</v>
      </c>
      <c r="AF39" s="5">
        <v>35</v>
      </c>
      <c r="AG39" s="5">
        <v>32</v>
      </c>
      <c r="AH39" s="5">
        <v>30</v>
      </c>
      <c r="AI39" s="5">
        <v>29</v>
      </c>
      <c r="AJ39" s="5">
        <v>27</v>
      </c>
      <c r="AK39" s="5">
        <v>25</v>
      </c>
      <c r="AL39" s="5">
        <v>22</v>
      </c>
      <c r="AM39" s="5">
        <v>17</v>
      </c>
      <c r="AN39" s="5">
        <v>13</v>
      </c>
      <c r="AO39" s="5">
        <v>8</v>
      </c>
      <c r="AP39" s="5">
        <v>6</v>
      </c>
      <c r="AQ39" s="12">
        <v>4</v>
      </c>
      <c r="AR39" s="17">
        <v>1</v>
      </c>
      <c r="AS39" s="18">
        <v>-2</v>
      </c>
      <c r="AT39" s="18">
        <v>-3</v>
      </c>
      <c r="AU39" s="18">
        <v>-4</v>
      </c>
      <c r="AV39" s="19">
        <v>-5</v>
      </c>
    </row>
    <row r="40" spans="26:71" s="4" customFormat="1" ht="16.5" customHeight="1">
      <c r="Z40" s="266"/>
      <c r="AA40" s="243">
        <v>3500</v>
      </c>
      <c r="AB40" s="247">
        <v>28</v>
      </c>
      <c r="AC40" s="5">
        <v>28</v>
      </c>
      <c r="AD40" s="5">
        <v>38</v>
      </c>
      <c r="AE40" s="5">
        <v>38</v>
      </c>
      <c r="AF40" s="5">
        <v>35</v>
      </c>
      <c r="AG40" s="5">
        <v>32</v>
      </c>
      <c r="AH40" s="5">
        <v>31</v>
      </c>
      <c r="AI40" s="5">
        <v>30</v>
      </c>
      <c r="AJ40" s="5">
        <v>28</v>
      </c>
      <c r="AK40" s="5">
        <v>26</v>
      </c>
      <c r="AL40" s="5">
        <v>24</v>
      </c>
      <c r="AM40" s="5">
        <v>19</v>
      </c>
      <c r="AN40" s="5">
        <v>15</v>
      </c>
      <c r="AO40" s="5">
        <v>11</v>
      </c>
      <c r="AP40" s="5">
        <v>8</v>
      </c>
      <c r="AQ40" s="12">
        <v>6</v>
      </c>
      <c r="AR40" s="20">
        <v>4</v>
      </c>
      <c r="AS40" s="10">
        <v>1</v>
      </c>
      <c r="AT40" s="10">
        <v>-1</v>
      </c>
      <c r="AU40" s="10">
        <v>-3</v>
      </c>
      <c r="AV40" s="11">
        <v>-5</v>
      </c>
    </row>
    <row r="41" spans="26:71" s="4" customFormat="1" ht="16.5" customHeight="1" thickBot="1">
      <c r="Z41" s="266"/>
      <c r="AA41" s="243">
        <v>4000</v>
      </c>
      <c r="AB41" s="247">
        <v>28</v>
      </c>
      <c r="AC41" s="5">
        <v>28</v>
      </c>
      <c r="AD41" s="5">
        <v>38</v>
      </c>
      <c r="AE41" s="5">
        <v>38</v>
      </c>
      <c r="AF41" s="5">
        <v>35</v>
      </c>
      <c r="AG41" s="5">
        <v>32</v>
      </c>
      <c r="AH41" s="5">
        <v>31</v>
      </c>
      <c r="AI41" s="5">
        <v>30</v>
      </c>
      <c r="AJ41" s="5">
        <v>28</v>
      </c>
      <c r="AK41" s="5">
        <v>27</v>
      </c>
      <c r="AL41" s="5">
        <v>24</v>
      </c>
      <c r="AM41" s="5">
        <v>20</v>
      </c>
      <c r="AN41" s="5">
        <v>16</v>
      </c>
      <c r="AO41" s="5">
        <v>12</v>
      </c>
      <c r="AP41" s="5">
        <v>9</v>
      </c>
      <c r="AQ41" s="12">
        <v>7</v>
      </c>
      <c r="AR41" s="21">
        <v>5</v>
      </c>
      <c r="AS41" s="22">
        <v>3</v>
      </c>
      <c r="AT41" s="22">
        <v>1</v>
      </c>
      <c r="AU41" s="22">
        <v>-1</v>
      </c>
      <c r="AV41" s="23">
        <v>-3</v>
      </c>
    </row>
    <row r="42" spans="26:71" s="4" customFormat="1" ht="16.5" customHeight="1" thickBot="1">
      <c r="Z42" s="266"/>
      <c r="AA42" s="243">
        <v>4500</v>
      </c>
      <c r="AB42" s="247">
        <v>33</v>
      </c>
      <c r="AC42" s="5">
        <v>33</v>
      </c>
      <c r="AD42" s="5">
        <v>38</v>
      </c>
      <c r="AE42" s="5">
        <v>38</v>
      </c>
      <c r="AF42" s="5">
        <v>35</v>
      </c>
      <c r="AG42" s="5">
        <v>32</v>
      </c>
      <c r="AH42" s="5">
        <v>31</v>
      </c>
      <c r="AI42" s="5">
        <v>30</v>
      </c>
      <c r="AJ42" s="5">
        <v>28</v>
      </c>
      <c r="AK42" s="5">
        <v>27</v>
      </c>
      <c r="AL42" s="5">
        <v>24</v>
      </c>
      <c r="AM42" s="5">
        <v>20</v>
      </c>
      <c r="AN42" s="5">
        <v>16</v>
      </c>
      <c r="AO42" s="5">
        <v>13</v>
      </c>
      <c r="AP42" s="5">
        <v>10</v>
      </c>
      <c r="AQ42" s="5">
        <v>8</v>
      </c>
      <c r="AR42" s="15">
        <v>6</v>
      </c>
      <c r="AS42" s="15">
        <v>3</v>
      </c>
      <c r="AT42" s="15">
        <v>2</v>
      </c>
      <c r="AU42" s="15">
        <v>1</v>
      </c>
      <c r="AV42" s="16">
        <v>0</v>
      </c>
      <c r="AX42" s="255"/>
      <c r="AY42" s="344" t="s">
        <v>6</v>
      </c>
      <c r="AZ42" s="345"/>
      <c r="BA42" s="345"/>
      <c r="BB42" s="345"/>
      <c r="BC42" s="345"/>
      <c r="BD42" s="345"/>
      <c r="BE42" s="345"/>
      <c r="BF42" s="345"/>
      <c r="BG42" s="345"/>
      <c r="BH42" s="345"/>
      <c r="BI42" s="345"/>
      <c r="BJ42" s="345"/>
      <c r="BK42" s="345"/>
      <c r="BL42" s="345"/>
      <c r="BM42" s="345"/>
      <c r="BN42" s="345"/>
      <c r="BO42" s="345"/>
      <c r="BP42" s="345"/>
      <c r="BQ42" s="345"/>
      <c r="BR42" s="345"/>
      <c r="BS42" s="346"/>
    </row>
    <row r="43" spans="26:71" s="4" customFormat="1" ht="16.5" customHeight="1" thickBot="1">
      <c r="Z43" s="266"/>
      <c r="AA43" s="244">
        <v>5000</v>
      </c>
      <c r="AB43" s="247">
        <v>38</v>
      </c>
      <c r="AC43" s="5">
        <v>38</v>
      </c>
      <c r="AD43" s="5">
        <v>38</v>
      </c>
      <c r="AE43" s="5">
        <v>38</v>
      </c>
      <c r="AF43" s="5">
        <v>35</v>
      </c>
      <c r="AG43" s="5">
        <v>32</v>
      </c>
      <c r="AH43" s="5">
        <v>31</v>
      </c>
      <c r="AI43" s="5">
        <v>30</v>
      </c>
      <c r="AJ43" s="5">
        <v>28</v>
      </c>
      <c r="AK43" s="5">
        <v>27</v>
      </c>
      <c r="AL43" s="5">
        <v>24</v>
      </c>
      <c r="AM43" s="5">
        <v>20</v>
      </c>
      <c r="AN43" s="5">
        <v>16</v>
      </c>
      <c r="AO43" s="5">
        <v>13</v>
      </c>
      <c r="AP43" s="5">
        <v>11</v>
      </c>
      <c r="AQ43" s="5">
        <v>9</v>
      </c>
      <c r="AR43" s="5">
        <v>6</v>
      </c>
      <c r="AS43" s="5">
        <v>3</v>
      </c>
      <c r="AT43" s="5">
        <v>2</v>
      </c>
      <c r="AU43" s="5">
        <v>1</v>
      </c>
      <c r="AV43" s="6">
        <v>0</v>
      </c>
      <c r="AX43" s="256"/>
      <c r="AY43" s="235">
        <v>0</v>
      </c>
      <c r="AZ43" s="236">
        <v>10</v>
      </c>
      <c r="BA43" s="236">
        <v>20</v>
      </c>
      <c r="BB43" s="236">
        <v>30</v>
      </c>
      <c r="BC43" s="236">
        <v>40</v>
      </c>
      <c r="BD43" s="237">
        <v>50</v>
      </c>
      <c r="BE43" s="237">
        <v>60</v>
      </c>
      <c r="BF43" s="237">
        <v>70</v>
      </c>
      <c r="BG43" s="237">
        <v>80</v>
      </c>
      <c r="BH43" s="237">
        <v>90</v>
      </c>
      <c r="BI43" s="237">
        <v>100</v>
      </c>
      <c r="BJ43" s="237">
        <v>120</v>
      </c>
      <c r="BK43" s="237">
        <v>140</v>
      </c>
      <c r="BL43" s="238">
        <v>160</v>
      </c>
      <c r="BM43" s="238">
        <v>180</v>
      </c>
      <c r="BN43" s="238">
        <v>200</v>
      </c>
      <c r="BO43" s="238">
        <v>220</v>
      </c>
      <c r="BP43" s="238">
        <v>240</v>
      </c>
      <c r="BQ43" s="238">
        <v>260</v>
      </c>
      <c r="BR43" s="238">
        <v>280</v>
      </c>
      <c r="BS43" s="239">
        <v>300</v>
      </c>
    </row>
    <row r="44" spans="26:71" s="4" customFormat="1" ht="16.5" customHeight="1">
      <c r="Z44" s="266"/>
      <c r="AA44" s="244">
        <v>5500</v>
      </c>
      <c r="AB44" s="247">
        <v>38</v>
      </c>
      <c r="AC44" s="5">
        <v>38</v>
      </c>
      <c r="AD44" s="5">
        <v>38</v>
      </c>
      <c r="AE44" s="5">
        <v>38</v>
      </c>
      <c r="AF44" s="5">
        <v>35</v>
      </c>
      <c r="AG44" s="5">
        <v>32</v>
      </c>
      <c r="AH44" s="5">
        <v>31</v>
      </c>
      <c r="AI44" s="5">
        <v>30</v>
      </c>
      <c r="AJ44" s="5">
        <v>29</v>
      </c>
      <c r="AK44" s="5">
        <v>27</v>
      </c>
      <c r="AL44" s="5">
        <v>25</v>
      </c>
      <c r="AM44" s="5">
        <v>21</v>
      </c>
      <c r="AN44" s="5">
        <v>17</v>
      </c>
      <c r="AO44" s="5">
        <v>14</v>
      </c>
      <c r="AP44" s="5">
        <v>12</v>
      </c>
      <c r="AQ44" s="5">
        <v>9</v>
      </c>
      <c r="AR44" s="5">
        <v>7</v>
      </c>
      <c r="AS44" s="5">
        <v>4</v>
      </c>
      <c r="AT44" s="5">
        <v>4</v>
      </c>
      <c r="AU44" s="5">
        <v>4</v>
      </c>
      <c r="AV44" s="6">
        <v>4</v>
      </c>
      <c r="AX44" s="254">
        <v>0</v>
      </c>
      <c r="AY44" s="5">
        <f>AB30-AB54</f>
        <v>0</v>
      </c>
      <c r="AZ44" s="5">
        <f t="shared" ref="AZ44:BQ44" si="52">AC30-AC54</f>
        <v>0</v>
      </c>
      <c r="BA44" s="5">
        <f t="shared" si="52"/>
        <v>0</v>
      </c>
      <c r="BB44" s="5">
        <f t="shared" si="52"/>
        <v>0</v>
      </c>
      <c r="BC44" s="5">
        <f t="shared" si="52"/>
        <v>0</v>
      </c>
      <c r="BD44" s="5">
        <f t="shared" si="52"/>
        <v>0</v>
      </c>
      <c r="BE44" s="5">
        <f t="shared" si="52"/>
        <v>0</v>
      </c>
      <c r="BF44" s="5">
        <f t="shared" si="52"/>
        <v>0</v>
      </c>
      <c r="BG44" s="5">
        <f t="shared" si="52"/>
        <v>0</v>
      </c>
      <c r="BH44" s="5">
        <f t="shared" si="52"/>
        <v>0</v>
      </c>
      <c r="BI44" s="5">
        <f t="shared" si="52"/>
        <v>0</v>
      </c>
      <c r="BJ44" s="5">
        <f t="shared" si="52"/>
        <v>0</v>
      </c>
      <c r="BK44" s="5">
        <f t="shared" si="52"/>
        <v>0</v>
      </c>
      <c r="BL44" s="5">
        <f t="shared" si="52"/>
        <v>0</v>
      </c>
      <c r="BM44" s="5">
        <f t="shared" si="52"/>
        <v>0</v>
      </c>
      <c r="BN44" s="5">
        <f t="shared" si="52"/>
        <v>0</v>
      </c>
      <c r="BO44" s="5">
        <f t="shared" si="52"/>
        <v>0</v>
      </c>
      <c r="BP44" s="5">
        <f t="shared" si="52"/>
        <v>0</v>
      </c>
      <c r="BQ44" s="5">
        <f t="shared" si="52"/>
        <v>0</v>
      </c>
      <c r="BR44" s="5">
        <f t="shared" ref="BR44:BR63" si="53">AU30-AU54</f>
        <v>0</v>
      </c>
      <c r="BS44" s="6">
        <f t="shared" ref="BS44:BS63" si="54">AV30-AV54</f>
        <v>0</v>
      </c>
    </row>
    <row r="45" spans="26:71" s="4" customFormat="1" ht="16.5" customHeight="1">
      <c r="Z45" s="266"/>
      <c r="AA45" s="244">
        <v>6000</v>
      </c>
      <c r="AB45" s="247">
        <v>38</v>
      </c>
      <c r="AC45" s="5">
        <v>38</v>
      </c>
      <c r="AD45" s="5">
        <v>38</v>
      </c>
      <c r="AE45" s="5">
        <v>38</v>
      </c>
      <c r="AF45" s="5">
        <v>35</v>
      </c>
      <c r="AG45" s="5">
        <v>34</v>
      </c>
      <c r="AH45" s="5">
        <v>32</v>
      </c>
      <c r="AI45" s="5">
        <v>32</v>
      </c>
      <c r="AJ45" s="5">
        <v>30</v>
      </c>
      <c r="AK45" s="5">
        <v>29</v>
      </c>
      <c r="AL45" s="5">
        <v>26</v>
      </c>
      <c r="AM45" s="5">
        <v>23</v>
      </c>
      <c r="AN45" s="5">
        <v>19</v>
      </c>
      <c r="AO45" s="5">
        <v>16</v>
      </c>
      <c r="AP45" s="5">
        <v>13</v>
      </c>
      <c r="AQ45" s="5">
        <v>10</v>
      </c>
      <c r="AR45" s="5">
        <v>8</v>
      </c>
      <c r="AS45" s="5">
        <v>6</v>
      </c>
      <c r="AT45" s="5">
        <v>5</v>
      </c>
      <c r="AU45" s="5">
        <v>4</v>
      </c>
      <c r="AV45" s="6">
        <v>3</v>
      </c>
      <c r="AX45" s="242">
        <v>500</v>
      </c>
      <c r="AY45" s="5">
        <f t="shared" ref="AY45:AY63" si="55">AB31-AB55</f>
        <v>0</v>
      </c>
      <c r="AZ45" s="5">
        <f t="shared" ref="AZ45:AZ63" si="56">AC31-AC55</f>
        <v>0</v>
      </c>
      <c r="BA45" s="5">
        <f t="shared" ref="BA45:BA63" si="57">AD31-AD55</f>
        <v>0</v>
      </c>
      <c r="BB45" s="5">
        <f t="shared" ref="BB45:BB63" si="58">AE31-AE55</f>
        <v>0</v>
      </c>
      <c r="BC45" s="5">
        <f t="shared" ref="BC45:BC63" si="59">AF31-AF55</f>
        <v>0</v>
      </c>
      <c r="BD45" s="5">
        <f t="shared" ref="BD45:BD63" si="60">AG31-AG55</f>
        <v>0</v>
      </c>
      <c r="BE45" s="5">
        <f t="shared" ref="BE45:BE63" si="61">AH31-AH55</f>
        <v>0</v>
      </c>
      <c r="BF45" s="5">
        <f t="shared" ref="BF45:BF63" si="62">AI31-AI55</f>
        <v>0</v>
      </c>
      <c r="BG45" s="5">
        <f t="shared" ref="BG45:BG63" si="63">AJ31-AJ55</f>
        <v>0</v>
      </c>
      <c r="BH45" s="5">
        <f t="shared" ref="BH45:BH63" si="64">AK31-AK55</f>
        <v>0</v>
      </c>
      <c r="BI45" s="5">
        <f t="shared" ref="BI45:BI63" si="65">AL31-AL55</f>
        <v>0</v>
      </c>
      <c r="BJ45" s="5">
        <f t="shared" ref="BJ45:BJ63" si="66">AM31-AM55</f>
        <v>0</v>
      </c>
      <c r="BK45" s="5">
        <f t="shared" ref="BK45:BK63" si="67">AN31-AN55</f>
        <v>0</v>
      </c>
      <c r="BL45" s="5">
        <f t="shared" ref="BL45:BL63" si="68">AO31-AO55</f>
        <v>0</v>
      </c>
      <c r="BM45" s="5">
        <f t="shared" ref="BM45:BM63" si="69">AP31-AP55</f>
        <v>0</v>
      </c>
      <c r="BN45" s="5">
        <f t="shared" ref="BN45:BN63" si="70">AQ31-AQ55</f>
        <v>0</v>
      </c>
      <c r="BO45" s="5">
        <f t="shared" ref="BO45:BO63" si="71">AR31-AR55</f>
        <v>0</v>
      </c>
      <c r="BP45" s="5">
        <f t="shared" ref="BP45:BP63" si="72">AS31-AS55</f>
        <v>0</v>
      </c>
      <c r="BQ45" s="5">
        <f t="shared" ref="BQ45:BQ63" si="73">AT31-AT55</f>
        <v>0</v>
      </c>
      <c r="BR45" s="5">
        <f t="shared" si="53"/>
        <v>0</v>
      </c>
      <c r="BS45" s="6">
        <f t="shared" si="54"/>
        <v>0</v>
      </c>
    </row>
    <row r="46" spans="26:71" s="4" customFormat="1" ht="16.5" customHeight="1">
      <c r="Z46" s="266"/>
      <c r="AA46" s="244">
        <v>6500</v>
      </c>
      <c r="AB46" s="247">
        <v>38</v>
      </c>
      <c r="AC46" s="5">
        <v>38</v>
      </c>
      <c r="AD46" s="5">
        <v>38</v>
      </c>
      <c r="AE46" s="5">
        <v>38</v>
      </c>
      <c r="AF46" s="5">
        <v>38</v>
      </c>
      <c r="AG46" s="5">
        <v>37</v>
      </c>
      <c r="AH46" s="5">
        <v>35</v>
      </c>
      <c r="AI46" s="5">
        <v>34</v>
      </c>
      <c r="AJ46" s="5">
        <v>33</v>
      </c>
      <c r="AK46" s="5">
        <v>32</v>
      </c>
      <c r="AL46" s="5">
        <v>30</v>
      </c>
      <c r="AM46" s="5">
        <v>26</v>
      </c>
      <c r="AN46" s="5">
        <v>23</v>
      </c>
      <c r="AO46" s="5">
        <v>19</v>
      </c>
      <c r="AP46" s="5">
        <v>15</v>
      </c>
      <c r="AQ46" s="5">
        <v>11</v>
      </c>
      <c r="AR46" s="5">
        <v>9</v>
      </c>
      <c r="AS46" s="5">
        <v>8</v>
      </c>
      <c r="AT46" s="5">
        <v>7</v>
      </c>
      <c r="AU46" s="5">
        <v>6</v>
      </c>
      <c r="AV46" s="6">
        <v>5</v>
      </c>
      <c r="AX46" s="242">
        <v>750</v>
      </c>
      <c r="AY46" s="5">
        <f t="shared" si="55"/>
        <v>0</v>
      </c>
      <c r="AZ46" s="5">
        <f t="shared" si="56"/>
        <v>0</v>
      </c>
      <c r="BA46" s="5">
        <f t="shared" si="57"/>
        <v>0</v>
      </c>
      <c r="BB46" s="5">
        <f t="shared" si="58"/>
        <v>0</v>
      </c>
      <c r="BC46" s="5">
        <f t="shared" si="59"/>
        <v>0</v>
      </c>
      <c r="BD46" s="5">
        <f t="shared" si="60"/>
        <v>0</v>
      </c>
      <c r="BE46" s="5">
        <f t="shared" si="61"/>
        <v>0</v>
      </c>
      <c r="BF46" s="5">
        <f t="shared" si="62"/>
        <v>0</v>
      </c>
      <c r="BG46" s="5">
        <f t="shared" si="63"/>
        <v>0</v>
      </c>
      <c r="BH46" s="5">
        <f t="shared" si="64"/>
        <v>1</v>
      </c>
      <c r="BI46" s="5">
        <f t="shared" si="65"/>
        <v>3</v>
      </c>
      <c r="BJ46" s="5">
        <f t="shared" si="66"/>
        <v>2</v>
      </c>
      <c r="BK46" s="5">
        <f t="shared" si="67"/>
        <v>1</v>
      </c>
      <c r="BL46" s="5">
        <f t="shared" si="68"/>
        <v>2</v>
      </c>
      <c r="BM46" s="5">
        <f t="shared" si="69"/>
        <v>1</v>
      </c>
      <c r="BN46" s="5">
        <f t="shared" si="70"/>
        <v>0</v>
      </c>
      <c r="BO46" s="5">
        <f t="shared" si="71"/>
        <v>0</v>
      </c>
      <c r="BP46" s="5">
        <f t="shared" si="72"/>
        <v>0</v>
      </c>
      <c r="BQ46" s="5">
        <f t="shared" si="73"/>
        <v>0</v>
      </c>
      <c r="BR46" s="5">
        <f t="shared" si="53"/>
        <v>0</v>
      </c>
      <c r="BS46" s="6">
        <f t="shared" si="54"/>
        <v>0</v>
      </c>
    </row>
    <row r="47" spans="26:71" s="4" customFormat="1" ht="16.5" customHeight="1">
      <c r="Z47" s="266"/>
      <c r="AA47" s="244">
        <v>7000</v>
      </c>
      <c r="AB47" s="247">
        <v>38</v>
      </c>
      <c r="AC47" s="5">
        <v>38</v>
      </c>
      <c r="AD47" s="5">
        <v>38</v>
      </c>
      <c r="AE47" s="5">
        <v>38</v>
      </c>
      <c r="AF47" s="5">
        <v>38</v>
      </c>
      <c r="AG47" s="5">
        <v>37</v>
      </c>
      <c r="AH47" s="5">
        <v>36</v>
      </c>
      <c r="AI47" s="5">
        <v>35</v>
      </c>
      <c r="AJ47" s="5">
        <v>34</v>
      </c>
      <c r="AK47" s="5">
        <v>34</v>
      </c>
      <c r="AL47" s="5">
        <v>32</v>
      </c>
      <c r="AM47" s="5">
        <v>29</v>
      </c>
      <c r="AN47" s="5">
        <v>26</v>
      </c>
      <c r="AO47" s="5">
        <v>22</v>
      </c>
      <c r="AP47" s="5">
        <v>17</v>
      </c>
      <c r="AQ47" s="5">
        <v>12</v>
      </c>
      <c r="AR47" s="5">
        <v>10</v>
      </c>
      <c r="AS47" s="5">
        <v>9</v>
      </c>
      <c r="AT47" s="5">
        <v>9</v>
      </c>
      <c r="AU47" s="5">
        <v>9</v>
      </c>
      <c r="AV47" s="6">
        <v>9</v>
      </c>
      <c r="AX47" s="242">
        <v>1000</v>
      </c>
      <c r="AY47" s="5">
        <f t="shared" si="55"/>
        <v>0</v>
      </c>
      <c r="AZ47" s="5">
        <f t="shared" si="56"/>
        <v>0</v>
      </c>
      <c r="BA47" s="5">
        <f t="shared" si="57"/>
        <v>0</v>
      </c>
      <c r="BB47" s="5">
        <f t="shared" si="58"/>
        <v>0</v>
      </c>
      <c r="BC47" s="5">
        <f t="shared" si="59"/>
        <v>0</v>
      </c>
      <c r="BD47" s="5">
        <f t="shared" si="60"/>
        <v>0</v>
      </c>
      <c r="BE47" s="5">
        <f t="shared" si="61"/>
        <v>0</v>
      </c>
      <c r="BF47" s="5">
        <f t="shared" si="62"/>
        <v>0</v>
      </c>
      <c r="BG47" s="5">
        <f t="shared" si="63"/>
        <v>1</v>
      </c>
      <c r="BH47" s="5">
        <f t="shared" si="64"/>
        <v>0</v>
      </c>
      <c r="BI47" s="5">
        <f t="shared" si="65"/>
        <v>-2</v>
      </c>
      <c r="BJ47" s="5">
        <f t="shared" si="66"/>
        <v>-2</v>
      </c>
      <c r="BK47" s="5">
        <f t="shared" si="67"/>
        <v>-2</v>
      </c>
      <c r="BL47" s="5">
        <f t="shared" si="68"/>
        <v>-1</v>
      </c>
      <c r="BM47" s="5">
        <f t="shared" si="69"/>
        <v>0</v>
      </c>
      <c r="BN47" s="5">
        <f t="shared" si="70"/>
        <v>1</v>
      </c>
      <c r="BO47" s="5">
        <f t="shared" si="71"/>
        <v>0</v>
      </c>
      <c r="BP47" s="5">
        <f t="shared" si="72"/>
        <v>0</v>
      </c>
      <c r="BQ47" s="5">
        <f t="shared" si="73"/>
        <v>0</v>
      </c>
      <c r="BR47" s="5">
        <f t="shared" si="53"/>
        <v>0</v>
      </c>
      <c r="BS47" s="6">
        <f t="shared" si="54"/>
        <v>0</v>
      </c>
    </row>
    <row r="48" spans="26:71" s="4" customFormat="1" ht="16.5" customHeight="1">
      <c r="Z48" s="266"/>
      <c r="AA48" s="244">
        <v>7500</v>
      </c>
      <c r="AB48" s="247">
        <v>38</v>
      </c>
      <c r="AC48" s="5">
        <v>38</v>
      </c>
      <c r="AD48" s="5">
        <v>38</v>
      </c>
      <c r="AE48" s="5">
        <v>38</v>
      </c>
      <c r="AF48" s="5">
        <v>38</v>
      </c>
      <c r="AG48" s="5">
        <v>37</v>
      </c>
      <c r="AH48" s="5">
        <v>36</v>
      </c>
      <c r="AI48" s="5">
        <v>35</v>
      </c>
      <c r="AJ48" s="5">
        <v>35</v>
      </c>
      <c r="AK48" s="5">
        <v>34</v>
      </c>
      <c r="AL48" s="5">
        <v>33</v>
      </c>
      <c r="AM48" s="5">
        <v>30</v>
      </c>
      <c r="AN48" s="5">
        <v>27</v>
      </c>
      <c r="AO48" s="5">
        <v>22</v>
      </c>
      <c r="AP48" s="5">
        <v>17</v>
      </c>
      <c r="AQ48" s="5">
        <v>13</v>
      </c>
      <c r="AR48" s="5">
        <v>11</v>
      </c>
      <c r="AS48" s="5">
        <v>10</v>
      </c>
      <c r="AT48" s="5">
        <v>10</v>
      </c>
      <c r="AU48" s="5">
        <v>10</v>
      </c>
      <c r="AV48" s="6">
        <v>10</v>
      </c>
      <c r="AX48" s="243">
        <v>1250</v>
      </c>
      <c r="AY48" s="5">
        <f t="shared" si="55"/>
        <v>0</v>
      </c>
      <c r="AZ48" s="5">
        <f t="shared" si="56"/>
        <v>0</v>
      </c>
      <c r="BA48" s="5">
        <f t="shared" si="57"/>
        <v>0</v>
      </c>
      <c r="BB48" s="5">
        <f t="shared" si="58"/>
        <v>0</v>
      </c>
      <c r="BC48" s="5">
        <f t="shared" si="59"/>
        <v>0</v>
      </c>
      <c r="BD48" s="5">
        <f t="shared" si="60"/>
        <v>0</v>
      </c>
      <c r="BE48" s="5">
        <f t="shared" si="61"/>
        <v>0</v>
      </c>
      <c r="BF48" s="5">
        <f t="shared" si="62"/>
        <v>0</v>
      </c>
      <c r="BG48" s="5">
        <f t="shared" si="63"/>
        <v>-1</v>
      </c>
      <c r="BH48" s="5">
        <f t="shared" si="64"/>
        <v>2</v>
      </c>
      <c r="BI48" s="5">
        <f t="shared" si="65"/>
        <v>0</v>
      </c>
      <c r="BJ48" s="5">
        <f t="shared" si="66"/>
        <v>2</v>
      </c>
      <c r="BK48" s="5">
        <f t="shared" si="67"/>
        <v>1</v>
      </c>
      <c r="BL48" s="5">
        <f t="shared" si="68"/>
        <v>1</v>
      </c>
      <c r="BM48" s="5">
        <f t="shared" si="69"/>
        <v>1</v>
      </c>
      <c r="BN48" s="5">
        <f t="shared" si="70"/>
        <v>1</v>
      </c>
      <c r="BO48" s="5">
        <f t="shared" si="71"/>
        <v>2</v>
      </c>
      <c r="BP48" s="5">
        <f t="shared" si="72"/>
        <v>1</v>
      </c>
      <c r="BQ48" s="5">
        <f t="shared" si="73"/>
        <v>0</v>
      </c>
      <c r="BR48" s="5">
        <f t="shared" si="53"/>
        <v>-1</v>
      </c>
      <c r="BS48" s="6">
        <f t="shared" si="54"/>
        <v>-2</v>
      </c>
    </row>
    <row r="49" spans="26:72" s="4" customFormat="1" ht="16.5" customHeight="1" thickBot="1">
      <c r="Z49" s="267"/>
      <c r="AA49" s="245">
        <v>11000</v>
      </c>
      <c r="AB49" s="248">
        <v>38</v>
      </c>
      <c r="AC49" s="7">
        <v>38</v>
      </c>
      <c r="AD49" s="7">
        <v>38</v>
      </c>
      <c r="AE49" s="7">
        <v>38</v>
      </c>
      <c r="AF49" s="7">
        <v>38</v>
      </c>
      <c r="AG49" s="7">
        <v>37</v>
      </c>
      <c r="AH49" s="7">
        <v>36</v>
      </c>
      <c r="AI49" s="7">
        <v>35</v>
      </c>
      <c r="AJ49" s="7">
        <v>35</v>
      </c>
      <c r="AK49" s="7">
        <v>34</v>
      </c>
      <c r="AL49" s="7">
        <v>33</v>
      </c>
      <c r="AM49" s="7">
        <v>30</v>
      </c>
      <c r="AN49" s="7">
        <v>27</v>
      </c>
      <c r="AO49" s="7">
        <v>22</v>
      </c>
      <c r="AP49" s="7">
        <v>18</v>
      </c>
      <c r="AQ49" s="7">
        <v>14</v>
      </c>
      <c r="AR49" s="7">
        <v>12</v>
      </c>
      <c r="AS49" s="7">
        <v>10</v>
      </c>
      <c r="AT49" s="7">
        <v>10</v>
      </c>
      <c r="AU49" s="7">
        <v>10</v>
      </c>
      <c r="AV49" s="8">
        <v>10</v>
      </c>
      <c r="AX49" s="243">
        <v>1500</v>
      </c>
      <c r="AY49" s="5">
        <f t="shared" si="55"/>
        <v>0</v>
      </c>
      <c r="AZ49" s="5">
        <f t="shared" si="56"/>
        <v>0</v>
      </c>
      <c r="BA49" s="5">
        <f t="shared" si="57"/>
        <v>0</v>
      </c>
      <c r="BB49" s="5">
        <f t="shared" si="58"/>
        <v>0</v>
      </c>
      <c r="BC49" s="5">
        <f t="shared" si="59"/>
        <v>0</v>
      </c>
      <c r="BD49" s="5">
        <f t="shared" si="60"/>
        <v>0</v>
      </c>
      <c r="BE49" s="5">
        <f t="shared" si="61"/>
        <v>0</v>
      </c>
      <c r="BF49" s="5">
        <f t="shared" si="62"/>
        <v>0</v>
      </c>
      <c r="BG49" s="5">
        <f t="shared" si="63"/>
        <v>-1</v>
      </c>
      <c r="BH49" s="5">
        <f t="shared" si="64"/>
        <v>0</v>
      </c>
      <c r="BI49" s="5">
        <f t="shared" si="65"/>
        <v>-1</v>
      </c>
      <c r="BJ49" s="5">
        <f t="shared" si="66"/>
        <v>-1</v>
      </c>
      <c r="BK49" s="5">
        <f t="shared" si="67"/>
        <v>-1</v>
      </c>
      <c r="BL49" s="5">
        <f t="shared" si="68"/>
        <v>-1</v>
      </c>
      <c r="BM49" s="5">
        <f t="shared" si="69"/>
        <v>-1</v>
      </c>
      <c r="BN49" s="5">
        <f t="shared" si="70"/>
        <v>-1</v>
      </c>
      <c r="BO49" s="5">
        <f t="shared" si="71"/>
        <v>-1</v>
      </c>
      <c r="BP49" s="5">
        <f t="shared" si="72"/>
        <v>0</v>
      </c>
      <c r="BQ49" s="5">
        <f t="shared" si="73"/>
        <v>1</v>
      </c>
      <c r="BR49" s="5">
        <f t="shared" si="53"/>
        <v>2</v>
      </c>
      <c r="BS49" s="6">
        <f t="shared" si="54"/>
        <v>3</v>
      </c>
      <c r="BT49" s="3"/>
    </row>
    <row r="50" spans="26:72" ht="16.5" customHeight="1" thickBot="1">
      <c r="AX50" s="243">
        <v>1750</v>
      </c>
      <c r="AY50" s="5">
        <f t="shared" si="55"/>
        <v>0</v>
      </c>
      <c r="AZ50" s="5">
        <f t="shared" si="56"/>
        <v>0</v>
      </c>
      <c r="BA50" s="5">
        <f t="shared" si="57"/>
        <v>0</v>
      </c>
      <c r="BB50" s="5">
        <f t="shared" si="58"/>
        <v>0</v>
      </c>
      <c r="BC50" s="5">
        <f t="shared" si="59"/>
        <v>0</v>
      </c>
      <c r="BD50" s="5">
        <f t="shared" si="60"/>
        <v>0</v>
      </c>
      <c r="BE50" s="5">
        <f t="shared" si="61"/>
        <v>0</v>
      </c>
      <c r="BF50" s="5">
        <f t="shared" si="62"/>
        <v>0</v>
      </c>
      <c r="BG50" s="5">
        <f t="shared" si="63"/>
        <v>0</v>
      </c>
      <c r="BH50" s="5">
        <f t="shared" si="64"/>
        <v>0</v>
      </c>
      <c r="BI50" s="5">
        <f t="shared" si="65"/>
        <v>0</v>
      </c>
      <c r="BJ50" s="5">
        <f t="shared" si="66"/>
        <v>0</v>
      </c>
      <c r="BK50" s="5">
        <f t="shared" si="67"/>
        <v>0</v>
      </c>
      <c r="BL50" s="5">
        <f t="shared" si="68"/>
        <v>0</v>
      </c>
      <c r="BM50" s="5">
        <f t="shared" si="69"/>
        <v>0</v>
      </c>
      <c r="BN50" s="5">
        <f t="shared" si="70"/>
        <v>0</v>
      </c>
      <c r="BO50" s="5">
        <f t="shared" si="71"/>
        <v>0</v>
      </c>
      <c r="BP50" s="5">
        <f t="shared" si="72"/>
        <v>0</v>
      </c>
      <c r="BQ50" s="5">
        <f t="shared" si="73"/>
        <v>1</v>
      </c>
      <c r="BR50" s="5">
        <f t="shared" si="53"/>
        <v>2</v>
      </c>
      <c r="BS50" s="6">
        <f t="shared" si="54"/>
        <v>3</v>
      </c>
    </row>
    <row r="51" spans="26:72" ht="16.5" customHeight="1" thickBot="1">
      <c r="Z51" s="278">
        <v>3</v>
      </c>
      <c r="AA51" s="279"/>
      <c r="AB51" s="271" t="s">
        <v>29</v>
      </c>
      <c r="AC51" s="272"/>
      <c r="AD51" s="272"/>
      <c r="AE51" s="272"/>
      <c r="AF51" s="272"/>
      <c r="AG51" s="272"/>
      <c r="AH51" s="272"/>
      <c r="AI51" s="272"/>
      <c r="AJ51" s="272"/>
      <c r="AK51" s="272"/>
      <c r="AL51" s="272"/>
      <c r="AM51" s="272"/>
      <c r="AN51" s="272"/>
      <c r="AO51" s="272"/>
      <c r="AP51" s="272"/>
      <c r="AQ51" s="272"/>
      <c r="AR51" s="272"/>
      <c r="AS51" s="272"/>
      <c r="AT51" s="272"/>
      <c r="AU51" s="272"/>
      <c r="AV51" s="273"/>
      <c r="AX51" s="243">
        <v>2000</v>
      </c>
      <c r="AY51" s="5">
        <f t="shared" si="55"/>
        <v>0</v>
      </c>
      <c r="AZ51" s="5">
        <f t="shared" si="56"/>
        <v>0</v>
      </c>
      <c r="BA51" s="5">
        <f t="shared" si="57"/>
        <v>0</v>
      </c>
      <c r="BB51" s="5">
        <f t="shared" si="58"/>
        <v>0</v>
      </c>
      <c r="BC51" s="5">
        <f t="shared" si="59"/>
        <v>0</v>
      </c>
      <c r="BD51" s="5">
        <f t="shared" si="60"/>
        <v>0</v>
      </c>
      <c r="BE51" s="5">
        <f t="shared" si="61"/>
        <v>0</v>
      </c>
      <c r="BF51" s="5">
        <f t="shared" si="62"/>
        <v>0</v>
      </c>
      <c r="BG51" s="5">
        <f t="shared" si="63"/>
        <v>-1</v>
      </c>
      <c r="BH51" s="5">
        <f t="shared" si="64"/>
        <v>0</v>
      </c>
      <c r="BI51" s="5">
        <f t="shared" si="65"/>
        <v>-1</v>
      </c>
      <c r="BJ51" s="5">
        <f t="shared" si="66"/>
        <v>1</v>
      </c>
      <c r="BK51" s="5">
        <f t="shared" si="67"/>
        <v>-1</v>
      </c>
      <c r="BL51" s="5">
        <f t="shared" si="68"/>
        <v>-1</v>
      </c>
      <c r="BM51" s="5">
        <f t="shared" si="69"/>
        <v>-1</v>
      </c>
      <c r="BN51" s="5">
        <f t="shared" si="70"/>
        <v>-1</v>
      </c>
      <c r="BO51" s="5">
        <f t="shared" si="71"/>
        <v>-1</v>
      </c>
      <c r="BP51" s="5">
        <f t="shared" si="72"/>
        <v>0</v>
      </c>
      <c r="BQ51" s="5">
        <f t="shared" si="73"/>
        <v>1</v>
      </c>
      <c r="BR51" s="5">
        <f t="shared" si="53"/>
        <v>2</v>
      </c>
      <c r="BS51" s="6">
        <f t="shared" si="54"/>
        <v>3</v>
      </c>
    </row>
    <row r="52" spans="26:72" ht="16.5" customHeight="1" thickBot="1">
      <c r="Z52" s="280"/>
      <c r="AA52" s="281"/>
      <c r="AB52" s="274" t="s">
        <v>0</v>
      </c>
      <c r="AC52" s="275"/>
      <c r="AD52" s="275"/>
      <c r="AE52" s="275"/>
      <c r="AF52" s="275"/>
      <c r="AG52" s="275"/>
      <c r="AH52" s="275"/>
      <c r="AI52" s="275"/>
      <c r="AJ52" s="275"/>
      <c r="AK52" s="275"/>
      <c r="AL52" s="275"/>
      <c r="AM52" s="275"/>
      <c r="AN52" s="275"/>
      <c r="AO52" s="275"/>
      <c r="AP52" s="275"/>
      <c r="AQ52" s="275"/>
      <c r="AR52" s="275"/>
      <c r="AS52" s="275"/>
      <c r="AT52" s="275"/>
      <c r="AU52" s="275"/>
      <c r="AV52" s="343"/>
      <c r="AX52" s="243">
        <v>2500</v>
      </c>
      <c r="AY52" s="5">
        <f t="shared" si="55"/>
        <v>0</v>
      </c>
      <c r="AZ52" s="5">
        <f t="shared" si="56"/>
        <v>0</v>
      </c>
      <c r="BA52" s="5">
        <f t="shared" si="57"/>
        <v>0</v>
      </c>
      <c r="BB52" s="5">
        <f t="shared" si="58"/>
        <v>0</v>
      </c>
      <c r="BC52" s="5">
        <f t="shared" si="59"/>
        <v>0</v>
      </c>
      <c r="BD52" s="5">
        <f t="shared" si="60"/>
        <v>0</v>
      </c>
      <c r="BE52" s="5">
        <f t="shared" si="61"/>
        <v>0</v>
      </c>
      <c r="BF52" s="5">
        <f t="shared" si="62"/>
        <v>0</v>
      </c>
      <c r="BG52" s="5">
        <f t="shared" si="63"/>
        <v>0</v>
      </c>
      <c r="BH52" s="5">
        <f t="shared" si="64"/>
        <v>2</v>
      </c>
      <c r="BI52" s="5">
        <f t="shared" si="65"/>
        <v>-1</v>
      </c>
      <c r="BJ52" s="5">
        <f t="shared" si="66"/>
        <v>0</v>
      </c>
      <c r="BK52" s="5">
        <f t="shared" si="67"/>
        <v>1</v>
      </c>
      <c r="BL52" s="5">
        <f t="shared" si="68"/>
        <v>0</v>
      </c>
      <c r="BM52" s="5">
        <f t="shared" si="69"/>
        <v>1</v>
      </c>
      <c r="BN52" s="5">
        <f t="shared" si="70"/>
        <v>1</v>
      </c>
      <c r="BO52" s="5">
        <f t="shared" si="71"/>
        <v>1</v>
      </c>
      <c r="BP52" s="5">
        <f t="shared" si="72"/>
        <v>1</v>
      </c>
      <c r="BQ52" s="5">
        <f t="shared" si="73"/>
        <v>2</v>
      </c>
      <c r="BR52" s="5">
        <f t="shared" si="53"/>
        <v>3</v>
      </c>
      <c r="BS52" s="6">
        <f t="shared" si="54"/>
        <v>4</v>
      </c>
    </row>
    <row r="53" spans="26:72" ht="16.5" customHeight="1" thickBot="1">
      <c r="Z53" s="282"/>
      <c r="AA53" s="283"/>
      <c r="AB53" s="235">
        <v>0</v>
      </c>
      <c r="AC53" s="236">
        <v>10</v>
      </c>
      <c r="AD53" s="236">
        <v>20</v>
      </c>
      <c r="AE53" s="236">
        <v>30</v>
      </c>
      <c r="AF53" s="236">
        <v>40</v>
      </c>
      <c r="AG53" s="237">
        <v>50</v>
      </c>
      <c r="AH53" s="237">
        <v>60</v>
      </c>
      <c r="AI53" s="237">
        <v>70</v>
      </c>
      <c r="AJ53" s="237">
        <v>80</v>
      </c>
      <c r="AK53" s="237">
        <v>90</v>
      </c>
      <c r="AL53" s="237">
        <v>100</v>
      </c>
      <c r="AM53" s="237">
        <v>120</v>
      </c>
      <c r="AN53" s="237">
        <v>140</v>
      </c>
      <c r="AO53" s="238">
        <v>160</v>
      </c>
      <c r="AP53" s="238">
        <v>180</v>
      </c>
      <c r="AQ53" s="238">
        <v>200</v>
      </c>
      <c r="AR53" s="238">
        <v>220</v>
      </c>
      <c r="AS53" s="238">
        <v>240</v>
      </c>
      <c r="AT53" s="238">
        <v>260</v>
      </c>
      <c r="AU53" s="238">
        <v>280</v>
      </c>
      <c r="AV53" s="239">
        <v>300</v>
      </c>
      <c r="AX53" s="243">
        <v>3000</v>
      </c>
      <c r="AY53" s="5">
        <f t="shared" si="55"/>
        <v>0</v>
      </c>
      <c r="AZ53" s="5">
        <f t="shared" si="56"/>
        <v>0</v>
      </c>
      <c r="BA53" s="5">
        <f t="shared" si="57"/>
        <v>0</v>
      </c>
      <c r="BB53" s="5">
        <f t="shared" si="58"/>
        <v>0</v>
      </c>
      <c r="BC53" s="5">
        <f t="shared" si="59"/>
        <v>0</v>
      </c>
      <c r="BD53" s="5">
        <f t="shared" si="60"/>
        <v>0</v>
      </c>
      <c r="BE53" s="5">
        <f t="shared" si="61"/>
        <v>0</v>
      </c>
      <c r="BF53" s="5">
        <f t="shared" si="62"/>
        <v>0</v>
      </c>
      <c r="BG53" s="5">
        <f t="shared" si="63"/>
        <v>-1</v>
      </c>
      <c r="BH53" s="5">
        <f t="shared" si="64"/>
        <v>-1</v>
      </c>
      <c r="BI53" s="5">
        <f t="shared" si="65"/>
        <v>0</v>
      </c>
      <c r="BJ53" s="5">
        <f t="shared" si="66"/>
        <v>-1</v>
      </c>
      <c r="BK53" s="5">
        <f t="shared" si="67"/>
        <v>1</v>
      </c>
      <c r="BL53" s="5">
        <f t="shared" si="68"/>
        <v>1</v>
      </c>
      <c r="BM53" s="5">
        <f t="shared" si="69"/>
        <v>0</v>
      </c>
      <c r="BN53" s="5">
        <f t="shared" si="70"/>
        <v>-1</v>
      </c>
      <c r="BO53" s="5">
        <f t="shared" si="71"/>
        <v>0</v>
      </c>
      <c r="BP53" s="5">
        <f t="shared" si="72"/>
        <v>0</v>
      </c>
      <c r="BQ53" s="5">
        <f t="shared" si="73"/>
        <v>2</v>
      </c>
      <c r="BR53" s="5">
        <f t="shared" si="53"/>
        <v>4</v>
      </c>
      <c r="BS53" s="6">
        <f t="shared" si="54"/>
        <v>6</v>
      </c>
    </row>
    <row r="54" spans="26:72" ht="16.5" customHeight="1">
      <c r="Z54" s="265" t="s">
        <v>1</v>
      </c>
      <c r="AA54" s="235">
        <v>0</v>
      </c>
      <c r="AB54" s="246">
        <v>5</v>
      </c>
      <c r="AC54" s="15">
        <v>5</v>
      </c>
      <c r="AD54" s="15">
        <v>5</v>
      </c>
      <c r="AE54" s="15">
        <v>5</v>
      </c>
      <c r="AF54" s="15">
        <v>5</v>
      </c>
      <c r="AG54" s="15">
        <v>11</v>
      </c>
      <c r="AH54" s="15">
        <v>15</v>
      </c>
      <c r="AI54" s="15">
        <v>6</v>
      </c>
      <c r="AJ54" s="15">
        <v>3</v>
      </c>
      <c r="AK54" s="15">
        <v>2</v>
      </c>
      <c r="AL54" s="15">
        <v>-1</v>
      </c>
      <c r="AM54" s="15">
        <v>-2</v>
      </c>
      <c r="AN54" s="15">
        <v>-5</v>
      </c>
      <c r="AO54" s="15">
        <v>-8</v>
      </c>
      <c r="AP54" s="15">
        <v>-10</v>
      </c>
      <c r="AQ54" s="15">
        <v>-10</v>
      </c>
      <c r="AR54" s="5">
        <v>-10</v>
      </c>
      <c r="AS54" s="5">
        <v>-10</v>
      </c>
      <c r="AT54" s="5">
        <v>-10</v>
      </c>
      <c r="AU54" s="5">
        <v>-10</v>
      </c>
      <c r="AV54" s="16">
        <v>-10</v>
      </c>
      <c r="AX54" s="243">
        <v>3500</v>
      </c>
      <c r="AY54" s="5">
        <f t="shared" si="55"/>
        <v>0</v>
      </c>
      <c r="AZ54" s="5">
        <f t="shared" si="56"/>
        <v>0</v>
      </c>
      <c r="BA54" s="5">
        <f t="shared" si="57"/>
        <v>0</v>
      </c>
      <c r="BB54" s="5">
        <f t="shared" si="58"/>
        <v>0</v>
      </c>
      <c r="BC54" s="5">
        <f t="shared" si="59"/>
        <v>0</v>
      </c>
      <c r="BD54" s="5">
        <f t="shared" si="60"/>
        <v>0</v>
      </c>
      <c r="BE54" s="5">
        <f t="shared" si="61"/>
        <v>0</v>
      </c>
      <c r="BF54" s="5">
        <f t="shared" si="62"/>
        <v>0</v>
      </c>
      <c r="BG54" s="5">
        <f t="shared" si="63"/>
        <v>0</v>
      </c>
      <c r="BH54" s="5">
        <f t="shared" si="64"/>
        <v>-1</v>
      </c>
      <c r="BI54" s="5">
        <f t="shared" si="65"/>
        <v>-1</v>
      </c>
      <c r="BJ54" s="5">
        <f t="shared" si="66"/>
        <v>-1</v>
      </c>
      <c r="BK54" s="5">
        <f t="shared" si="67"/>
        <v>0</v>
      </c>
      <c r="BL54" s="5">
        <f t="shared" si="68"/>
        <v>0</v>
      </c>
      <c r="BM54" s="5">
        <f t="shared" si="69"/>
        <v>0</v>
      </c>
      <c r="BN54" s="5">
        <f t="shared" si="70"/>
        <v>-1</v>
      </c>
      <c r="BO54" s="5">
        <f t="shared" si="71"/>
        <v>-1</v>
      </c>
      <c r="BP54" s="5">
        <f t="shared" si="72"/>
        <v>-1</v>
      </c>
      <c r="BQ54" s="5">
        <f t="shared" si="73"/>
        <v>0</v>
      </c>
      <c r="BR54" s="5">
        <f t="shared" si="53"/>
        <v>1</v>
      </c>
      <c r="BS54" s="6">
        <f t="shared" si="54"/>
        <v>2</v>
      </c>
    </row>
    <row r="55" spans="26:72" ht="16.5" customHeight="1">
      <c r="Z55" s="266"/>
      <c r="AA55" s="242">
        <v>500</v>
      </c>
      <c r="AB55" s="247">
        <v>5</v>
      </c>
      <c r="AC55" s="5">
        <v>5</v>
      </c>
      <c r="AD55" s="5">
        <v>5</v>
      </c>
      <c r="AE55" s="5">
        <v>5</v>
      </c>
      <c r="AF55" s="5">
        <v>5</v>
      </c>
      <c r="AG55" s="5">
        <v>8</v>
      </c>
      <c r="AH55" s="5">
        <v>13</v>
      </c>
      <c r="AI55" s="5">
        <v>6</v>
      </c>
      <c r="AJ55" s="5">
        <v>3</v>
      </c>
      <c r="AK55" s="5">
        <v>2</v>
      </c>
      <c r="AL55" s="5">
        <v>-1</v>
      </c>
      <c r="AM55" s="5">
        <v>-2</v>
      </c>
      <c r="AN55" s="5">
        <v>-5</v>
      </c>
      <c r="AO55" s="5">
        <v>-8</v>
      </c>
      <c r="AP55" s="5">
        <v>-10</v>
      </c>
      <c r="AQ55" s="5">
        <v>-10</v>
      </c>
      <c r="AR55" s="5">
        <v>-10</v>
      </c>
      <c r="AS55" s="5">
        <v>-10</v>
      </c>
      <c r="AT55" s="5">
        <v>-10</v>
      </c>
      <c r="AU55" s="5">
        <v>-10</v>
      </c>
      <c r="AV55" s="6">
        <v>-10</v>
      </c>
      <c r="AX55" s="243">
        <v>4000</v>
      </c>
      <c r="AY55" s="5">
        <f t="shared" si="55"/>
        <v>0</v>
      </c>
      <c r="AZ55" s="5">
        <f t="shared" si="56"/>
        <v>0</v>
      </c>
      <c r="BA55" s="5">
        <f t="shared" si="57"/>
        <v>0</v>
      </c>
      <c r="BB55" s="5">
        <f t="shared" si="58"/>
        <v>0</v>
      </c>
      <c r="BC55" s="5">
        <f t="shared" si="59"/>
        <v>0</v>
      </c>
      <c r="BD55" s="5">
        <f t="shared" si="60"/>
        <v>0</v>
      </c>
      <c r="BE55" s="5">
        <f t="shared" si="61"/>
        <v>0</v>
      </c>
      <c r="BF55" s="5">
        <f t="shared" si="62"/>
        <v>0</v>
      </c>
      <c r="BG55" s="5">
        <f t="shared" si="63"/>
        <v>0</v>
      </c>
      <c r="BH55" s="5">
        <f t="shared" si="64"/>
        <v>0</v>
      </c>
      <c r="BI55" s="5">
        <f t="shared" si="65"/>
        <v>-1</v>
      </c>
      <c r="BJ55" s="5">
        <f t="shared" si="66"/>
        <v>0</v>
      </c>
      <c r="BK55" s="5">
        <f t="shared" si="67"/>
        <v>1</v>
      </c>
      <c r="BL55" s="5">
        <f t="shared" si="68"/>
        <v>0</v>
      </c>
      <c r="BM55" s="5">
        <f t="shared" si="69"/>
        <v>0</v>
      </c>
      <c r="BN55" s="5">
        <f t="shared" si="70"/>
        <v>-1</v>
      </c>
      <c r="BO55" s="5">
        <f t="shared" si="71"/>
        <v>-2</v>
      </c>
      <c r="BP55" s="5">
        <f t="shared" si="72"/>
        <v>0</v>
      </c>
      <c r="BQ55" s="5">
        <f t="shared" si="73"/>
        <v>1</v>
      </c>
      <c r="BR55" s="5">
        <f t="shared" si="53"/>
        <v>2</v>
      </c>
      <c r="BS55" s="6">
        <f t="shared" si="54"/>
        <v>3</v>
      </c>
    </row>
    <row r="56" spans="26:72" ht="16.5" customHeight="1">
      <c r="Z56" s="266"/>
      <c r="AA56" s="242">
        <v>750</v>
      </c>
      <c r="AB56" s="247">
        <v>5</v>
      </c>
      <c r="AC56" s="5">
        <v>5</v>
      </c>
      <c r="AD56" s="5">
        <v>5</v>
      </c>
      <c r="AE56" s="5">
        <v>5</v>
      </c>
      <c r="AF56" s="5">
        <v>5</v>
      </c>
      <c r="AG56" s="5">
        <v>9</v>
      </c>
      <c r="AH56" s="5">
        <v>13</v>
      </c>
      <c r="AI56" s="5">
        <v>10</v>
      </c>
      <c r="AJ56" s="5">
        <v>6</v>
      </c>
      <c r="AK56" s="5">
        <v>2</v>
      </c>
      <c r="AL56" s="5">
        <v>-2</v>
      </c>
      <c r="AM56" s="5">
        <v>-3</v>
      </c>
      <c r="AN56" s="5">
        <v>-5</v>
      </c>
      <c r="AO56" s="5">
        <v>-8</v>
      </c>
      <c r="AP56" s="5">
        <v>-10</v>
      </c>
      <c r="AQ56" s="5">
        <v>-10</v>
      </c>
      <c r="AR56" s="5">
        <v>-10</v>
      </c>
      <c r="AS56" s="5">
        <v>-10</v>
      </c>
      <c r="AT56" s="5">
        <v>-10</v>
      </c>
      <c r="AU56" s="5">
        <v>-10</v>
      </c>
      <c r="AV56" s="6">
        <v>-10</v>
      </c>
      <c r="AX56" s="243">
        <v>4500</v>
      </c>
      <c r="AY56" s="5">
        <f t="shared" si="55"/>
        <v>0</v>
      </c>
      <c r="AZ56" s="5">
        <f t="shared" si="56"/>
        <v>0</v>
      </c>
      <c r="BA56" s="5">
        <f t="shared" si="57"/>
        <v>0</v>
      </c>
      <c r="BB56" s="5">
        <f t="shared" si="58"/>
        <v>0</v>
      </c>
      <c r="BC56" s="5">
        <f t="shared" si="59"/>
        <v>0</v>
      </c>
      <c r="BD56" s="5">
        <f t="shared" si="60"/>
        <v>0</v>
      </c>
      <c r="BE56" s="5">
        <f t="shared" si="61"/>
        <v>0</v>
      </c>
      <c r="BF56" s="5">
        <f t="shared" si="62"/>
        <v>0</v>
      </c>
      <c r="BG56" s="5">
        <f t="shared" si="63"/>
        <v>0</v>
      </c>
      <c r="BH56" s="5">
        <f t="shared" si="64"/>
        <v>0</v>
      </c>
      <c r="BI56" s="5">
        <f t="shared" si="65"/>
        <v>-1</v>
      </c>
      <c r="BJ56" s="5">
        <f t="shared" si="66"/>
        <v>0</v>
      </c>
      <c r="BK56" s="5">
        <f t="shared" si="67"/>
        <v>0</v>
      </c>
      <c r="BL56" s="5">
        <f t="shared" si="68"/>
        <v>0</v>
      </c>
      <c r="BM56" s="5">
        <f t="shared" si="69"/>
        <v>0</v>
      </c>
      <c r="BN56" s="5">
        <f t="shared" si="70"/>
        <v>0</v>
      </c>
      <c r="BO56" s="5">
        <f t="shared" si="71"/>
        <v>1</v>
      </c>
      <c r="BP56" s="5">
        <f t="shared" si="72"/>
        <v>1</v>
      </c>
      <c r="BQ56" s="5">
        <f t="shared" si="73"/>
        <v>3</v>
      </c>
      <c r="BR56" s="5">
        <f t="shared" si="53"/>
        <v>5</v>
      </c>
      <c r="BS56" s="6">
        <f t="shared" si="54"/>
        <v>7</v>
      </c>
    </row>
    <row r="57" spans="26:72" ht="16.5" customHeight="1">
      <c r="Z57" s="266"/>
      <c r="AA57" s="242">
        <v>1000</v>
      </c>
      <c r="AB57" s="247">
        <v>5</v>
      </c>
      <c r="AC57" s="5">
        <v>5</v>
      </c>
      <c r="AD57" s="5">
        <v>5</v>
      </c>
      <c r="AE57" s="5">
        <v>5</v>
      </c>
      <c r="AF57" s="5">
        <v>9</v>
      </c>
      <c r="AG57" s="5">
        <v>13</v>
      </c>
      <c r="AH57" s="5">
        <v>18</v>
      </c>
      <c r="AI57" s="5">
        <v>10</v>
      </c>
      <c r="AJ57" s="5">
        <v>8</v>
      </c>
      <c r="AK57" s="5">
        <v>7</v>
      </c>
      <c r="AL57" s="5">
        <v>7</v>
      </c>
      <c r="AM57" s="5">
        <v>4</v>
      </c>
      <c r="AN57" s="5">
        <v>1</v>
      </c>
      <c r="AO57" s="5">
        <v>-3</v>
      </c>
      <c r="AP57" s="5">
        <v>-6</v>
      </c>
      <c r="AQ57" s="5">
        <v>-10</v>
      </c>
      <c r="AR57" s="5">
        <v>-10</v>
      </c>
      <c r="AS57" s="5">
        <v>-10</v>
      </c>
      <c r="AT57" s="5">
        <v>-10</v>
      </c>
      <c r="AU57" s="5">
        <v>-10</v>
      </c>
      <c r="AV57" s="6">
        <v>-10</v>
      </c>
      <c r="AX57" s="244">
        <v>5000</v>
      </c>
      <c r="AY57" s="5">
        <f t="shared" si="55"/>
        <v>0</v>
      </c>
      <c r="AZ57" s="5">
        <f t="shared" si="56"/>
        <v>0</v>
      </c>
      <c r="BA57" s="5">
        <f t="shared" si="57"/>
        <v>0</v>
      </c>
      <c r="BB57" s="5">
        <f t="shared" si="58"/>
        <v>0</v>
      </c>
      <c r="BC57" s="5">
        <f t="shared" si="59"/>
        <v>0</v>
      </c>
      <c r="BD57" s="5">
        <f t="shared" si="60"/>
        <v>0</v>
      </c>
      <c r="BE57" s="5">
        <f t="shared" si="61"/>
        <v>0</v>
      </c>
      <c r="BF57" s="5">
        <f t="shared" si="62"/>
        <v>0</v>
      </c>
      <c r="BG57" s="5">
        <f t="shared" si="63"/>
        <v>0</v>
      </c>
      <c r="BH57" s="5">
        <f t="shared" si="64"/>
        <v>0</v>
      </c>
      <c r="BI57" s="5">
        <f t="shared" si="65"/>
        <v>-1</v>
      </c>
      <c r="BJ57" s="5">
        <f t="shared" si="66"/>
        <v>0</v>
      </c>
      <c r="BK57" s="5">
        <f t="shared" si="67"/>
        <v>0</v>
      </c>
      <c r="BL57" s="5">
        <f t="shared" si="68"/>
        <v>1</v>
      </c>
      <c r="BM57" s="5">
        <f t="shared" si="69"/>
        <v>1</v>
      </c>
      <c r="BN57" s="5">
        <f t="shared" si="70"/>
        <v>-1</v>
      </c>
      <c r="BO57" s="5">
        <f t="shared" si="71"/>
        <v>-1</v>
      </c>
      <c r="BP57" s="5">
        <f t="shared" si="72"/>
        <v>-1</v>
      </c>
      <c r="BQ57" s="5">
        <f t="shared" si="73"/>
        <v>1</v>
      </c>
      <c r="BR57" s="5">
        <f t="shared" si="53"/>
        <v>3</v>
      </c>
      <c r="BS57" s="6">
        <f t="shared" si="54"/>
        <v>5</v>
      </c>
    </row>
    <row r="58" spans="26:72" ht="16.5" customHeight="1">
      <c r="Z58" s="266"/>
      <c r="AA58" s="243">
        <v>1250</v>
      </c>
      <c r="AB58" s="247">
        <v>8</v>
      </c>
      <c r="AC58" s="5">
        <v>8</v>
      </c>
      <c r="AD58" s="5">
        <v>12</v>
      </c>
      <c r="AE58" s="5">
        <v>12</v>
      </c>
      <c r="AF58" s="5">
        <v>16</v>
      </c>
      <c r="AG58" s="5">
        <v>20</v>
      </c>
      <c r="AH58" s="5">
        <v>20</v>
      </c>
      <c r="AI58" s="5">
        <v>17</v>
      </c>
      <c r="AJ58" s="5">
        <v>15</v>
      </c>
      <c r="AK58" s="5">
        <v>9</v>
      </c>
      <c r="AL58" s="5">
        <v>8</v>
      </c>
      <c r="AM58" s="5">
        <v>4</v>
      </c>
      <c r="AN58" s="5">
        <v>2</v>
      </c>
      <c r="AO58" s="5">
        <v>-1</v>
      </c>
      <c r="AP58" s="5">
        <v>-4</v>
      </c>
      <c r="AQ58" s="5">
        <v>-7</v>
      </c>
      <c r="AR58" s="5">
        <v>-10</v>
      </c>
      <c r="AS58" s="5">
        <v>-10</v>
      </c>
      <c r="AT58" s="5">
        <v>-10</v>
      </c>
      <c r="AU58" s="5">
        <v>-10</v>
      </c>
      <c r="AV58" s="6">
        <v>-10</v>
      </c>
      <c r="AX58" s="244">
        <v>5500</v>
      </c>
      <c r="AY58" s="5">
        <f t="shared" si="55"/>
        <v>0</v>
      </c>
      <c r="AZ58" s="5">
        <f t="shared" si="56"/>
        <v>0</v>
      </c>
      <c r="BA58" s="5">
        <f t="shared" si="57"/>
        <v>0</v>
      </c>
      <c r="BB58" s="5">
        <f t="shared" si="58"/>
        <v>0</v>
      </c>
      <c r="BC58" s="5">
        <f t="shared" si="59"/>
        <v>0</v>
      </c>
      <c r="BD58" s="5">
        <f t="shared" si="60"/>
        <v>0</v>
      </c>
      <c r="BE58" s="5">
        <f t="shared" si="61"/>
        <v>0</v>
      </c>
      <c r="BF58" s="5">
        <f t="shared" si="62"/>
        <v>0</v>
      </c>
      <c r="BG58" s="5">
        <f t="shared" si="63"/>
        <v>1</v>
      </c>
      <c r="BH58" s="5">
        <f t="shared" si="64"/>
        <v>0</v>
      </c>
      <c r="BI58" s="5">
        <f t="shared" si="65"/>
        <v>0</v>
      </c>
      <c r="BJ58" s="5">
        <f t="shared" si="66"/>
        <v>1</v>
      </c>
      <c r="BK58" s="5">
        <f t="shared" si="67"/>
        <v>2</v>
      </c>
      <c r="BL58" s="5">
        <f t="shared" si="68"/>
        <v>1</v>
      </c>
      <c r="BM58" s="5">
        <f t="shared" si="69"/>
        <v>1</v>
      </c>
      <c r="BN58" s="5">
        <f t="shared" si="70"/>
        <v>0</v>
      </c>
      <c r="BO58" s="5">
        <f t="shared" si="71"/>
        <v>1</v>
      </c>
      <c r="BP58" s="5">
        <f t="shared" si="72"/>
        <v>1</v>
      </c>
      <c r="BQ58" s="5">
        <f t="shared" si="73"/>
        <v>4</v>
      </c>
      <c r="BR58" s="5">
        <f t="shared" si="53"/>
        <v>7</v>
      </c>
      <c r="BS58" s="6">
        <f t="shared" si="54"/>
        <v>10</v>
      </c>
    </row>
    <row r="59" spans="26:72" ht="16.5" customHeight="1">
      <c r="Z59" s="266"/>
      <c r="AA59" s="243">
        <v>1500</v>
      </c>
      <c r="AB59" s="247">
        <v>13</v>
      </c>
      <c r="AC59" s="5">
        <v>13</v>
      </c>
      <c r="AD59" s="5">
        <v>19</v>
      </c>
      <c r="AE59" s="5">
        <v>19</v>
      </c>
      <c r="AF59" s="5">
        <v>26</v>
      </c>
      <c r="AG59" s="5">
        <v>24</v>
      </c>
      <c r="AH59" s="5">
        <v>23</v>
      </c>
      <c r="AI59" s="5">
        <v>21</v>
      </c>
      <c r="AJ59" s="5">
        <v>19</v>
      </c>
      <c r="AK59" s="5">
        <v>14</v>
      </c>
      <c r="AL59" s="5">
        <v>12</v>
      </c>
      <c r="AM59" s="5">
        <v>10</v>
      </c>
      <c r="AN59" s="5">
        <v>7</v>
      </c>
      <c r="AO59" s="5">
        <v>4</v>
      </c>
      <c r="AP59" s="5">
        <v>1</v>
      </c>
      <c r="AQ59" s="5">
        <v>-2</v>
      </c>
      <c r="AR59" s="5">
        <v>-5</v>
      </c>
      <c r="AS59" s="5">
        <v>-8</v>
      </c>
      <c r="AT59" s="5">
        <v>-10</v>
      </c>
      <c r="AU59" s="5">
        <v>-12</v>
      </c>
      <c r="AV59" s="6">
        <v>-14</v>
      </c>
      <c r="AX59" s="244">
        <v>6000</v>
      </c>
      <c r="AY59" s="5">
        <f t="shared" si="55"/>
        <v>0</v>
      </c>
      <c r="AZ59" s="5">
        <f t="shared" si="56"/>
        <v>0</v>
      </c>
      <c r="BA59" s="5">
        <f t="shared" si="57"/>
        <v>0</v>
      </c>
      <c r="BB59" s="5">
        <f t="shared" si="58"/>
        <v>0</v>
      </c>
      <c r="BC59" s="5">
        <f t="shared" si="59"/>
        <v>0</v>
      </c>
      <c r="BD59" s="5">
        <f t="shared" si="60"/>
        <v>0</v>
      </c>
      <c r="BE59" s="5">
        <f t="shared" si="61"/>
        <v>0</v>
      </c>
      <c r="BF59" s="5">
        <f t="shared" si="62"/>
        <v>1</v>
      </c>
      <c r="BG59" s="5">
        <f t="shared" si="63"/>
        <v>0</v>
      </c>
      <c r="BH59" s="5">
        <f t="shared" si="64"/>
        <v>1</v>
      </c>
      <c r="BI59" s="5">
        <f t="shared" si="65"/>
        <v>0</v>
      </c>
      <c r="BJ59" s="5">
        <f t="shared" si="66"/>
        <v>0</v>
      </c>
      <c r="BK59" s="5">
        <f t="shared" si="67"/>
        <v>1</v>
      </c>
      <c r="BL59" s="5">
        <f t="shared" si="68"/>
        <v>0</v>
      </c>
      <c r="BM59" s="5">
        <f t="shared" si="69"/>
        <v>-1</v>
      </c>
      <c r="BN59" s="5">
        <f t="shared" si="70"/>
        <v>-3</v>
      </c>
      <c r="BO59" s="5">
        <f t="shared" si="71"/>
        <v>-2</v>
      </c>
      <c r="BP59" s="5">
        <f t="shared" si="72"/>
        <v>-1</v>
      </c>
      <c r="BQ59" s="5">
        <f t="shared" si="73"/>
        <v>1</v>
      </c>
      <c r="BR59" s="5">
        <f t="shared" si="53"/>
        <v>3</v>
      </c>
      <c r="BS59" s="6">
        <f t="shared" si="54"/>
        <v>5</v>
      </c>
    </row>
    <row r="60" spans="26:72" ht="16.5" customHeight="1">
      <c r="Z60" s="266"/>
      <c r="AA60" s="243">
        <v>1750</v>
      </c>
      <c r="AB60" s="247">
        <v>18</v>
      </c>
      <c r="AC60" s="5">
        <v>18</v>
      </c>
      <c r="AD60" s="5">
        <v>25</v>
      </c>
      <c r="AE60" s="5">
        <v>25</v>
      </c>
      <c r="AF60" s="5">
        <v>27</v>
      </c>
      <c r="AG60" s="5">
        <v>25</v>
      </c>
      <c r="AH60" s="5">
        <v>24</v>
      </c>
      <c r="AI60" s="5">
        <v>23</v>
      </c>
      <c r="AJ60" s="5">
        <v>21</v>
      </c>
      <c r="AK60" s="5">
        <v>17</v>
      </c>
      <c r="AL60" s="5">
        <v>14</v>
      </c>
      <c r="AM60" s="5">
        <v>11</v>
      </c>
      <c r="AN60" s="5">
        <v>8</v>
      </c>
      <c r="AO60" s="5">
        <v>5</v>
      </c>
      <c r="AP60" s="5">
        <v>2</v>
      </c>
      <c r="AQ60" s="5">
        <v>-1</v>
      </c>
      <c r="AR60" s="5">
        <v>-4</v>
      </c>
      <c r="AS60" s="5">
        <v>-7</v>
      </c>
      <c r="AT60" s="5">
        <v>-9</v>
      </c>
      <c r="AU60" s="5">
        <v>-11</v>
      </c>
      <c r="AV60" s="6">
        <v>-13</v>
      </c>
      <c r="AX60" s="244">
        <v>6500</v>
      </c>
      <c r="AY60" s="5">
        <f t="shared" si="55"/>
        <v>0</v>
      </c>
      <c r="AZ60" s="5">
        <f t="shared" si="56"/>
        <v>0</v>
      </c>
      <c r="BA60" s="5">
        <f t="shared" si="57"/>
        <v>0</v>
      </c>
      <c r="BB60" s="5">
        <f t="shared" si="58"/>
        <v>0</v>
      </c>
      <c r="BC60" s="5">
        <f t="shared" si="59"/>
        <v>0</v>
      </c>
      <c r="BD60" s="5">
        <f t="shared" si="60"/>
        <v>0</v>
      </c>
      <c r="BE60" s="5">
        <f t="shared" si="61"/>
        <v>0</v>
      </c>
      <c r="BF60" s="5">
        <f t="shared" si="62"/>
        <v>0</v>
      </c>
      <c r="BG60" s="5">
        <f t="shared" si="63"/>
        <v>-1</v>
      </c>
      <c r="BH60" s="5">
        <f t="shared" si="64"/>
        <v>0</v>
      </c>
      <c r="BI60" s="5">
        <f t="shared" si="65"/>
        <v>0</v>
      </c>
      <c r="BJ60" s="5">
        <f t="shared" si="66"/>
        <v>-1</v>
      </c>
      <c r="BK60" s="5">
        <f t="shared" si="67"/>
        <v>1</v>
      </c>
      <c r="BL60" s="5">
        <f t="shared" si="68"/>
        <v>-1</v>
      </c>
      <c r="BM60" s="5">
        <f t="shared" si="69"/>
        <v>-3</v>
      </c>
      <c r="BN60" s="5">
        <f t="shared" si="70"/>
        <v>-4</v>
      </c>
      <c r="BO60" s="5">
        <f t="shared" si="71"/>
        <v>-3</v>
      </c>
      <c r="BP60" s="5">
        <f t="shared" si="72"/>
        <v>-1</v>
      </c>
      <c r="BQ60" s="5">
        <f t="shared" si="73"/>
        <v>1</v>
      </c>
      <c r="BR60" s="5">
        <f t="shared" si="53"/>
        <v>3</v>
      </c>
      <c r="BS60" s="6">
        <f t="shared" si="54"/>
        <v>5</v>
      </c>
    </row>
    <row r="61" spans="26:72" ht="16.5" customHeight="1">
      <c r="Z61" s="266"/>
      <c r="AA61" s="243">
        <v>2000</v>
      </c>
      <c r="AB61" s="247">
        <v>24</v>
      </c>
      <c r="AC61" s="5">
        <v>24</v>
      </c>
      <c r="AD61" s="5">
        <v>32</v>
      </c>
      <c r="AE61" s="5">
        <v>32</v>
      </c>
      <c r="AF61" s="5">
        <v>29</v>
      </c>
      <c r="AG61" s="5">
        <v>26</v>
      </c>
      <c r="AH61" s="5">
        <v>26</v>
      </c>
      <c r="AI61" s="5">
        <v>25</v>
      </c>
      <c r="AJ61" s="5">
        <v>24</v>
      </c>
      <c r="AK61" s="5">
        <v>20</v>
      </c>
      <c r="AL61" s="5">
        <v>17</v>
      </c>
      <c r="AM61" s="5">
        <v>12</v>
      </c>
      <c r="AN61" s="5">
        <v>10</v>
      </c>
      <c r="AO61" s="5">
        <v>7</v>
      </c>
      <c r="AP61" s="5">
        <v>4</v>
      </c>
      <c r="AQ61" s="5">
        <v>1</v>
      </c>
      <c r="AR61" s="5">
        <v>-2</v>
      </c>
      <c r="AS61" s="5">
        <v>-5</v>
      </c>
      <c r="AT61" s="5">
        <v>-8</v>
      </c>
      <c r="AU61" s="5">
        <v>-11</v>
      </c>
      <c r="AV61" s="6">
        <v>-14</v>
      </c>
      <c r="AX61" s="244">
        <v>7000</v>
      </c>
      <c r="AY61" s="5">
        <f t="shared" si="55"/>
        <v>0</v>
      </c>
      <c r="AZ61" s="5">
        <f t="shared" si="56"/>
        <v>0</v>
      </c>
      <c r="BA61" s="5">
        <f t="shared" si="57"/>
        <v>0</v>
      </c>
      <c r="BB61" s="5">
        <f t="shared" si="58"/>
        <v>0</v>
      </c>
      <c r="BC61" s="5">
        <f t="shared" si="59"/>
        <v>0</v>
      </c>
      <c r="BD61" s="5">
        <f t="shared" si="60"/>
        <v>0</v>
      </c>
      <c r="BE61" s="5">
        <f t="shared" si="61"/>
        <v>0</v>
      </c>
      <c r="BF61" s="5">
        <f t="shared" si="62"/>
        <v>0</v>
      </c>
      <c r="BG61" s="5">
        <f t="shared" si="63"/>
        <v>-1</v>
      </c>
      <c r="BH61" s="5">
        <f t="shared" si="64"/>
        <v>0</v>
      </c>
      <c r="BI61" s="5">
        <f t="shared" si="65"/>
        <v>-2</v>
      </c>
      <c r="BJ61" s="5">
        <f t="shared" si="66"/>
        <v>-2</v>
      </c>
      <c r="BK61" s="5">
        <f t="shared" si="67"/>
        <v>0</v>
      </c>
      <c r="BL61" s="5">
        <f t="shared" si="68"/>
        <v>-2</v>
      </c>
      <c r="BM61" s="5">
        <f t="shared" si="69"/>
        <v>-4</v>
      </c>
      <c r="BN61" s="5">
        <f t="shared" si="70"/>
        <v>-6</v>
      </c>
      <c r="BO61" s="5">
        <f t="shared" si="71"/>
        <v>-5</v>
      </c>
      <c r="BP61" s="5">
        <f t="shared" si="72"/>
        <v>-3</v>
      </c>
      <c r="BQ61" s="5">
        <f t="shared" si="73"/>
        <v>0</v>
      </c>
      <c r="BR61" s="5">
        <f t="shared" si="53"/>
        <v>3</v>
      </c>
      <c r="BS61" s="6">
        <f t="shared" si="54"/>
        <v>6</v>
      </c>
    </row>
    <row r="62" spans="26:72" ht="16.5" customHeight="1" thickBot="1">
      <c r="Z62" s="266"/>
      <c r="AA62" s="243">
        <v>2500</v>
      </c>
      <c r="AB62" s="247">
        <v>24</v>
      </c>
      <c r="AC62" s="5">
        <v>24</v>
      </c>
      <c r="AD62" s="5">
        <v>34</v>
      </c>
      <c r="AE62" s="5">
        <v>34</v>
      </c>
      <c r="AF62" s="5">
        <v>32</v>
      </c>
      <c r="AG62" s="5">
        <v>30</v>
      </c>
      <c r="AH62" s="5">
        <v>29</v>
      </c>
      <c r="AI62" s="5">
        <v>27</v>
      </c>
      <c r="AJ62" s="5">
        <v>25</v>
      </c>
      <c r="AK62" s="5">
        <v>20</v>
      </c>
      <c r="AL62" s="5">
        <v>20</v>
      </c>
      <c r="AM62" s="5">
        <v>15</v>
      </c>
      <c r="AN62" s="5">
        <v>9</v>
      </c>
      <c r="AO62" s="5">
        <v>7</v>
      </c>
      <c r="AP62" s="5">
        <v>4</v>
      </c>
      <c r="AQ62" s="5">
        <v>1</v>
      </c>
      <c r="AR62" s="13">
        <v>-2</v>
      </c>
      <c r="AS62" s="13">
        <v>-5</v>
      </c>
      <c r="AT62" s="13">
        <v>-8</v>
      </c>
      <c r="AU62" s="13">
        <v>-11</v>
      </c>
      <c r="AV62" s="14">
        <v>-14</v>
      </c>
      <c r="AX62" s="244">
        <v>7500</v>
      </c>
      <c r="AY62" s="5">
        <f t="shared" si="55"/>
        <v>0</v>
      </c>
      <c r="AZ62" s="5">
        <f t="shared" si="56"/>
        <v>0</v>
      </c>
      <c r="BA62" s="5">
        <f t="shared" si="57"/>
        <v>0</v>
      </c>
      <c r="BB62" s="5">
        <f t="shared" si="58"/>
        <v>0</v>
      </c>
      <c r="BC62" s="5">
        <f t="shared" si="59"/>
        <v>0</v>
      </c>
      <c r="BD62" s="5">
        <f t="shared" si="60"/>
        <v>0</v>
      </c>
      <c r="BE62" s="5">
        <f t="shared" si="61"/>
        <v>0</v>
      </c>
      <c r="BF62" s="5">
        <f t="shared" si="62"/>
        <v>0</v>
      </c>
      <c r="BG62" s="5">
        <f t="shared" si="63"/>
        <v>0</v>
      </c>
      <c r="BH62" s="5">
        <f t="shared" si="64"/>
        <v>0</v>
      </c>
      <c r="BI62" s="5">
        <f t="shared" si="65"/>
        <v>-1</v>
      </c>
      <c r="BJ62" s="5">
        <f t="shared" si="66"/>
        <v>-1</v>
      </c>
      <c r="BK62" s="5">
        <f t="shared" si="67"/>
        <v>1</v>
      </c>
      <c r="BL62" s="5">
        <f t="shared" si="68"/>
        <v>-2</v>
      </c>
      <c r="BM62" s="5">
        <f t="shared" si="69"/>
        <v>-4</v>
      </c>
      <c r="BN62" s="5">
        <f t="shared" si="70"/>
        <v>-5</v>
      </c>
      <c r="BO62" s="5">
        <f t="shared" si="71"/>
        <v>-4</v>
      </c>
      <c r="BP62" s="5">
        <f t="shared" si="72"/>
        <v>-2</v>
      </c>
      <c r="BQ62" s="5">
        <f t="shared" si="73"/>
        <v>1</v>
      </c>
      <c r="BR62" s="5">
        <f t="shared" si="53"/>
        <v>4</v>
      </c>
      <c r="BS62" s="6">
        <f t="shared" si="54"/>
        <v>7</v>
      </c>
    </row>
    <row r="63" spans="26:72" ht="16.5" customHeight="1" thickBot="1">
      <c r="Z63" s="266"/>
      <c r="AA63" s="243">
        <v>3000</v>
      </c>
      <c r="AB63" s="247">
        <v>28</v>
      </c>
      <c r="AC63" s="5">
        <v>28</v>
      </c>
      <c r="AD63" s="5">
        <v>38</v>
      </c>
      <c r="AE63" s="5">
        <v>38</v>
      </c>
      <c r="AF63" s="5">
        <v>35</v>
      </c>
      <c r="AG63" s="5">
        <v>32</v>
      </c>
      <c r="AH63" s="5">
        <v>30</v>
      </c>
      <c r="AI63" s="5">
        <v>29</v>
      </c>
      <c r="AJ63" s="5">
        <v>28</v>
      </c>
      <c r="AK63" s="5">
        <v>26</v>
      </c>
      <c r="AL63" s="5">
        <v>22</v>
      </c>
      <c r="AM63" s="5">
        <v>18</v>
      </c>
      <c r="AN63" s="5">
        <v>12</v>
      </c>
      <c r="AO63" s="5">
        <v>7</v>
      </c>
      <c r="AP63" s="5">
        <v>6</v>
      </c>
      <c r="AQ63" s="12">
        <v>5</v>
      </c>
      <c r="AR63" s="17">
        <v>1</v>
      </c>
      <c r="AS63" s="18">
        <v>-2</v>
      </c>
      <c r="AT63" s="18">
        <v>-5</v>
      </c>
      <c r="AU63" s="18">
        <v>-8</v>
      </c>
      <c r="AV63" s="19">
        <v>-11</v>
      </c>
      <c r="AX63" s="245">
        <v>11000</v>
      </c>
      <c r="AY63" s="7">
        <f t="shared" si="55"/>
        <v>0</v>
      </c>
      <c r="AZ63" s="7">
        <f t="shared" si="56"/>
        <v>0</v>
      </c>
      <c r="BA63" s="7">
        <f t="shared" si="57"/>
        <v>0</v>
      </c>
      <c r="BB63" s="7">
        <f t="shared" si="58"/>
        <v>0</v>
      </c>
      <c r="BC63" s="7">
        <f t="shared" si="59"/>
        <v>0</v>
      </c>
      <c r="BD63" s="7">
        <f t="shared" si="60"/>
        <v>0</v>
      </c>
      <c r="BE63" s="7">
        <f t="shared" si="61"/>
        <v>0</v>
      </c>
      <c r="BF63" s="7">
        <f t="shared" si="62"/>
        <v>0</v>
      </c>
      <c r="BG63" s="7">
        <f t="shared" si="63"/>
        <v>0</v>
      </c>
      <c r="BH63" s="7">
        <f t="shared" si="64"/>
        <v>0</v>
      </c>
      <c r="BI63" s="7">
        <f t="shared" si="65"/>
        <v>-1</v>
      </c>
      <c r="BJ63" s="7">
        <f t="shared" si="66"/>
        <v>-1</v>
      </c>
      <c r="BK63" s="7">
        <f t="shared" si="67"/>
        <v>1</v>
      </c>
      <c r="BL63" s="7">
        <f t="shared" si="68"/>
        <v>-2</v>
      </c>
      <c r="BM63" s="7">
        <f t="shared" si="69"/>
        <v>-3</v>
      </c>
      <c r="BN63" s="7">
        <f t="shared" si="70"/>
        <v>-4</v>
      </c>
      <c r="BO63" s="7">
        <f t="shared" si="71"/>
        <v>-3</v>
      </c>
      <c r="BP63" s="7">
        <f t="shared" si="72"/>
        <v>-2</v>
      </c>
      <c r="BQ63" s="7">
        <f t="shared" si="73"/>
        <v>1</v>
      </c>
      <c r="BR63" s="7">
        <f t="shared" si="53"/>
        <v>4</v>
      </c>
      <c r="BS63" s="8">
        <f t="shared" si="54"/>
        <v>7</v>
      </c>
    </row>
    <row r="64" spans="26:72" ht="16.5" customHeight="1">
      <c r="Z64" s="266"/>
      <c r="AA64" s="243">
        <v>3500</v>
      </c>
      <c r="AB64" s="247">
        <v>28</v>
      </c>
      <c r="AC64" s="5">
        <v>28</v>
      </c>
      <c r="AD64" s="5">
        <v>38</v>
      </c>
      <c r="AE64" s="5">
        <v>38</v>
      </c>
      <c r="AF64" s="5">
        <v>35</v>
      </c>
      <c r="AG64" s="5">
        <v>32</v>
      </c>
      <c r="AH64" s="5">
        <v>31</v>
      </c>
      <c r="AI64" s="5">
        <v>30</v>
      </c>
      <c r="AJ64" s="5">
        <v>28</v>
      </c>
      <c r="AK64" s="5">
        <v>27</v>
      </c>
      <c r="AL64" s="5">
        <v>25</v>
      </c>
      <c r="AM64" s="5">
        <v>20</v>
      </c>
      <c r="AN64" s="5">
        <v>15</v>
      </c>
      <c r="AO64" s="5">
        <v>11</v>
      </c>
      <c r="AP64" s="5">
        <v>8</v>
      </c>
      <c r="AQ64" s="12">
        <v>7</v>
      </c>
      <c r="AR64" s="20">
        <v>5</v>
      </c>
      <c r="AS64" s="10">
        <v>2</v>
      </c>
      <c r="AT64" s="10">
        <v>-1</v>
      </c>
      <c r="AU64" s="10">
        <v>-4</v>
      </c>
      <c r="AV64" s="11">
        <v>-7</v>
      </c>
    </row>
    <row r="65" spans="26:48" ht="16.5" customHeight="1" thickBot="1">
      <c r="Z65" s="266"/>
      <c r="AA65" s="243">
        <v>4000</v>
      </c>
      <c r="AB65" s="247">
        <v>28</v>
      </c>
      <c r="AC65" s="5">
        <v>28</v>
      </c>
      <c r="AD65" s="5">
        <v>38</v>
      </c>
      <c r="AE65" s="5">
        <v>38</v>
      </c>
      <c r="AF65" s="5">
        <v>35</v>
      </c>
      <c r="AG65" s="5">
        <v>32</v>
      </c>
      <c r="AH65" s="5">
        <v>31</v>
      </c>
      <c r="AI65" s="5">
        <v>30</v>
      </c>
      <c r="AJ65" s="5">
        <v>28</v>
      </c>
      <c r="AK65" s="5">
        <v>27</v>
      </c>
      <c r="AL65" s="5">
        <v>25</v>
      </c>
      <c r="AM65" s="5">
        <v>20</v>
      </c>
      <c r="AN65" s="5">
        <v>15</v>
      </c>
      <c r="AO65" s="5">
        <v>12</v>
      </c>
      <c r="AP65" s="5">
        <v>9</v>
      </c>
      <c r="AQ65" s="12">
        <v>8</v>
      </c>
      <c r="AR65" s="21">
        <v>7</v>
      </c>
      <c r="AS65" s="22">
        <v>3</v>
      </c>
      <c r="AT65" s="22">
        <v>0</v>
      </c>
      <c r="AU65" s="22">
        <v>-3</v>
      </c>
      <c r="AV65" s="23">
        <v>-6</v>
      </c>
    </row>
    <row r="66" spans="26:48" ht="16.5" customHeight="1">
      <c r="Z66" s="266"/>
      <c r="AA66" s="243">
        <v>4500</v>
      </c>
      <c r="AB66" s="247">
        <v>33</v>
      </c>
      <c r="AC66" s="5">
        <v>33</v>
      </c>
      <c r="AD66" s="5">
        <v>38</v>
      </c>
      <c r="AE66" s="5">
        <v>38</v>
      </c>
      <c r="AF66" s="5">
        <v>35</v>
      </c>
      <c r="AG66" s="5">
        <v>32</v>
      </c>
      <c r="AH66" s="5">
        <v>31</v>
      </c>
      <c r="AI66" s="5">
        <v>30</v>
      </c>
      <c r="AJ66" s="5">
        <v>28</v>
      </c>
      <c r="AK66" s="5">
        <v>27</v>
      </c>
      <c r="AL66" s="5">
        <v>25</v>
      </c>
      <c r="AM66" s="5">
        <v>20</v>
      </c>
      <c r="AN66" s="5">
        <v>16</v>
      </c>
      <c r="AO66" s="5">
        <v>13</v>
      </c>
      <c r="AP66" s="5">
        <v>10</v>
      </c>
      <c r="AQ66" s="5">
        <v>8</v>
      </c>
      <c r="AR66" s="15">
        <v>5</v>
      </c>
      <c r="AS66" s="15">
        <v>2</v>
      </c>
      <c r="AT66" s="15">
        <v>-1</v>
      </c>
      <c r="AU66" s="15">
        <v>-4</v>
      </c>
      <c r="AV66" s="16">
        <v>-7</v>
      </c>
    </row>
    <row r="67" spans="26:48" ht="16.5" customHeight="1">
      <c r="Z67" s="266"/>
      <c r="AA67" s="244">
        <v>5000</v>
      </c>
      <c r="AB67" s="247">
        <v>38</v>
      </c>
      <c r="AC67" s="5">
        <v>38</v>
      </c>
      <c r="AD67" s="5">
        <v>38</v>
      </c>
      <c r="AE67" s="5">
        <v>38</v>
      </c>
      <c r="AF67" s="5">
        <v>35</v>
      </c>
      <c r="AG67" s="5">
        <v>32</v>
      </c>
      <c r="AH67" s="5">
        <v>31</v>
      </c>
      <c r="AI67" s="5">
        <v>30</v>
      </c>
      <c r="AJ67" s="5">
        <v>28</v>
      </c>
      <c r="AK67" s="5">
        <v>27</v>
      </c>
      <c r="AL67" s="5">
        <v>25</v>
      </c>
      <c r="AM67" s="5">
        <v>20</v>
      </c>
      <c r="AN67" s="5">
        <v>16</v>
      </c>
      <c r="AO67" s="5">
        <v>12</v>
      </c>
      <c r="AP67" s="5">
        <v>10</v>
      </c>
      <c r="AQ67" s="5">
        <v>10</v>
      </c>
      <c r="AR67" s="5">
        <v>7</v>
      </c>
      <c r="AS67" s="5">
        <v>4</v>
      </c>
      <c r="AT67" s="5">
        <v>1</v>
      </c>
      <c r="AU67" s="5">
        <v>-2</v>
      </c>
      <c r="AV67" s="6">
        <v>-5</v>
      </c>
    </row>
    <row r="68" spans="26:48" ht="16.5" customHeight="1">
      <c r="Z68" s="266"/>
      <c r="AA68" s="244">
        <v>5500</v>
      </c>
      <c r="AB68" s="247">
        <v>38</v>
      </c>
      <c r="AC68" s="5">
        <v>38</v>
      </c>
      <c r="AD68" s="5">
        <v>38</v>
      </c>
      <c r="AE68" s="5">
        <v>38</v>
      </c>
      <c r="AF68" s="5">
        <v>35</v>
      </c>
      <c r="AG68" s="5">
        <v>32</v>
      </c>
      <c r="AH68" s="5">
        <v>31</v>
      </c>
      <c r="AI68" s="5">
        <v>30</v>
      </c>
      <c r="AJ68" s="5">
        <v>28</v>
      </c>
      <c r="AK68" s="5">
        <v>27</v>
      </c>
      <c r="AL68" s="5">
        <v>25</v>
      </c>
      <c r="AM68" s="5">
        <v>20</v>
      </c>
      <c r="AN68" s="5">
        <v>15</v>
      </c>
      <c r="AO68" s="5">
        <v>13</v>
      </c>
      <c r="AP68" s="5">
        <v>11</v>
      </c>
      <c r="AQ68" s="5">
        <v>9</v>
      </c>
      <c r="AR68" s="5">
        <v>6</v>
      </c>
      <c r="AS68" s="5">
        <v>3</v>
      </c>
      <c r="AT68" s="5">
        <v>0</v>
      </c>
      <c r="AU68" s="5">
        <v>-3</v>
      </c>
      <c r="AV68" s="6">
        <v>-6</v>
      </c>
    </row>
    <row r="69" spans="26:48" ht="16.5" customHeight="1">
      <c r="Z69" s="266"/>
      <c r="AA69" s="244">
        <v>6000</v>
      </c>
      <c r="AB69" s="247">
        <v>38</v>
      </c>
      <c r="AC69" s="5">
        <v>38</v>
      </c>
      <c r="AD69" s="5">
        <v>38</v>
      </c>
      <c r="AE69" s="5">
        <v>38</v>
      </c>
      <c r="AF69" s="5">
        <v>35</v>
      </c>
      <c r="AG69" s="5">
        <v>34</v>
      </c>
      <c r="AH69" s="5">
        <v>32</v>
      </c>
      <c r="AI69" s="5">
        <v>31</v>
      </c>
      <c r="AJ69" s="5">
        <v>30</v>
      </c>
      <c r="AK69" s="5">
        <v>28</v>
      </c>
      <c r="AL69" s="5">
        <v>26</v>
      </c>
      <c r="AM69" s="5">
        <v>23</v>
      </c>
      <c r="AN69" s="5">
        <v>18</v>
      </c>
      <c r="AO69" s="5">
        <v>16</v>
      </c>
      <c r="AP69" s="5">
        <v>14</v>
      </c>
      <c r="AQ69" s="5">
        <v>13</v>
      </c>
      <c r="AR69" s="5">
        <v>10</v>
      </c>
      <c r="AS69" s="5">
        <v>7</v>
      </c>
      <c r="AT69" s="5">
        <v>4</v>
      </c>
      <c r="AU69" s="5">
        <v>1</v>
      </c>
      <c r="AV69" s="6">
        <v>-2</v>
      </c>
    </row>
    <row r="70" spans="26:48" ht="16.5" customHeight="1">
      <c r="Z70" s="266"/>
      <c r="AA70" s="244">
        <v>6500</v>
      </c>
      <c r="AB70" s="247">
        <v>38</v>
      </c>
      <c r="AC70" s="5">
        <v>38</v>
      </c>
      <c r="AD70" s="5">
        <v>38</v>
      </c>
      <c r="AE70" s="5">
        <v>38</v>
      </c>
      <c r="AF70" s="5">
        <v>38</v>
      </c>
      <c r="AG70" s="5">
        <v>37</v>
      </c>
      <c r="AH70" s="5">
        <v>35</v>
      </c>
      <c r="AI70" s="5">
        <v>34</v>
      </c>
      <c r="AJ70" s="5">
        <v>34</v>
      </c>
      <c r="AK70" s="5">
        <v>32</v>
      </c>
      <c r="AL70" s="5">
        <v>30</v>
      </c>
      <c r="AM70" s="5">
        <v>27</v>
      </c>
      <c r="AN70" s="5">
        <v>22</v>
      </c>
      <c r="AO70" s="5">
        <v>20</v>
      </c>
      <c r="AP70" s="5">
        <v>18</v>
      </c>
      <c r="AQ70" s="5">
        <v>15</v>
      </c>
      <c r="AR70" s="5">
        <v>12</v>
      </c>
      <c r="AS70" s="5">
        <v>9</v>
      </c>
      <c r="AT70" s="5">
        <v>6</v>
      </c>
      <c r="AU70" s="5">
        <v>3</v>
      </c>
      <c r="AV70" s="6">
        <v>0</v>
      </c>
    </row>
    <row r="71" spans="26:48" ht="16.5" customHeight="1">
      <c r="Z71" s="266"/>
      <c r="AA71" s="244">
        <v>7000</v>
      </c>
      <c r="AB71" s="247">
        <v>38</v>
      </c>
      <c r="AC71" s="5">
        <v>38</v>
      </c>
      <c r="AD71" s="5">
        <v>38</v>
      </c>
      <c r="AE71" s="5">
        <v>38</v>
      </c>
      <c r="AF71" s="5">
        <v>38</v>
      </c>
      <c r="AG71" s="5">
        <v>37</v>
      </c>
      <c r="AH71" s="5">
        <v>36</v>
      </c>
      <c r="AI71" s="5">
        <v>35</v>
      </c>
      <c r="AJ71" s="5">
        <v>35</v>
      </c>
      <c r="AK71" s="5">
        <v>34</v>
      </c>
      <c r="AL71" s="5">
        <v>34</v>
      </c>
      <c r="AM71" s="5">
        <v>31</v>
      </c>
      <c r="AN71" s="5">
        <v>26</v>
      </c>
      <c r="AO71" s="5">
        <v>24</v>
      </c>
      <c r="AP71" s="5">
        <v>21</v>
      </c>
      <c r="AQ71" s="5">
        <v>18</v>
      </c>
      <c r="AR71" s="5">
        <v>15</v>
      </c>
      <c r="AS71" s="5">
        <v>12</v>
      </c>
      <c r="AT71" s="5">
        <v>9</v>
      </c>
      <c r="AU71" s="5">
        <v>6</v>
      </c>
      <c r="AV71" s="6">
        <v>3</v>
      </c>
    </row>
    <row r="72" spans="26:48" ht="16.5" customHeight="1">
      <c r="Z72" s="266"/>
      <c r="AA72" s="244">
        <v>7500</v>
      </c>
      <c r="AB72" s="247">
        <v>38</v>
      </c>
      <c r="AC72" s="5">
        <v>38</v>
      </c>
      <c r="AD72" s="5">
        <v>38</v>
      </c>
      <c r="AE72" s="5">
        <v>38</v>
      </c>
      <c r="AF72" s="5">
        <v>38</v>
      </c>
      <c r="AG72" s="5">
        <v>37</v>
      </c>
      <c r="AH72" s="5">
        <v>36</v>
      </c>
      <c r="AI72" s="5">
        <v>35</v>
      </c>
      <c r="AJ72" s="5">
        <v>35</v>
      </c>
      <c r="AK72" s="5">
        <v>34</v>
      </c>
      <c r="AL72" s="5">
        <v>34</v>
      </c>
      <c r="AM72" s="5">
        <v>31</v>
      </c>
      <c r="AN72" s="5">
        <v>26</v>
      </c>
      <c r="AO72" s="5">
        <v>24</v>
      </c>
      <c r="AP72" s="5">
        <v>21</v>
      </c>
      <c r="AQ72" s="5">
        <v>18</v>
      </c>
      <c r="AR72" s="5">
        <v>15</v>
      </c>
      <c r="AS72" s="5">
        <v>12</v>
      </c>
      <c r="AT72" s="5">
        <v>9</v>
      </c>
      <c r="AU72" s="5">
        <v>6</v>
      </c>
      <c r="AV72" s="6">
        <v>3</v>
      </c>
    </row>
    <row r="73" spans="26:48" ht="16.5" customHeight="1" thickBot="1">
      <c r="Z73" s="267"/>
      <c r="AA73" s="245">
        <v>11000</v>
      </c>
      <c r="AB73" s="248">
        <v>38</v>
      </c>
      <c r="AC73" s="7">
        <v>38</v>
      </c>
      <c r="AD73" s="7">
        <v>38</v>
      </c>
      <c r="AE73" s="7">
        <v>38</v>
      </c>
      <c r="AF73" s="7">
        <v>38</v>
      </c>
      <c r="AG73" s="7">
        <v>37</v>
      </c>
      <c r="AH73" s="7">
        <v>36</v>
      </c>
      <c r="AI73" s="7">
        <v>35</v>
      </c>
      <c r="AJ73" s="7">
        <v>35</v>
      </c>
      <c r="AK73" s="7">
        <v>34</v>
      </c>
      <c r="AL73" s="7">
        <v>34</v>
      </c>
      <c r="AM73" s="7">
        <v>31</v>
      </c>
      <c r="AN73" s="7">
        <v>26</v>
      </c>
      <c r="AO73" s="7">
        <v>24</v>
      </c>
      <c r="AP73" s="7">
        <v>21</v>
      </c>
      <c r="AQ73" s="7">
        <v>18</v>
      </c>
      <c r="AR73" s="7">
        <v>15</v>
      </c>
      <c r="AS73" s="7">
        <v>12</v>
      </c>
      <c r="AT73" s="7">
        <v>9</v>
      </c>
      <c r="AU73" s="7">
        <v>6</v>
      </c>
      <c r="AV73" s="8">
        <v>3</v>
      </c>
    </row>
  </sheetData>
  <mergeCells count="14">
    <mergeCell ref="Z54:Z73"/>
    <mergeCell ref="Z30:Z49"/>
    <mergeCell ref="Z6:Z25"/>
    <mergeCell ref="AY42:BS42"/>
    <mergeCell ref="AY17:BS17"/>
    <mergeCell ref="AB52:AV52"/>
    <mergeCell ref="AB51:AV51"/>
    <mergeCell ref="Z3:AA5"/>
    <mergeCell ref="Z27:AA29"/>
    <mergeCell ref="Z51:AA53"/>
    <mergeCell ref="AB4:AV4"/>
    <mergeCell ref="AB3:AV3"/>
    <mergeCell ref="AB28:AV28"/>
    <mergeCell ref="AB27:AV27"/>
  </mergeCells>
  <phoneticPr fontId="1" type="noConversion"/>
  <conditionalFormatting sqref="AB6:AV25">
    <cfRule type="cellIs" dxfId="89" priority="1" stopIfTrue="1" operator="lessThan">
      <formula>AB30</formula>
    </cfRule>
    <cfRule type="cellIs" dxfId="88" priority="2" stopIfTrue="1" operator="greaterThan">
      <formula>AB30</formula>
    </cfRule>
  </conditionalFormatting>
  <conditionalFormatting sqref="AY19:BS38 AY44:BS63">
    <cfRule type="cellIs" dxfId="87" priority="3" stopIfTrue="1" operator="greaterThan">
      <formula>0</formula>
    </cfRule>
    <cfRule type="cellIs" dxfId="86" priority="4" stopIfTrue="1" operator="lessThan">
      <formula>0</formula>
    </cfRule>
  </conditionalFormatting>
  <printOptions horizontalCentered="1"/>
  <pageMargins left="0.25" right="0.25" top="1" bottom="1" header="0.5" footer="0.5"/>
  <pageSetup paperSize="17"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sheetPr codeName="Sheet1"/>
  <dimension ref="A1:CG116"/>
  <sheetViews>
    <sheetView zoomScale="55" zoomScaleNormal="55" workbookViewId="0">
      <selection activeCell="AX121" sqref="AX121"/>
    </sheetView>
  </sheetViews>
  <sheetFormatPr defaultColWidth="9.140625" defaultRowHeight="12.75"/>
  <cols>
    <col min="1" max="1" width="1.5703125" style="37" customWidth="1"/>
    <col min="2" max="20" width="4.5703125" style="37" customWidth="1"/>
    <col min="21" max="21" width="3.28515625" style="37" customWidth="1"/>
    <col min="22" max="22" width="6" style="37" customWidth="1"/>
    <col min="23" max="23" width="5.7109375" style="37" customWidth="1"/>
    <col min="24" max="24" width="5.7109375" style="37" bestFit="1" customWidth="1"/>
    <col min="25" max="33" width="5.7109375" style="37" customWidth="1"/>
    <col min="34" max="34" width="5.7109375" style="37" bestFit="1" customWidth="1"/>
    <col min="35" max="42" width="5.7109375" style="37" customWidth="1"/>
    <col min="43" max="46" width="3.140625" style="37" customWidth="1"/>
    <col min="47" max="47" width="5.5703125" style="38" bestFit="1" customWidth="1"/>
    <col min="48" max="64" width="6.7109375" style="39" bestFit="1" customWidth="1"/>
    <col min="65" max="65" width="5.42578125" style="40" bestFit="1" customWidth="1"/>
    <col min="66" max="71" width="6.140625" style="37" bestFit="1" customWidth="1"/>
    <col min="72" max="83" width="6.42578125" style="37" bestFit="1" customWidth="1"/>
    <col min="84" max="85" width="6.5703125" style="37" bestFit="1" customWidth="1"/>
    <col min="86" max="89" width="4.5703125" style="37" customWidth="1"/>
    <col min="90" max="16384" width="9.140625" style="37"/>
  </cols>
  <sheetData>
    <row r="1" spans="1:85" ht="18" customHeight="1" thickBot="1">
      <c r="A1" s="75"/>
      <c r="B1" s="75"/>
      <c r="C1" s="75"/>
      <c r="D1" s="75"/>
      <c r="U1" s="359" t="s">
        <v>11</v>
      </c>
      <c r="V1" s="359"/>
      <c r="W1" s="296" t="s">
        <v>14</v>
      </c>
      <c r="X1" s="297"/>
      <c r="Y1" s="297"/>
      <c r="Z1" s="328" t="s">
        <v>12</v>
      </c>
      <c r="AA1" s="328"/>
      <c r="AB1" s="80">
        <v>15</v>
      </c>
      <c r="AC1" s="81"/>
      <c r="AD1" s="333" t="s">
        <v>13</v>
      </c>
      <c r="AE1" s="333"/>
      <c r="AF1" s="82">
        <v>15</v>
      </c>
      <c r="AG1" s="83"/>
      <c r="AH1" s="85"/>
      <c r="AI1" s="85"/>
      <c r="AJ1" s="85"/>
      <c r="AK1" s="84"/>
      <c r="AM1" s="88"/>
      <c r="AN1" s="78"/>
      <c r="AO1" s="78"/>
      <c r="AP1" s="78"/>
      <c r="AR1" s="304" t="s">
        <v>9</v>
      </c>
      <c r="AS1" s="305"/>
      <c r="AT1" s="305"/>
      <c r="AU1" s="305"/>
      <c r="AV1" s="305"/>
      <c r="AW1" s="305"/>
      <c r="AX1" s="305"/>
      <c r="AY1" s="305"/>
      <c r="AZ1" s="305"/>
      <c r="BA1" s="305"/>
      <c r="BB1" s="305"/>
      <c r="BC1" s="305"/>
      <c r="BD1" s="305"/>
      <c r="BE1" s="305"/>
      <c r="BF1" s="305"/>
      <c r="BG1" s="305"/>
      <c r="BH1" s="305"/>
      <c r="BI1" s="305"/>
      <c r="BJ1" s="305"/>
      <c r="BK1" s="306"/>
    </row>
    <row r="2" spans="1:85" ht="20.25" customHeight="1" thickBot="1">
      <c r="U2" s="351" t="s">
        <v>10</v>
      </c>
      <c r="V2" s="351"/>
      <c r="W2" s="299" t="s">
        <v>15</v>
      </c>
      <c r="X2" s="300"/>
      <c r="Y2" s="300"/>
      <c r="Z2" s="298">
        <f>-AB1</f>
        <v>-15</v>
      </c>
      <c r="AA2" s="298"/>
      <c r="AB2" s="86"/>
      <c r="AC2" s="86"/>
      <c r="AD2" s="320">
        <f>AF1</f>
        <v>15</v>
      </c>
      <c r="AE2" s="320"/>
      <c r="AF2" s="87"/>
      <c r="AH2" s="86"/>
      <c r="AI2" s="89" t="b">
        <v>1</v>
      </c>
      <c r="AJ2" s="85"/>
      <c r="AK2" s="86"/>
      <c r="AL2" s="88"/>
      <c r="AM2" s="88"/>
    </row>
    <row r="3" spans="1:85" ht="15" customHeight="1" thickBot="1">
      <c r="A3" s="36"/>
      <c r="U3" s="278">
        <v>1</v>
      </c>
      <c r="V3" s="279"/>
      <c r="W3" s="304" t="s">
        <v>22</v>
      </c>
      <c r="X3" s="305"/>
      <c r="Y3" s="305"/>
      <c r="Z3" s="305"/>
      <c r="AA3" s="305"/>
      <c r="AB3" s="305"/>
      <c r="AC3" s="305"/>
      <c r="AD3" s="305"/>
      <c r="AE3" s="305"/>
      <c r="AF3" s="305"/>
      <c r="AG3" s="305"/>
      <c r="AH3" s="305"/>
      <c r="AI3" s="305"/>
      <c r="AJ3" s="305"/>
      <c r="AK3" s="305"/>
      <c r="AL3" s="305"/>
      <c r="AM3" s="305"/>
      <c r="AN3" s="305"/>
      <c r="AO3" s="305"/>
      <c r="AP3" s="306"/>
    </row>
    <row r="4" spans="1:85" ht="15" customHeight="1" thickBot="1">
      <c r="A4" s="36"/>
      <c r="U4" s="280"/>
      <c r="V4" s="281"/>
      <c r="W4" s="284" t="s">
        <v>0</v>
      </c>
      <c r="X4" s="360"/>
      <c r="Y4" s="360"/>
      <c r="Z4" s="360"/>
      <c r="AA4" s="360"/>
      <c r="AB4" s="360"/>
      <c r="AC4" s="360"/>
      <c r="AD4" s="360"/>
      <c r="AE4" s="360"/>
      <c r="AF4" s="360"/>
      <c r="AG4" s="360"/>
      <c r="AH4" s="360"/>
      <c r="AI4" s="360"/>
      <c r="AJ4" s="360"/>
      <c r="AK4" s="360"/>
      <c r="AL4" s="360"/>
      <c r="AM4" s="360"/>
      <c r="AN4" s="360"/>
      <c r="AO4" s="360"/>
      <c r="AP4" s="361"/>
    </row>
    <row r="5" spans="1:85" ht="15" customHeight="1" thickBot="1">
      <c r="A5" s="36"/>
      <c r="U5" s="282"/>
      <c r="V5" s="283"/>
      <c r="W5" s="103">
        <v>10</v>
      </c>
      <c r="X5" s="104">
        <v>20</v>
      </c>
      <c r="Y5" s="104">
        <v>30</v>
      </c>
      <c r="Z5" s="104">
        <v>40</v>
      </c>
      <c r="AA5" s="105">
        <v>50</v>
      </c>
      <c r="AB5" s="105">
        <v>60</v>
      </c>
      <c r="AC5" s="105">
        <v>70</v>
      </c>
      <c r="AD5" s="105">
        <v>80</v>
      </c>
      <c r="AE5" s="105">
        <v>90</v>
      </c>
      <c r="AF5" s="105">
        <v>100</v>
      </c>
      <c r="AG5" s="105">
        <v>120</v>
      </c>
      <c r="AH5" s="105">
        <v>140</v>
      </c>
      <c r="AI5" s="106">
        <v>160</v>
      </c>
      <c r="AJ5" s="106">
        <v>180</v>
      </c>
      <c r="AK5" s="106">
        <v>200</v>
      </c>
      <c r="AL5" s="106">
        <v>220</v>
      </c>
      <c r="AM5" s="106">
        <v>240</v>
      </c>
      <c r="AN5" s="107">
        <v>260</v>
      </c>
      <c r="AO5" s="101">
        <v>280</v>
      </c>
      <c r="AP5" s="192">
        <v>300</v>
      </c>
    </row>
    <row r="6" spans="1:85" ht="15" customHeight="1">
      <c r="A6" s="36"/>
      <c r="U6" s="301" t="s">
        <v>1</v>
      </c>
      <c r="V6" s="47">
        <v>500</v>
      </c>
      <c r="W6" s="48">
        <f>14.7*128/IF(AND($AI$2,W77),MIN($AL$22,MAX($AL$23,$AA$21+W100)),MIN($AL$22,MAX($AL$23,($AA$21+MAX(W100+$Z$2,MIN(W100+$AD$2,ROUND(AVERAGE(W100,W100,W100,W100,W100:X101),0)))))))</f>
        <v>13.34468085106383</v>
      </c>
      <c r="X6" s="48">
        <f t="shared" ref="X6:AK6" si="0">14.7*128/IF(AND($AI$2,X77),MIN($AL$22,MAX($AL$23,$AA$21+X100)),MIN($AL$22,MAX($AL$23,($AA$21+MAX(X100+$Z$2,MIN(X100+$AD$2,ROUND(AVERAGE(X100,X100,X100,X100,W100:Y101),0)))))))</f>
        <v>13.34468085106383</v>
      </c>
      <c r="Y6" s="48">
        <f t="shared" si="0"/>
        <v>13.34468085106383</v>
      </c>
      <c r="Z6" s="48">
        <f t="shared" si="0"/>
        <v>13.34468085106383</v>
      </c>
      <c r="AA6" s="48">
        <f t="shared" si="0"/>
        <v>13.34468085106383</v>
      </c>
      <c r="AB6" s="48">
        <f t="shared" si="0"/>
        <v>13.34468085106383</v>
      </c>
      <c r="AC6" s="48">
        <f t="shared" si="0"/>
        <v>13.734306569343065</v>
      </c>
      <c r="AD6" s="48">
        <f t="shared" si="0"/>
        <v>13.536690647482013</v>
      </c>
      <c r="AE6" s="48">
        <f t="shared" si="0"/>
        <v>12.976551724137931</v>
      </c>
      <c r="AF6" s="48">
        <f t="shared" si="0"/>
        <v>12.713513513513513</v>
      </c>
      <c r="AG6" s="48">
        <f t="shared" si="0"/>
        <v>12.543999999999999</v>
      </c>
      <c r="AH6" s="48">
        <f t="shared" si="0"/>
        <v>12.298039215686273</v>
      </c>
      <c r="AI6" s="48">
        <f t="shared" si="0"/>
        <v>12.061538461538461</v>
      </c>
      <c r="AJ6" s="48">
        <f t="shared" si="0"/>
        <v>11.833962264150943</v>
      </c>
      <c r="AK6" s="48">
        <f t="shared" si="0"/>
        <v>11.614814814814814</v>
      </c>
      <c r="AL6" s="48">
        <f>14.7*128/IF(AND($AI$2,AL77),MIN($AL$22,MAX($AL$23,$AA$21+AL100)),MIN($AL$22,MAX($AL$23,($AA$21+MAX(AL100+$Z$2,MIN(AL100+$AD$2,ROUND(AVERAGE(AL100,AL100,AL100,AL100,AK100:AM101),0)))))))</f>
        <v>11.403636363636362</v>
      </c>
      <c r="AM6" s="48">
        <f>14.7*128/IF(AND($AI$2,AM77),MIN($AL$22,MAX($AL$23,$AA$21+AM100)),MIN($AL$22,MAX($AL$23,($AA$21+MAX(AM100+$Z$2,MIN(AM100+$AD$2,ROUND(AVERAGE(AM100,AM100,AM100,AM100,AL100:AN101),0)))))))</f>
        <v>11.2</v>
      </c>
      <c r="AN6" s="48">
        <f>14.7*128/IF(AND($AI$2,AN77),MIN($AL$22,MAX($AL$23,$AA$21+AN100)),MIN($AL$22,MAX($AL$23,($AA$21+MAX(AN100+$Z$2,MIN(AN100+$AD$2,ROUND(AVERAGE(AN100,AN100,AN100,AN100,AM100:AO101),0)))))))</f>
        <v>11.003508771929823</v>
      </c>
      <c r="AO6" s="48">
        <f>14.7*128/IF(AND($AI$2,AO77),MIN($AL$22,MAX($AL$23,$AA$21+AO100)),MIN($AL$22,MAX($AL$23,($AA$21+MAX(AO100+$Z$2,MIN(AO100+$AD$2,ROUND(AVERAGE(AO100,AO100,AO100,AO100,AN100:AP101),0)))))))</f>
        <v>11.003508771929823</v>
      </c>
      <c r="AP6" s="56">
        <f>14.7*128/IF(AND($AI$2,AP77),MIN($AL$22,MAX($AL$23,$AA$21+AP100)),MIN($AL$22,MAX($AL$23,($AA$21+MAX(AP100+$Z$2,MIN(AP100+$AD$2,ROUND(AVERAGE(AP100,AP100,AP100,AP100,AO100:AP101),0)))))))</f>
        <v>10.939534883720929</v>
      </c>
    </row>
    <row r="7" spans="1:85" ht="15" customHeight="1">
      <c r="A7" s="36"/>
      <c r="U7" s="302"/>
      <c r="V7" s="49">
        <v>1000</v>
      </c>
      <c r="W7" s="48">
        <f t="shared" ref="W7:W19" si="1">14.7*128/IF(AND($AI$2,W78),MIN($AL$22,MAX($AL$23,$AA$21+W101)),MIN($AL$22,MAX($AL$23,($AA$21+MAX(W101+$Z$2,MIN(W101+$AD$2,ROUND(AVERAGE(W101,W101,W101,W101,W100:X102),0)))))))</f>
        <v>14.7</v>
      </c>
      <c r="X7" s="48">
        <f t="shared" ref="X7:AK7" si="2">14.7*128/IF(AND($AI$2,X78),MIN($AL$22,MAX($AL$23,$AA$21+X101)),MIN($AL$22,MAX($AL$23,($AA$21+MAX(X101+$Z$2,MIN(X101+$AD$2,ROUND(AVERAGE(X101,X101,X101,X101,W100:Y102),0)))))))</f>
        <v>14.7</v>
      </c>
      <c r="Y7" s="48">
        <f t="shared" si="2"/>
        <v>14.7</v>
      </c>
      <c r="Z7" s="48">
        <f t="shared" si="2"/>
        <v>14.7</v>
      </c>
      <c r="AA7" s="48">
        <f t="shared" si="2"/>
        <v>14.7</v>
      </c>
      <c r="AB7" s="48">
        <f t="shared" si="2"/>
        <v>14.7</v>
      </c>
      <c r="AC7" s="48">
        <f t="shared" si="2"/>
        <v>14.363358778625953</v>
      </c>
      <c r="AD7" s="48">
        <f t="shared" si="2"/>
        <v>14.147368421052631</v>
      </c>
      <c r="AE7" s="48">
        <f t="shared" si="2"/>
        <v>13.536690647482013</v>
      </c>
      <c r="AF7" s="48">
        <f t="shared" si="2"/>
        <v>13.250704225352113</v>
      </c>
      <c r="AG7" s="48">
        <f t="shared" si="2"/>
        <v>12.976551724137931</v>
      </c>
      <c r="AH7" s="48">
        <f t="shared" si="2"/>
        <v>12.628187919463087</v>
      </c>
      <c r="AI7" s="48">
        <f t="shared" si="2"/>
        <v>12.460927152317881</v>
      </c>
      <c r="AJ7" s="48">
        <f t="shared" si="2"/>
        <v>12.218181818181817</v>
      </c>
      <c r="AK7" s="48">
        <f t="shared" si="2"/>
        <v>11.984713375796177</v>
      </c>
      <c r="AL7" s="48">
        <f t="shared" ref="AL7:AO19" si="3">14.7*128/IF(AND($AI$2,AL78),MIN($AL$22,MAX($AL$23,$AA$21+AL101)),MIN($AL$22,MAX($AL$23,($AA$21+MAX(AL101+$Z$2,MIN(AL101+$AD$2,ROUND(AVERAGE(AL101,AL101,AL101,AL101,AK100:AM102),0)))))))</f>
        <v>11.76</v>
      </c>
      <c r="AM7" s="48">
        <f t="shared" si="3"/>
        <v>11.543558282208588</v>
      </c>
      <c r="AN7" s="48">
        <f t="shared" si="3"/>
        <v>11.403636363636362</v>
      </c>
      <c r="AO7" s="48">
        <f t="shared" si="3"/>
        <v>11.334939759036144</v>
      </c>
      <c r="AP7" s="56">
        <f t="shared" ref="AP7:AP19" si="4">14.7*128/IF(AND($AI$2,AP78),MIN($AL$22,MAX($AL$23,$AA$21+AP101)),MIN($AL$22,MAX($AL$23,($AA$21+MAX(AP101+$Z$2,MIN(AP101+$AD$2,ROUND(AVERAGE(AP101,AP101,AP101,AP101,AO100:AP102),0)))))))</f>
        <v>11.334939759036144</v>
      </c>
    </row>
    <row r="8" spans="1:85" ht="15" customHeight="1">
      <c r="A8" s="36"/>
      <c r="U8" s="302"/>
      <c r="V8" s="50">
        <v>1500</v>
      </c>
      <c r="W8" s="48">
        <f t="shared" si="1"/>
        <v>14.7</v>
      </c>
      <c r="X8" s="48">
        <f t="shared" ref="X8:AK8" si="5">14.7*128/IF(AND($AI$2,X79),MIN($AL$22,MAX($AL$23,$AA$21+X102)),MIN($AL$22,MAX($AL$23,($AA$21+MAX(X102+$Z$2,MIN(X102+$AD$2,ROUND(AVERAGE(X102,X102,X102,X102,W101:Y103),0)))))))</f>
        <v>14.7</v>
      </c>
      <c r="Y8" s="48">
        <f t="shared" si="5"/>
        <v>14.7</v>
      </c>
      <c r="Z8" s="48">
        <f t="shared" si="5"/>
        <v>14.7</v>
      </c>
      <c r="AA8" s="48">
        <f t="shared" si="5"/>
        <v>14.7</v>
      </c>
      <c r="AB8" s="48">
        <f t="shared" si="5"/>
        <v>14.7</v>
      </c>
      <c r="AC8" s="48">
        <f t="shared" si="5"/>
        <v>14.7</v>
      </c>
      <c r="AD8" s="48">
        <f t="shared" si="5"/>
        <v>14.473846153846154</v>
      </c>
      <c r="AE8" s="48">
        <f t="shared" si="5"/>
        <v>14.147368421052631</v>
      </c>
      <c r="AF8" s="48">
        <f t="shared" si="5"/>
        <v>13.734306569343065</v>
      </c>
      <c r="AG8" s="48">
        <f t="shared" si="5"/>
        <v>13.250704225352113</v>
      </c>
      <c r="AH8" s="48">
        <f t="shared" si="5"/>
        <v>12.976551724137931</v>
      </c>
      <c r="AI8" s="48">
        <f t="shared" si="5"/>
        <v>12.713513513513513</v>
      </c>
      <c r="AJ8" s="48">
        <f t="shared" si="5"/>
        <v>12.460927152317881</v>
      </c>
      <c r="AK8" s="48">
        <f t="shared" si="5"/>
        <v>12.298039215686273</v>
      </c>
      <c r="AL8" s="48">
        <f t="shared" si="3"/>
        <v>12.061538461538461</v>
      </c>
      <c r="AM8" s="48">
        <f t="shared" si="3"/>
        <v>11.833962264150943</v>
      </c>
      <c r="AN8" s="48">
        <f t="shared" si="3"/>
        <v>11.614814814814814</v>
      </c>
      <c r="AO8" s="48">
        <f t="shared" si="3"/>
        <v>11.614814814814814</v>
      </c>
      <c r="AP8" s="56">
        <f t="shared" si="4"/>
        <v>11.614814814814814</v>
      </c>
    </row>
    <row r="9" spans="1:85" ht="15" customHeight="1">
      <c r="A9" s="36"/>
      <c r="U9" s="302"/>
      <c r="V9" s="50">
        <v>2000</v>
      </c>
      <c r="W9" s="48">
        <f t="shared" si="1"/>
        <v>14.7</v>
      </c>
      <c r="X9" s="48">
        <f t="shared" ref="X9:AK9" si="6">14.7*128/IF(AND($AI$2,X80),MIN($AL$22,MAX($AL$23,$AA$21+X103)),MIN($AL$22,MAX($AL$23,($AA$21+MAX(X103+$Z$2,MIN(X103+$AD$2,ROUND(AVERAGE(X103,X103,X103,X103,W102:Y104),0)))))))</f>
        <v>14.7</v>
      </c>
      <c r="Y9" s="48">
        <f t="shared" si="6"/>
        <v>14.7</v>
      </c>
      <c r="Z9" s="48">
        <f t="shared" si="6"/>
        <v>14.7</v>
      </c>
      <c r="AA9" s="48">
        <f t="shared" si="6"/>
        <v>14.7</v>
      </c>
      <c r="AB9" s="48">
        <f t="shared" si="6"/>
        <v>14.7</v>
      </c>
      <c r="AC9" s="48">
        <f t="shared" si="6"/>
        <v>14.7</v>
      </c>
      <c r="AD9" s="48">
        <f t="shared" si="6"/>
        <v>14.586046511627906</v>
      </c>
      <c r="AE9" s="48">
        <f t="shared" si="6"/>
        <v>14.254545454545454</v>
      </c>
      <c r="AF9" s="48">
        <f t="shared" si="6"/>
        <v>13.835294117647058</v>
      </c>
      <c r="AG9" s="48">
        <f t="shared" si="6"/>
        <v>13.536690647482013</v>
      </c>
      <c r="AH9" s="48">
        <f t="shared" si="6"/>
        <v>13.158041958041958</v>
      </c>
      <c r="AI9" s="48">
        <f t="shared" si="6"/>
        <v>12.887671232876711</v>
      </c>
      <c r="AJ9" s="48">
        <f t="shared" si="6"/>
        <v>12.713513513513513</v>
      </c>
      <c r="AK9" s="48">
        <f t="shared" si="6"/>
        <v>12.460927152317881</v>
      </c>
      <c r="AL9" s="48">
        <f t="shared" si="3"/>
        <v>12.218181818181817</v>
      </c>
      <c r="AM9" s="48">
        <f t="shared" si="3"/>
        <v>11.984713375796177</v>
      </c>
      <c r="AN9" s="48">
        <f t="shared" si="3"/>
        <v>11.76</v>
      </c>
      <c r="AO9" s="48">
        <f t="shared" si="3"/>
        <v>11.76</v>
      </c>
      <c r="AP9" s="56">
        <f t="shared" si="4"/>
        <v>11.76</v>
      </c>
    </row>
    <row r="10" spans="1:85" ht="15" customHeight="1">
      <c r="A10" s="36"/>
      <c r="U10" s="302"/>
      <c r="V10" s="50">
        <v>2500</v>
      </c>
      <c r="W10" s="48">
        <f t="shared" si="1"/>
        <v>14.7</v>
      </c>
      <c r="X10" s="48">
        <f t="shared" ref="X10:AK10" si="7">14.7*128/IF(AND($AI$2,X81),MIN($AL$22,MAX($AL$23,$AA$21+X104)),MIN($AL$22,MAX($AL$23,($AA$21+MAX(X104+$Z$2,MIN(X104+$AD$2,ROUND(AVERAGE(X104,X104,X104,X104,W103:Y105),0)))))))</f>
        <v>14.7</v>
      </c>
      <c r="Y10" s="48">
        <f t="shared" si="7"/>
        <v>14.7</v>
      </c>
      <c r="Z10" s="48">
        <f t="shared" si="7"/>
        <v>14.7</v>
      </c>
      <c r="AA10" s="48">
        <f t="shared" si="7"/>
        <v>14.7</v>
      </c>
      <c r="AB10" s="48">
        <f t="shared" si="7"/>
        <v>14.7</v>
      </c>
      <c r="AC10" s="48">
        <f t="shared" si="7"/>
        <v>14.7</v>
      </c>
      <c r="AD10" s="48">
        <f t="shared" si="7"/>
        <v>14.586046511627906</v>
      </c>
      <c r="AE10" s="48">
        <f t="shared" si="7"/>
        <v>14.363358778625953</v>
      </c>
      <c r="AF10" s="48">
        <f t="shared" si="7"/>
        <v>14.041791044776119</v>
      </c>
      <c r="AG10" s="48">
        <f t="shared" si="7"/>
        <v>13.734306569343065</v>
      </c>
      <c r="AH10" s="48">
        <f t="shared" si="7"/>
        <v>13.250704225352113</v>
      </c>
      <c r="AI10" s="48">
        <f t="shared" si="7"/>
        <v>12.799999999999999</v>
      </c>
      <c r="AJ10" s="48">
        <f t="shared" si="7"/>
        <v>12.460927152317881</v>
      </c>
      <c r="AK10" s="48">
        <f t="shared" si="7"/>
        <v>12.218181818181817</v>
      </c>
      <c r="AL10" s="48">
        <f t="shared" si="3"/>
        <v>11.984713375796177</v>
      </c>
      <c r="AM10" s="48">
        <f t="shared" si="3"/>
        <v>11.76</v>
      </c>
      <c r="AN10" s="48">
        <f t="shared" si="3"/>
        <v>11.614814814814814</v>
      </c>
      <c r="AO10" s="48">
        <f t="shared" si="3"/>
        <v>11.543558282208588</v>
      </c>
      <c r="AP10" s="56">
        <f t="shared" si="4"/>
        <v>11.614814814814814</v>
      </c>
    </row>
    <row r="11" spans="1:85" ht="15" customHeight="1" thickBot="1">
      <c r="A11" s="36"/>
      <c r="U11" s="302"/>
      <c r="V11" s="51">
        <v>3000</v>
      </c>
      <c r="W11" s="48">
        <f t="shared" si="1"/>
        <v>14.7</v>
      </c>
      <c r="X11" s="48">
        <f t="shared" ref="X11:AK11" si="8">14.7*128/IF(AND($AI$2,X82),MIN($AL$22,MAX($AL$23,$AA$21+X105)),MIN($AL$22,MAX($AL$23,($AA$21+MAX(X105+$Z$2,MIN(X105+$AD$2,ROUND(AVERAGE(X105,X105,X105,X105,W104:Y106),0)))))))</f>
        <v>14.7</v>
      </c>
      <c r="Y11" s="48">
        <f t="shared" si="8"/>
        <v>14.7</v>
      </c>
      <c r="Z11" s="48">
        <f t="shared" si="8"/>
        <v>14.7</v>
      </c>
      <c r="AA11" s="48">
        <f t="shared" si="8"/>
        <v>14.7</v>
      </c>
      <c r="AB11" s="48">
        <f t="shared" si="8"/>
        <v>14.7</v>
      </c>
      <c r="AC11" s="48">
        <f t="shared" si="8"/>
        <v>14.7</v>
      </c>
      <c r="AD11" s="48">
        <f t="shared" si="8"/>
        <v>14.586046511627906</v>
      </c>
      <c r="AE11" s="48">
        <f t="shared" si="8"/>
        <v>14.363358778625953</v>
      </c>
      <c r="AF11" s="48">
        <f t="shared" si="8"/>
        <v>14.147368421052631</v>
      </c>
      <c r="AG11" s="48">
        <f t="shared" si="8"/>
        <v>13.734306569343065</v>
      </c>
      <c r="AH11" s="48">
        <f t="shared" si="8"/>
        <v>12.976551724137931</v>
      </c>
      <c r="AI11" s="48">
        <f t="shared" si="8"/>
        <v>12.061538461538461</v>
      </c>
      <c r="AJ11" s="48">
        <f t="shared" si="8"/>
        <v>11.614814814814814</v>
      </c>
      <c r="AK11" s="48">
        <f t="shared" si="8"/>
        <v>11.334939759036144</v>
      </c>
      <c r="AL11" s="48">
        <f t="shared" si="3"/>
        <v>11.2</v>
      </c>
      <c r="AM11" s="48">
        <f t="shared" si="3"/>
        <v>11.003508771929823</v>
      </c>
      <c r="AN11" s="48">
        <f t="shared" si="3"/>
        <v>10.876300578034682</v>
      </c>
      <c r="AO11" s="48">
        <f t="shared" si="3"/>
        <v>10.876300578034682</v>
      </c>
      <c r="AP11" s="56">
        <f t="shared" si="4"/>
        <v>10.813793103448276</v>
      </c>
    </row>
    <row r="12" spans="1:85" ht="15" customHeight="1" thickBot="1">
      <c r="A12" s="36"/>
      <c r="U12" s="302"/>
      <c r="V12" s="51">
        <v>3500</v>
      </c>
      <c r="W12" s="48">
        <f t="shared" si="1"/>
        <v>14.7</v>
      </c>
      <c r="X12" s="48">
        <f t="shared" ref="X12:AK12" si="9">14.7*128/IF(AND($AI$2,X83),MIN($AL$22,MAX($AL$23,$AA$21+X106)),MIN($AL$22,MAX($AL$23,($AA$21+MAX(X106+$Z$2,MIN(X106+$AD$2,ROUND(AVERAGE(X106,X106,X106,X106,W105:Y107),0)))))))</f>
        <v>14.7</v>
      </c>
      <c r="Y12" s="48">
        <f t="shared" si="9"/>
        <v>14.7</v>
      </c>
      <c r="Z12" s="48">
        <f t="shared" si="9"/>
        <v>14.7</v>
      </c>
      <c r="AA12" s="48">
        <f t="shared" si="9"/>
        <v>14.7</v>
      </c>
      <c r="AB12" s="48">
        <f t="shared" si="9"/>
        <v>14.7</v>
      </c>
      <c r="AC12" s="48">
        <f t="shared" si="9"/>
        <v>14.7</v>
      </c>
      <c r="AD12" s="48">
        <f t="shared" si="9"/>
        <v>14.586046511627906</v>
      </c>
      <c r="AE12" s="48">
        <f t="shared" si="9"/>
        <v>14.363358778625953</v>
      </c>
      <c r="AF12" s="48">
        <f t="shared" si="9"/>
        <v>13.937777777777777</v>
      </c>
      <c r="AG12" s="48">
        <f t="shared" si="9"/>
        <v>13.250704225352113</v>
      </c>
      <c r="AH12" s="48">
        <f t="shared" si="9"/>
        <v>12.298039215686273</v>
      </c>
      <c r="AI12" s="48">
        <f t="shared" si="9"/>
        <v>11.543558282208588</v>
      </c>
      <c r="AJ12" s="48">
        <f t="shared" si="9"/>
        <v>11.003508771929823</v>
      </c>
      <c r="AK12" s="48">
        <f t="shared" si="9"/>
        <v>10.813793103448276</v>
      </c>
      <c r="AL12" s="48">
        <f t="shared" si="3"/>
        <v>10.751999999999999</v>
      </c>
      <c r="AM12" s="48">
        <f t="shared" si="3"/>
        <v>10.570786516853932</v>
      </c>
      <c r="AN12" s="48">
        <f t="shared" si="3"/>
        <v>10.511731843575419</v>
      </c>
      <c r="AO12" s="48">
        <f t="shared" si="3"/>
        <v>10.453333333333333</v>
      </c>
      <c r="AP12" s="56">
        <f t="shared" si="4"/>
        <v>10.453333333333333</v>
      </c>
      <c r="BM12" s="338" t="s">
        <v>6</v>
      </c>
      <c r="BN12" s="339"/>
      <c r="BO12" s="339"/>
      <c r="BP12" s="339"/>
      <c r="BQ12" s="339"/>
      <c r="BR12" s="339"/>
      <c r="BS12" s="339"/>
      <c r="BT12" s="339"/>
      <c r="BU12" s="339"/>
      <c r="BV12" s="339"/>
      <c r="BW12" s="339"/>
      <c r="BX12" s="339"/>
      <c r="BY12" s="339"/>
      <c r="BZ12" s="339"/>
      <c r="CA12" s="339"/>
      <c r="CB12" s="339"/>
      <c r="CC12" s="339"/>
      <c r="CD12" s="339"/>
      <c r="CE12" s="339"/>
      <c r="CF12" s="339"/>
      <c r="CG12" s="340"/>
    </row>
    <row r="13" spans="1:85" ht="15" customHeight="1" thickBot="1">
      <c r="A13" s="36"/>
      <c r="U13" s="302"/>
      <c r="V13" s="51">
        <v>4000</v>
      </c>
      <c r="W13" s="48">
        <f t="shared" si="1"/>
        <v>14.7</v>
      </c>
      <c r="X13" s="48">
        <f t="shared" ref="X13:AK13" si="10">14.7*128/IF(AND($AI$2,X84),MIN($AL$22,MAX($AL$23,$AA$21+X107)),MIN($AL$22,MAX($AL$23,($AA$21+MAX(X107+$Z$2,MIN(X107+$AD$2,ROUND(AVERAGE(X107,X107,X107,X107,W106:Y108),0)))))))</f>
        <v>14.7</v>
      </c>
      <c r="Y13" s="48">
        <f t="shared" si="10"/>
        <v>14.7</v>
      </c>
      <c r="Z13" s="48">
        <f t="shared" si="10"/>
        <v>14.7</v>
      </c>
      <c r="AA13" s="48">
        <f t="shared" si="10"/>
        <v>14.7</v>
      </c>
      <c r="AB13" s="48">
        <f t="shared" si="10"/>
        <v>14.7</v>
      </c>
      <c r="AC13" s="48">
        <f t="shared" si="10"/>
        <v>14.586046511627906</v>
      </c>
      <c r="AD13" s="48">
        <f t="shared" si="10"/>
        <v>14.363358778625953</v>
      </c>
      <c r="AE13" s="48">
        <f t="shared" si="10"/>
        <v>14.041791044776119</v>
      </c>
      <c r="AF13" s="48">
        <f t="shared" si="10"/>
        <v>13.44</v>
      </c>
      <c r="AG13" s="48">
        <f t="shared" si="10"/>
        <v>12.543999999999999</v>
      </c>
      <c r="AH13" s="48">
        <f t="shared" si="10"/>
        <v>11.76</v>
      </c>
      <c r="AI13" s="48">
        <f t="shared" si="10"/>
        <v>11.267065868263472</v>
      </c>
      <c r="AJ13" s="48">
        <f t="shared" si="10"/>
        <v>10.876300578034682</v>
      </c>
      <c r="AK13" s="48">
        <f t="shared" si="10"/>
        <v>10.69090909090909</v>
      </c>
      <c r="AL13" s="48">
        <f t="shared" si="3"/>
        <v>10.570786516853932</v>
      </c>
      <c r="AM13" s="48">
        <f t="shared" si="3"/>
        <v>10.453333333333333</v>
      </c>
      <c r="AN13" s="48">
        <f t="shared" si="3"/>
        <v>10.338461538461537</v>
      </c>
      <c r="AO13" s="48">
        <f t="shared" si="3"/>
        <v>10.281967213114754</v>
      </c>
      <c r="AP13" s="56">
        <f t="shared" si="4"/>
        <v>10.281967213114754</v>
      </c>
      <c r="BM13" s="206"/>
      <c r="BN13" s="193">
        <v>10</v>
      </c>
      <c r="BO13" s="194">
        <v>20</v>
      </c>
      <c r="BP13" s="194">
        <v>30</v>
      </c>
      <c r="BQ13" s="194">
        <v>40</v>
      </c>
      <c r="BR13" s="195">
        <v>50</v>
      </c>
      <c r="BS13" s="195">
        <v>60</v>
      </c>
      <c r="BT13" s="195">
        <v>70</v>
      </c>
      <c r="BU13" s="195">
        <v>80</v>
      </c>
      <c r="BV13" s="195">
        <v>90</v>
      </c>
      <c r="BW13" s="195">
        <v>100</v>
      </c>
      <c r="BX13" s="195">
        <v>120</v>
      </c>
      <c r="BY13" s="195">
        <v>140</v>
      </c>
      <c r="BZ13" s="196">
        <v>160</v>
      </c>
      <c r="CA13" s="196">
        <v>180</v>
      </c>
      <c r="CB13" s="196">
        <v>200</v>
      </c>
      <c r="CC13" s="196">
        <v>220</v>
      </c>
      <c r="CD13" s="196">
        <v>240</v>
      </c>
      <c r="CE13" s="196">
        <v>260</v>
      </c>
      <c r="CF13" s="196">
        <v>280</v>
      </c>
      <c r="CG13" s="197">
        <v>300</v>
      </c>
    </row>
    <row r="14" spans="1:85" ht="15" customHeight="1">
      <c r="A14" s="36"/>
      <c r="U14" s="302"/>
      <c r="V14" s="51">
        <v>4500</v>
      </c>
      <c r="W14" s="48">
        <f t="shared" si="1"/>
        <v>14.7</v>
      </c>
      <c r="X14" s="48">
        <f t="shared" ref="X14:AK14" si="11">14.7*128/IF(AND($AI$2,X85),MIN($AL$22,MAX($AL$23,$AA$21+X108)),MIN($AL$22,MAX($AL$23,($AA$21+MAX(X108+$Z$2,MIN(X108+$AD$2,ROUND(AVERAGE(X108,X108,X108,X108,W107:Y109),0)))))))</f>
        <v>14.7</v>
      </c>
      <c r="Y14" s="48">
        <f t="shared" si="11"/>
        <v>14.7</v>
      </c>
      <c r="Z14" s="48">
        <f t="shared" si="11"/>
        <v>14.7</v>
      </c>
      <c r="AA14" s="48">
        <f t="shared" si="11"/>
        <v>14.7</v>
      </c>
      <c r="AB14" s="48">
        <f t="shared" si="11"/>
        <v>14.7</v>
      </c>
      <c r="AC14" s="48">
        <f t="shared" si="11"/>
        <v>14.254545454545454</v>
      </c>
      <c r="AD14" s="48">
        <f t="shared" si="11"/>
        <v>13.835294117647058</v>
      </c>
      <c r="AE14" s="48">
        <f t="shared" si="11"/>
        <v>13.44</v>
      </c>
      <c r="AF14" s="48">
        <f t="shared" si="11"/>
        <v>12.799999999999999</v>
      </c>
      <c r="AG14" s="48">
        <f t="shared" si="11"/>
        <v>12.139354838709677</v>
      </c>
      <c r="AH14" s="48">
        <f t="shared" si="11"/>
        <v>11.543558282208588</v>
      </c>
      <c r="AI14" s="48">
        <f t="shared" si="11"/>
        <v>11.068235294117647</v>
      </c>
      <c r="AJ14" s="48">
        <f t="shared" si="11"/>
        <v>10.813793103448276</v>
      </c>
      <c r="AK14" s="48">
        <f t="shared" si="11"/>
        <v>10.630508474576271</v>
      </c>
      <c r="AL14" s="48">
        <f t="shared" si="3"/>
        <v>10.511731843575419</v>
      </c>
      <c r="AM14" s="48">
        <f t="shared" si="3"/>
        <v>10.338461538461537</v>
      </c>
      <c r="AN14" s="48">
        <f t="shared" si="3"/>
        <v>10.226086956521739</v>
      </c>
      <c r="AO14" s="48">
        <f t="shared" si="3"/>
        <v>10.17081081081081</v>
      </c>
      <c r="AP14" s="56">
        <f t="shared" si="4"/>
        <v>10.17081081081081</v>
      </c>
      <c r="BM14" s="193">
        <v>500</v>
      </c>
      <c r="BN14" s="70">
        <f t="shared" ref="BN14:BW20" si="12">W6-W29</f>
        <v>-1.9148936170054753E-5</v>
      </c>
      <c r="BO14" s="70">
        <f t="shared" si="12"/>
        <v>-1.9148936170054753E-5</v>
      </c>
      <c r="BP14" s="70">
        <f t="shared" si="12"/>
        <v>-1.9148936170054753E-5</v>
      </c>
      <c r="BQ14" s="70">
        <f t="shared" si="12"/>
        <v>-1.9148936170054753E-5</v>
      </c>
      <c r="BR14" s="70">
        <f t="shared" si="12"/>
        <v>-1.9148936170054753E-5</v>
      </c>
      <c r="BS14" s="70">
        <f t="shared" si="12"/>
        <v>-1.9148936170054753E-5</v>
      </c>
      <c r="BT14" s="70">
        <f t="shared" si="12"/>
        <v>0.3896065693430657</v>
      </c>
      <c r="BU14" s="70">
        <f t="shared" si="12"/>
        <v>0.19199064748201344</v>
      </c>
      <c r="BV14" s="70">
        <f t="shared" si="12"/>
        <v>0.43255172413793019</v>
      </c>
      <c r="BW14" s="70">
        <f t="shared" si="12"/>
        <v>0.16951351351351285</v>
      </c>
      <c r="BX14" s="70">
        <f t="shared" ref="BX14:CG20" si="13">AG6-AG29</f>
        <v>0.24599999999999866</v>
      </c>
      <c r="BY14" s="70">
        <f t="shared" si="13"/>
        <v>0.2365392156862729</v>
      </c>
      <c r="BZ14" s="70">
        <f t="shared" si="13"/>
        <v>0.22753846153846169</v>
      </c>
      <c r="CA14" s="70">
        <f t="shared" si="13"/>
        <v>0.21916226415094187</v>
      </c>
      <c r="CB14" s="70">
        <f t="shared" si="13"/>
        <v>0.21121481481481297</v>
      </c>
      <c r="CC14" s="70">
        <f t="shared" si="13"/>
        <v>0.20363636363636317</v>
      </c>
      <c r="CD14" s="70">
        <f t="shared" si="13"/>
        <v>0.19649999999999856</v>
      </c>
      <c r="CE14" s="70">
        <f t="shared" si="13"/>
        <v>0.18970877192982272</v>
      </c>
      <c r="CF14" s="70">
        <f t="shared" si="13"/>
        <v>0.18970877192982272</v>
      </c>
      <c r="CG14" s="71">
        <f t="shared" si="13"/>
        <v>0.12573488372092889</v>
      </c>
    </row>
    <row r="15" spans="1:85" ht="15" customHeight="1">
      <c r="A15" s="36"/>
      <c r="U15" s="302"/>
      <c r="V15" s="51">
        <v>5000</v>
      </c>
      <c r="W15" s="48">
        <f t="shared" si="1"/>
        <v>14.7</v>
      </c>
      <c r="X15" s="48">
        <f t="shared" ref="X15:AK15" si="14">14.7*128/IF(AND($AI$2,X86),MIN($AL$22,MAX($AL$23,$AA$21+X109)),MIN($AL$22,MAX($AL$23,($AA$21+MAX(X109+$Z$2,MIN(X109+$AD$2,ROUND(AVERAGE(X109,X109,X109,X109,W108:Y110),0)))))))</f>
        <v>14.7</v>
      </c>
      <c r="Y15" s="48">
        <f t="shared" si="14"/>
        <v>14.7</v>
      </c>
      <c r="Z15" s="48">
        <f t="shared" si="14"/>
        <v>14.7</v>
      </c>
      <c r="AA15" s="48">
        <f t="shared" si="14"/>
        <v>14.7</v>
      </c>
      <c r="AB15" s="48">
        <f t="shared" si="14"/>
        <v>14.363358778625953</v>
      </c>
      <c r="AC15" s="48">
        <f t="shared" si="14"/>
        <v>13.937777777777777</v>
      </c>
      <c r="AD15" s="48">
        <f t="shared" si="14"/>
        <v>13.34468085106383</v>
      </c>
      <c r="AE15" s="48">
        <f t="shared" si="14"/>
        <v>12.799999999999999</v>
      </c>
      <c r="AF15" s="48">
        <f t="shared" si="14"/>
        <v>12.298039215686273</v>
      </c>
      <c r="AG15" s="48">
        <f t="shared" si="14"/>
        <v>11.833962264150943</v>
      </c>
      <c r="AH15" s="48">
        <f t="shared" si="14"/>
        <v>11.334939759036144</v>
      </c>
      <c r="AI15" s="48">
        <f t="shared" si="14"/>
        <v>10.939534883720929</v>
      </c>
      <c r="AJ15" s="48">
        <f t="shared" si="14"/>
        <v>10.630508474576271</v>
      </c>
      <c r="AK15" s="48">
        <f t="shared" si="14"/>
        <v>10.453333333333333</v>
      </c>
      <c r="AL15" s="48">
        <f t="shared" si="3"/>
        <v>10.338461538461537</v>
      </c>
      <c r="AM15" s="48">
        <f t="shared" si="3"/>
        <v>10.17081081081081</v>
      </c>
      <c r="AN15" s="48">
        <f t="shared" si="3"/>
        <v>10.062032085561496</v>
      </c>
      <c r="AO15" s="48">
        <f t="shared" si="3"/>
        <v>10.062032085561496</v>
      </c>
      <c r="AP15" s="56">
        <f t="shared" si="4"/>
        <v>10.062032085561496</v>
      </c>
      <c r="BM15" s="222">
        <v>1000</v>
      </c>
      <c r="BN15" s="70">
        <f t="shared" si="12"/>
        <v>0</v>
      </c>
      <c r="BO15" s="70">
        <f t="shared" si="12"/>
        <v>0</v>
      </c>
      <c r="BP15" s="70">
        <f t="shared" si="12"/>
        <v>0</v>
      </c>
      <c r="BQ15" s="70">
        <f t="shared" si="12"/>
        <v>0</v>
      </c>
      <c r="BR15" s="70">
        <f t="shared" si="12"/>
        <v>0</v>
      </c>
      <c r="BS15" s="70">
        <f t="shared" si="12"/>
        <v>0</v>
      </c>
      <c r="BT15" s="70">
        <f t="shared" si="12"/>
        <v>-0.3366412213740464</v>
      </c>
      <c r="BU15" s="70">
        <f t="shared" si="12"/>
        <v>-0.55263157894736814</v>
      </c>
      <c r="BV15" s="70">
        <f t="shared" si="12"/>
        <v>9.6690647482013503E-2</v>
      </c>
      <c r="BW15" s="70">
        <f t="shared" si="12"/>
        <v>-0.18929577464788672</v>
      </c>
      <c r="BX15" s="70">
        <f t="shared" si="13"/>
        <v>-0.1814482758620688</v>
      </c>
      <c r="BY15" s="70">
        <f t="shared" si="13"/>
        <v>-0.17181208053691321</v>
      </c>
      <c r="BZ15" s="70">
        <f t="shared" si="13"/>
        <v>-8.3072847682119644E-2</v>
      </c>
      <c r="CA15" s="70">
        <f t="shared" si="13"/>
        <v>-7.981818181818312E-2</v>
      </c>
      <c r="CB15" s="70">
        <f t="shared" si="13"/>
        <v>-7.6786624203823095E-2</v>
      </c>
      <c r="CC15" s="70">
        <f t="shared" si="13"/>
        <v>-7.3999999999999844E-2</v>
      </c>
      <c r="CD15" s="70">
        <f t="shared" si="13"/>
        <v>-7.124171779141264E-2</v>
      </c>
      <c r="CE15" s="70">
        <f t="shared" si="13"/>
        <v>-6.9563636363637826E-2</v>
      </c>
      <c r="CF15" s="70">
        <f t="shared" si="13"/>
        <v>-0.13826024096385581</v>
      </c>
      <c r="CG15" s="71">
        <f t="shared" si="13"/>
        <v>-0.13826024096385581</v>
      </c>
    </row>
    <row r="16" spans="1:85" ht="15" customHeight="1">
      <c r="A16" s="36"/>
      <c r="U16" s="302"/>
      <c r="V16" s="51">
        <v>5500</v>
      </c>
      <c r="W16" s="48">
        <f t="shared" si="1"/>
        <v>14.7</v>
      </c>
      <c r="X16" s="48">
        <f t="shared" ref="X16:AK16" si="15">14.7*128/IF(AND($AI$2,X87),MIN($AL$22,MAX($AL$23,$AA$21+X110)),MIN($AL$22,MAX($AL$23,($AA$21+MAX(X110+$Z$2,MIN(X110+$AD$2,ROUND(AVERAGE(X110,X110,X110,X110,W109:Y111),0)))))))</f>
        <v>14.7</v>
      </c>
      <c r="Y16" s="48">
        <f t="shared" si="15"/>
        <v>14.7</v>
      </c>
      <c r="Z16" s="48">
        <f t="shared" si="15"/>
        <v>14.7</v>
      </c>
      <c r="AA16" s="48">
        <f t="shared" si="15"/>
        <v>14.363358778625953</v>
      </c>
      <c r="AB16" s="48">
        <f t="shared" si="15"/>
        <v>13.937777777777777</v>
      </c>
      <c r="AC16" s="48">
        <f t="shared" si="15"/>
        <v>13.44</v>
      </c>
      <c r="AD16" s="48">
        <f t="shared" si="15"/>
        <v>12.799999999999999</v>
      </c>
      <c r="AE16" s="48">
        <f t="shared" si="15"/>
        <v>12.218181818181817</v>
      </c>
      <c r="AF16" s="48">
        <f t="shared" si="15"/>
        <v>11.90886075949367</v>
      </c>
      <c r="AG16" s="48">
        <f t="shared" si="15"/>
        <v>11.543558282208588</v>
      </c>
      <c r="AH16" s="48">
        <f t="shared" si="15"/>
        <v>11.068235294117647</v>
      </c>
      <c r="AI16" s="48">
        <f t="shared" si="15"/>
        <v>10.69090909090909</v>
      </c>
      <c r="AJ16" s="48">
        <f t="shared" si="15"/>
        <v>10.395580110497237</v>
      </c>
      <c r="AK16" s="48">
        <f t="shared" si="15"/>
        <v>10.226086956521739</v>
      </c>
      <c r="AL16" s="48">
        <f t="shared" si="3"/>
        <v>10.062032085561496</v>
      </c>
      <c r="AM16" s="48">
        <f t="shared" si="3"/>
        <v>9.9031578947368413</v>
      </c>
      <c r="AN16" s="48">
        <f t="shared" si="3"/>
        <v>9.8513089005235592</v>
      </c>
      <c r="AO16" s="48">
        <f t="shared" si="3"/>
        <v>9.7999999999999989</v>
      </c>
      <c r="AP16" s="56">
        <f t="shared" si="4"/>
        <v>9.7999999999999989</v>
      </c>
      <c r="BM16" s="223">
        <v>1500</v>
      </c>
      <c r="BN16" s="70">
        <f t="shared" si="12"/>
        <v>0</v>
      </c>
      <c r="BO16" s="70">
        <f t="shared" si="12"/>
        <v>0</v>
      </c>
      <c r="BP16" s="70">
        <f t="shared" si="12"/>
        <v>0</v>
      </c>
      <c r="BQ16" s="70">
        <f t="shared" si="12"/>
        <v>0</v>
      </c>
      <c r="BR16" s="70">
        <f t="shared" si="12"/>
        <v>0</v>
      </c>
      <c r="BS16" s="70">
        <f t="shared" si="12"/>
        <v>0</v>
      </c>
      <c r="BT16" s="70">
        <f t="shared" si="12"/>
        <v>0</v>
      </c>
      <c r="BU16" s="70">
        <f t="shared" si="12"/>
        <v>-0.22615384615384571</v>
      </c>
      <c r="BV16" s="70">
        <f t="shared" si="12"/>
        <v>-0.10713157894736902</v>
      </c>
      <c r="BW16" s="70">
        <f t="shared" si="12"/>
        <v>-0.10099343065693489</v>
      </c>
      <c r="BX16" s="70">
        <f t="shared" si="13"/>
        <v>9.2704225352113312E-2</v>
      </c>
      <c r="BY16" s="70">
        <f t="shared" si="13"/>
        <v>-4.8275862068791753E-5</v>
      </c>
      <c r="BZ16" s="70">
        <f t="shared" si="13"/>
        <v>-8.6486486486487379E-2</v>
      </c>
      <c r="CA16" s="70">
        <f t="shared" si="13"/>
        <v>-8.3072847682119644E-2</v>
      </c>
      <c r="CB16" s="70">
        <f t="shared" si="13"/>
        <v>3.9215686273408323E-5</v>
      </c>
      <c r="CC16" s="70">
        <f t="shared" si="13"/>
        <v>3.846153846076561E-5</v>
      </c>
      <c r="CD16" s="70">
        <f t="shared" si="13"/>
        <v>-3.7735849057085602E-5</v>
      </c>
      <c r="CE16" s="70">
        <f t="shared" si="13"/>
        <v>1.4814814813135513E-5</v>
      </c>
      <c r="CF16" s="70">
        <f t="shared" si="13"/>
        <v>1.4814814813135513E-5</v>
      </c>
      <c r="CG16" s="71">
        <f t="shared" si="13"/>
        <v>1.4814814813135513E-5</v>
      </c>
    </row>
    <row r="17" spans="1:85" ht="15" customHeight="1">
      <c r="A17" s="36"/>
      <c r="U17" s="302"/>
      <c r="V17" s="51">
        <v>6000</v>
      </c>
      <c r="W17" s="48">
        <f t="shared" si="1"/>
        <v>14.363358778625953</v>
      </c>
      <c r="X17" s="48">
        <f t="shared" ref="X17:AK17" si="16">14.7*128/IF(AND($AI$2,X88),MIN($AL$22,MAX($AL$23,$AA$21+X111)),MIN($AL$22,MAX($AL$23,($AA$21+MAX(X111+$Z$2,MIN(X111+$AD$2,ROUND(AVERAGE(X111,X111,X111,X111,W110:Y112),0)))))))</f>
        <v>14.363358778625953</v>
      </c>
      <c r="Y17" s="48">
        <f t="shared" si="16"/>
        <v>14.363358778625953</v>
      </c>
      <c r="Z17" s="48">
        <f t="shared" si="16"/>
        <v>14.254545454545454</v>
      </c>
      <c r="AA17" s="48">
        <f t="shared" si="16"/>
        <v>13.835294117647058</v>
      </c>
      <c r="AB17" s="48">
        <f t="shared" si="16"/>
        <v>13.34468085106383</v>
      </c>
      <c r="AC17" s="48">
        <f t="shared" si="16"/>
        <v>12.713513513513513</v>
      </c>
      <c r="AD17" s="48">
        <f t="shared" si="16"/>
        <v>12.061538461538461</v>
      </c>
      <c r="AE17" s="48">
        <f t="shared" si="16"/>
        <v>11.76</v>
      </c>
      <c r="AF17" s="48">
        <f t="shared" si="16"/>
        <v>11.543558282208588</v>
      </c>
      <c r="AG17" s="48">
        <f t="shared" si="16"/>
        <v>11.267065868263472</v>
      </c>
      <c r="AH17" s="48">
        <f t="shared" si="16"/>
        <v>10.876300578034682</v>
      </c>
      <c r="AI17" s="48">
        <f t="shared" si="16"/>
        <v>10.570786516853932</v>
      </c>
      <c r="AJ17" s="48">
        <f t="shared" si="16"/>
        <v>10.281967213114754</v>
      </c>
      <c r="AK17" s="48">
        <f t="shared" si="16"/>
        <v>10.008510638297873</v>
      </c>
      <c r="AL17" s="48">
        <f t="shared" si="3"/>
        <v>9.8513089005235592</v>
      </c>
      <c r="AM17" s="48">
        <f t="shared" si="3"/>
        <v>9.7492227979274606</v>
      </c>
      <c r="AN17" s="48">
        <f t="shared" si="3"/>
        <v>9.6492307692307691</v>
      </c>
      <c r="AO17" s="48">
        <f t="shared" si="3"/>
        <v>9.6492307692307691</v>
      </c>
      <c r="AP17" s="56">
        <f t="shared" si="4"/>
        <v>9.6492307692307691</v>
      </c>
      <c r="BM17" s="223">
        <v>2000</v>
      </c>
      <c r="BN17" s="70">
        <f t="shared" si="12"/>
        <v>0</v>
      </c>
      <c r="BO17" s="70">
        <f t="shared" si="12"/>
        <v>0</v>
      </c>
      <c r="BP17" s="70">
        <f t="shared" si="12"/>
        <v>0</v>
      </c>
      <c r="BQ17" s="70">
        <f t="shared" si="12"/>
        <v>0</v>
      </c>
      <c r="BR17" s="70">
        <f t="shared" si="12"/>
        <v>0</v>
      </c>
      <c r="BS17" s="70">
        <f t="shared" si="12"/>
        <v>0</v>
      </c>
      <c r="BT17" s="70">
        <f t="shared" si="12"/>
        <v>0</v>
      </c>
      <c r="BU17" s="70">
        <f t="shared" si="12"/>
        <v>-0.1139534883720934</v>
      </c>
      <c r="BV17" s="70">
        <f t="shared" si="12"/>
        <v>4.5454545453793571E-5</v>
      </c>
      <c r="BW17" s="70">
        <f t="shared" si="12"/>
        <v>-5.8823529425211518E-6</v>
      </c>
      <c r="BX17" s="70">
        <f t="shared" si="13"/>
        <v>9.6690647482013503E-2</v>
      </c>
      <c r="BY17" s="70">
        <f t="shared" si="13"/>
        <v>9.1341958041956772E-2</v>
      </c>
      <c r="BZ17" s="70">
        <f t="shared" si="13"/>
        <v>8.7671232876710192E-2</v>
      </c>
      <c r="CA17" s="70">
        <f t="shared" si="13"/>
        <v>8.5313513513513684E-2</v>
      </c>
      <c r="CB17" s="70">
        <f t="shared" si="13"/>
        <v>8.2027152317881047E-2</v>
      </c>
      <c r="CC17" s="70">
        <f t="shared" si="13"/>
        <v>7.8781818181816732E-2</v>
      </c>
      <c r="CD17" s="70">
        <f t="shared" si="13"/>
        <v>7.5813375796178306E-2</v>
      </c>
      <c r="CE17" s="70">
        <f t="shared" si="13"/>
        <v>7.3000000000000398E-2</v>
      </c>
      <c r="CF17" s="70">
        <f t="shared" si="13"/>
        <v>7.3000000000000398E-2</v>
      </c>
      <c r="CG17" s="71">
        <f t="shared" si="13"/>
        <v>7.3000000000000398E-2</v>
      </c>
    </row>
    <row r="18" spans="1:85" ht="15" customHeight="1">
      <c r="A18" s="36"/>
      <c r="U18" s="302"/>
      <c r="V18" s="51">
        <v>6500</v>
      </c>
      <c r="W18" s="48">
        <f t="shared" si="1"/>
        <v>14.147368421052631</v>
      </c>
      <c r="X18" s="48">
        <f t="shared" ref="X18:AK18" si="17">14.7*128/IF(AND($AI$2,X89),MIN($AL$22,MAX($AL$23,$AA$21+X112)),MIN($AL$22,MAX($AL$23,($AA$21+MAX(X112+$Z$2,MIN(X112+$AD$2,ROUND(AVERAGE(X112,X112,X112,X112,W111:Y113),0)))))))</f>
        <v>14.147368421052631</v>
      </c>
      <c r="Y18" s="48">
        <f t="shared" si="17"/>
        <v>14.041791044776119</v>
      </c>
      <c r="Z18" s="48">
        <f t="shared" si="17"/>
        <v>13.734306569343065</v>
      </c>
      <c r="AA18" s="48">
        <f t="shared" si="17"/>
        <v>13.250704225352113</v>
      </c>
      <c r="AB18" s="48">
        <f t="shared" si="17"/>
        <v>12.713513513513513</v>
      </c>
      <c r="AC18" s="48">
        <f t="shared" si="17"/>
        <v>12.139354838709677</v>
      </c>
      <c r="AD18" s="48">
        <f t="shared" si="17"/>
        <v>11.614814814814814</v>
      </c>
      <c r="AE18" s="48">
        <f t="shared" si="17"/>
        <v>11.473170731707317</v>
      </c>
      <c r="AF18" s="48">
        <f t="shared" si="17"/>
        <v>11.334939759036144</v>
      </c>
      <c r="AG18" s="48">
        <f t="shared" si="17"/>
        <v>11.068235294117647</v>
      </c>
      <c r="AH18" s="48">
        <f t="shared" si="17"/>
        <v>10.69090909090909</v>
      </c>
      <c r="AI18" s="48">
        <f t="shared" si="17"/>
        <v>10.395580110497237</v>
      </c>
      <c r="AJ18" s="48">
        <f t="shared" si="17"/>
        <v>10.116129032258064</v>
      </c>
      <c r="AK18" s="48">
        <f t="shared" si="17"/>
        <v>9.9031578947368413</v>
      </c>
      <c r="AL18" s="48">
        <f t="shared" si="3"/>
        <v>9.7492227979274606</v>
      </c>
      <c r="AM18" s="48">
        <f t="shared" si="3"/>
        <v>9.6492307692307691</v>
      </c>
      <c r="AN18" s="48">
        <f t="shared" si="3"/>
        <v>9.6</v>
      </c>
      <c r="AO18" s="48">
        <f t="shared" si="3"/>
        <v>9.6</v>
      </c>
      <c r="AP18" s="56">
        <f t="shared" si="4"/>
        <v>9.6</v>
      </c>
      <c r="BM18" s="223">
        <v>2500</v>
      </c>
      <c r="BN18" s="70">
        <f t="shared" si="12"/>
        <v>0</v>
      </c>
      <c r="BO18" s="70">
        <f t="shared" si="12"/>
        <v>0</v>
      </c>
      <c r="BP18" s="70">
        <f t="shared" si="12"/>
        <v>0</v>
      </c>
      <c r="BQ18" s="70">
        <f t="shared" si="12"/>
        <v>0</v>
      </c>
      <c r="BR18" s="70">
        <f t="shared" si="12"/>
        <v>0</v>
      </c>
      <c r="BS18" s="70">
        <f t="shared" si="12"/>
        <v>0</v>
      </c>
      <c r="BT18" s="70">
        <f t="shared" si="12"/>
        <v>0</v>
      </c>
      <c r="BU18" s="70">
        <f t="shared" si="12"/>
        <v>-0.1139534883720934</v>
      </c>
      <c r="BV18" s="70">
        <f t="shared" si="12"/>
        <v>-4.1221374047495374E-5</v>
      </c>
      <c r="BW18" s="70">
        <f t="shared" si="12"/>
        <v>-0.10560895522388059</v>
      </c>
      <c r="BX18" s="70">
        <f t="shared" si="13"/>
        <v>-0.10099343065693489</v>
      </c>
      <c r="BY18" s="70">
        <f t="shared" si="13"/>
        <v>-0.18929577464788672</v>
      </c>
      <c r="BZ18" s="70">
        <f t="shared" si="13"/>
        <v>-0.35800000000000054</v>
      </c>
      <c r="CA18" s="70">
        <f t="shared" si="13"/>
        <v>-0.51567284768211863</v>
      </c>
      <c r="CB18" s="70">
        <f t="shared" si="13"/>
        <v>-0.49531818181818288</v>
      </c>
      <c r="CC18" s="70">
        <f t="shared" si="13"/>
        <v>-0.47618662420382307</v>
      </c>
      <c r="CD18" s="70">
        <f t="shared" si="13"/>
        <v>-0.45819999999999972</v>
      </c>
      <c r="CE18" s="70">
        <f t="shared" si="13"/>
        <v>-0.36988518518518632</v>
      </c>
      <c r="CF18" s="70">
        <f t="shared" si="13"/>
        <v>-0.44114171779141209</v>
      </c>
      <c r="CG18" s="71">
        <f t="shared" si="13"/>
        <v>-0.36988518518518632</v>
      </c>
    </row>
    <row r="19" spans="1:85" ht="15" customHeight="1">
      <c r="A19" s="36"/>
      <c r="U19" s="302"/>
      <c r="V19" s="51">
        <v>7000</v>
      </c>
      <c r="W19" s="48">
        <f t="shared" si="1"/>
        <v>14.041791044776119</v>
      </c>
      <c r="X19" s="48">
        <f t="shared" ref="X19:AK19" si="18">14.7*128/IF(AND($AI$2,X90),MIN($AL$22,MAX($AL$23,$AA$21+X113)),MIN($AL$22,MAX($AL$23,($AA$21+MAX(X113+$Z$2,MIN(X113+$AD$2,ROUND(AVERAGE(X113,X113,X113,X113,W112:Y114),0)))))))</f>
        <v>14.041791044776119</v>
      </c>
      <c r="Y19" s="48">
        <f t="shared" si="18"/>
        <v>13.937777777777777</v>
      </c>
      <c r="Z19" s="48">
        <f t="shared" si="18"/>
        <v>13.536690647482013</v>
      </c>
      <c r="AA19" s="48">
        <f t="shared" si="18"/>
        <v>12.976551724137931</v>
      </c>
      <c r="AB19" s="48">
        <f t="shared" si="18"/>
        <v>12.298039215686273</v>
      </c>
      <c r="AC19" s="48">
        <f t="shared" si="18"/>
        <v>11.76</v>
      </c>
      <c r="AD19" s="48">
        <f t="shared" si="18"/>
        <v>11.473170731707317</v>
      </c>
      <c r="AE19" s="48">
        <f t="shared" si="18"/>
        <v>11.334939759036144</v>
      </c>
      <c r="AF19" s="48">
        <f t="shared" si="18"/>
        <v>11.2</v>
      </c>
      <c r="AG19" s="48">
        <f t="shared" si="18"/>
        <v>10.939534883720929</v>
      </c>
      <c r="AH19" s="48">
        <f t="shared" si="18"/>
        <v>10.630508474576271</v>
      </c>
      <c r="AI19" s="48">
        <f t="shared" si="18"/>
        <v>10.281967213114754</v>
      </c>
      <c r="AJ19" s="48">
        <f t="shared" si="18"/>
        <v>9.9555555555555557</v>
      </c>
      <c r="AK19" s="48">
        <f t="shared" si="18"/>
        <v>9.6989690721649477</v>
      </c>
      <c r="AL19" s="48">
        <f t="shared" si="3"/>
        <v>9.6492307692307691</v>
      </c>
      <c r="AM19" s="48">
        <f t="shared" si="3"/>
        <v>9.6</v>
      </c>
      <c r="AN19" s="48">
        <f t="shared" si="3"/>
        <v>9.6</v>
      </c>
      <c r="AO19" s="48">
        <f t="shared" si="3"/>
        <v>9.6</v>
      </c>
      <c r="AP19" s="56">
        <f t="shared" si="4"/>
        <v>9.6</v>
      </c>
      <c r="BM19" s="224">
        <v>3000</v>
      </c>
      <c r="BN19" s="70">
        <f t="shared" si="12"/>
        <v>0</v>
      </c>
      <c r="BO19" s="70">
        <f t="shared" si="12"/>
        <v>0</v>
      </c>
      <c r="BP19" s="70">
        <f t="shared" si="12"/>
        <v>0</v>
      </c>
      <c r="BQ19" s="70">
        <f t="shared" si="12"/>
        <v>0</v>
      </c>
      <c r="BR19" s="70">
        <f t="shared" si="12"/>
        <v>0</v>
      </c>
      <c r="BS19" s="70">
        <f t="shared" si="12"/>
        <v>0</v>
      </c>
      <c r="BT19" s="70">
        <f t="shared" si="12"/>
        <v>0</v>
      </c>
      <c r="BU19" s="70">
        <f t="shared" si="12"/>
        <v>-0.1139534883720934</v>
      </c>
      <c r="BV19" s="70">
        <f t="shared" si="12"/>
        <v>-4.1221374047495374E-5</v>
      </c>
      <c r="BW19" s="70">
        <f t="shared" si="12"/>
        <v>-3.157894736816047E-5</v>
      </c>
      <c r="BX19" s="70">
        <f t="shared" si="13"/>
        <v>-0.30749343065693502</v>
      </c>
      <c r="BY19" s="70">
        <f t="shared" si="13"/>
        <v>-0.27414827586206947</v>
      </c>
      <c r="BZ19" s="70">
        <f t="shared" si="13"/>
        <v>0.30153846153846153</v>
      </c>
      <c r="CA19" s="70">
        <f t="shared" si="13"/>
        <v>0.27991481481481451</v>
      </c>
      <c r="CB19" s="70">
        <f t="shared" si="13"/>
        <v>0.26673975903614533</v>
      </c>
      <c r="CC19" s="70">
        <f t="shared" si="13"/>
        <v>0.26049999999999862</v>
      </c>
      <c r="CD19" s="70">
        <f t="shared" si="13"/>
        <v>0.25150877192982257</v>
      </c>
      <c r="CE19" s="70">
        <f t="shared" si="13"/>
        <v>0.30550057803468178</v>
      </c>
      <c r="CF19" s="70">
        <f t="shared" si="13"/>
        <v>0.30550057803468178</v>
      </c>
      <c r="CG19" s="71">
        <f t="shared" si="13"/>
        <v>0.24299310344827596</v>
      </c>
    </row>
    <row r="20" spans="1:85" ht="15" customHeight="1" thickBot="1">
      <c r="A20" s="36"/>
      <c r="U20" s="303"/>
      <c r="V20" s="57">
        <v>7500</v>
      </c>
      <c r="W20" s="62">
        <f>14.7*128/IF(AND($AI$2,W91),MIN($AL$22,MAX($AL$23,$AA$21+W114)),MIN($AL$22,MAX($AL$23,($AA$21+MAX(W114+$Z$2,MIN(W114+$AD$2,ROUND(AVERAGE(W114,W114,W114,W114,W113:X114),0)))))))</f>
        <v>14.041791044776119</v>
      </c>
      <c r="X20" s="62">
        <f t="shared" ref="X20:AK20" si="19">14.7*128/IF(AND($AI$2,X91),MIN($AL$22,MAX($AL$23,$AA$21+X114)),MIN($AL$22,MAX($AL$23,($AA$21+MAX(X114+$Z$2,MIN(X114+$AD$2,ROUND(AVERAGE(X114,X114,X114,X114,W113:Y114),0)))))))</f>
        <v>14.041791044776119</v>
      </c>
      <c r="Y20" s="62">
        <f t="shared" si="19"/>
        <v>13.937777777777777</v>
      </c>
      <c r="Z20" s="62">
        <f t="shared" si="19"/>
        <v>13.44</v>
      </c>
      <c r="AA20" s="62">
        <f t="shared" si="19"/>
        <v>12.887671232876711</v>
      </c>
      <c r="AB20" s="62">
        <f t="shared" si="19"/>
        <v>12.218181818181817</v>
      </c>
      <c r="AC20" s="62">
        <f t="shared" si="19"/>
        <v>11.68695652173913</v>
      </c>
      <c r="AD20" s="62">
        <f t="shared" si="19"/>
        <v>11.403636363636362</v>
      </c>
      <c r="AE20" s="62">
        <f t="shared" si="19"/>
        <v>11.267065868263472</v>
      </c>
      <c r="AF20" s="62">
        <f t="shared" si="19"/>
        <v>11.133727810650887</v>
      </c>
      <c r="AG20" s="62">
        <f t="shared" si="19"/>
        <v>10.939534883720929</v>
      </c>
      <c r="AH20" s="62">
        <f t="shared" si="19"/>
        <v>10.570786516853932</v>
      </c>
      <c r="AI20" s="62">
        <f t="shared" si="19"/>
        <v>10.281967213114754</v>
      </c>
      <c r="AJ20" s="62">
        <f t="shared" si="19"/>
        <v>9.9031578947368413</v>
      </c>
      <c r="AK20" s="62">
        <f t="shared" si="19"/>
        <v>9.6492307692307691</v>
      </c>
      <c r="AL20" s="62">
        <f>14.7*128/IF(AND($AI$2,AL91),MIN($AL$22,MAX($AL$23,$AA$21+AL114)),MIN($AL$22,MAX($AL$23,($AA$21+MAX(AL114+$Z$2,MIN(AL114+$AD$2,ROUND(AVERAGE(AL114,AL114,AL114,AL114,AK113:AM114),0)))))))</f>
        <v>9.6</v>
      </c>
      <c r="AM20" s="62">
        <f>14.7*128/IF(AND($AI$2,AM91),MIN($AL$22,MAX($AL$23,$AA$21+AM114)),MIN($AL$22,MAX($AL$23,($AA$21+MAX(AM114+$Z$2,MIN(AM114+$AD$2,ROUND(AVERAGE(AM114,AM114,AM114,AM114,AL113:AN114),0)))))))</f>
        <v>9.6</v>
      </c>
      <c r="AN20" s="62">
        <f>14.7*128/IF(AND($AI$2,AN91),MIN($AL$22,MAX($AL$23,$AA$21+AN114)),MIN($AL$22,MAX($AL$23,($AA$21+MAX(AN114+$Z$2,MIN(AN114+$AD$2,ROUND(AVERAGE(AN114,AN114,AN114,AN114,AM113:AO114),0)))))))</f>
        <v>9.6</v>
      </c>
      <c r="AO20" s="62">
        <f>14.7*128/IF(AND($AI$2,AO91),MIN($AL$22,MAX($AL$23,$AA$21+AO114)),MIN($AL$22,MAX($AL$23,($AA$21+MAX(AO114+$Z$2,MIN(AO114+$AD$2,ROUND(AVERAGE(AO114,AO114,AO114,AO114,AN113:AP114),0)))))))</f>
        <v>9.6</v>
      </c>
      <c r="AP20" s="63">
        <f>14.7*128/IF(AND($AI$2,AP91),MIN($AL$22,MAX($AL$23,$AA$21+AP114)),MIN($AL$22,MAX($AL$23,($AA$21+MAX(AP114+$Z$2,MIN(AP114+$AD$2,ROUND(AVERAGE(AP114,AP114,AP114,AP114,AO113:AP114),0)))))))</f>
        <v>9.6</v>
      </c>
      <c r="BM20" s="224">
        <v>3500</v>
      </c>
      <c r="BN20" s="70">
        <f t="shared" si="12"/>
        <v>0</v>
      </c>
      <c r="BO20" s="70">
        <f t="shared" si="12"/>
        <v>0</v>
      </c>
      <c r="BP20" s="70">
        <f t="shared" si="12"/>
        <v>0</v>
      </c>
      <c r="BQ20" s="70">
        <f t="shared" si="12"/>
        <v>0</v>
      </c>
      <c r="BR20" s="70">
        <f t="shared" si="12"/>
        <v>0</v>
      </c>
      <c r="BS20" s="70">
        <f t="shared" si="12"/>
        <v>0</v>
      </c>
      <c r="BT20" s="70">
        <f t="shared" si="12"/>
        <v>0</v>
      </c>
      <c r="BU20" s="70">
        <f t="shared" si="12"/>
        <v>-0.1139534883720934</v>
      </c>
      <c r="BV20" s="70">
        <f t="shared" si="12"/>
        <v>-4.1221374047495374E-5</v>
      </c>
      <c r="BW20" s="70">
        <f t="shared" si="12"/>
        <v>-0.20962222222222238</v>
      </c>
      <c r="BX20" s="70">
        <f t="shared" si="13"/>
        <v>-0.18929577464788672</v>
      </c>
      <c r="BY20" s="70">
        <f t="shared" si="13"/>
        <v>7.9839215686273945E-2</v>
      </c>
      <c r="BZ20" s="70">
        <f t="shared" si="13"/>
        <v>7.0358282208587752E-2</v>
      </c>
      <c r="CA20" s="70">
        <f t="shared" si="13"/>
        <v>0.12720877192982272</v>
      </c>
      <c r="CB20" s="70">
        <f t="shared" si="13"/>
        <v>-6.8965517243668728E-6</v>
      </c>
      <c r="CC20" s="70">
        <f t="shared" si="13"/>
        <v>0</v>
      </c>
      <c r="CD20" s="70">
        <f t="shared" si="13"/>
        <v>-1.3483146068082874E-5</v>
      </c>
      <c r="CE20" s="70">
        <f t="shared" si="13"/>
        <v>3.1843575419188141E-5</v>
      </c>
      <c r="CF20" s="70">
        <f t="shared" si="13"/>
        <v>-5.8366666666666234E-2</v>
      </c>
      <c r="CG20" s="71">
        <f t="shared" si="13"/>
        <v>-5.8366666666666234E-2</v>
      </c>
    </row>
    <row r="21" spans="1:85" ht="15" customHeight="1" thickBot="1">
      <c r="V21" s="307" t="s">
        <v>20</v>
      </c>
      <c r="W21" s="308"/>
      <c r="X21" s="309"/>
      <c r="Y21" s="336" t="s">
        <v>13</v>
      </c>
      <c r="Z21" s="337"/>
      <c r="AA21" s="327">
        <f>AB21-128</f>
        <v>0</v>
      </c>
      <c r="AB21" s="208">
        <v>128</v>
      </c>
      <c r="BM21" s="224">
        <v>4000</v>
      </c>
      <c r="BN21" s="70">
        <f t="shared" ref="BN21:BN28" si="20">W13-W36</f>
        <v>0</v>
      </c>
      <c r="BO21" s="70">
        <f t="shared" ref="BO21:BO28" si="21">X13-X36</f>
        <v>0</v>
      </c>
      <c r="BP21" s="70">
        <f t="shared" ref="BP21:BP28" si="22">Y13-Y36</f>
        <v>0</v>
      </c>
      <c r="BQ21" s="70">
        <f t="shared" ref="BQ21:BQ28" si="23">Z13-Z36</f>
        <v>0</v>
      </c>
      <c r="BR21" s="70">
        <f t="shared" ref="BR21:BR28" si="24">AA13-AA36</f>
        <v>0</v>
      </c>
      <c r="BS21" s="70">
        <f t="shared" ref="BS21:BS28" si="25">AB13-AB36</f>
        <v>0</v>
      </c>
      <c r="BT21" s="70">
        <f t="shared" ref="BT21:BT28" si="26">AC13-AC36</f>
        <v>-0.1139534883720934</v>
      </c>
      <c r="BU21" s="70">
        <f t="shared" ref="BU21:BU28" si="27">AD13-AD36</f>
        <v>-0.3366412213740464</v>
      </c>
      <c r="BV21" s="70">
        <f t="shared" ref="BV21:BV28" si="28">AE13-AE36</f>
        <v>-0.10560895522388059</v>
      </c>
      <c r="BW21" s="70">
        <f t="shared" ref="BW21:BW28" si="29">AF13-AF36</f>
        <v>-0.19480000000000075</v>
      </c>
      <c r="BX21" s="70">
        <f t="shared" ref="BX21:BX28" si="30">AG13-AG36</f>
        <v>8.3099999999998175E-2</v>
      </c>
      <c r="BY21" s="70">
        <f t="shared" ref="BY21:BY28" si="31">AH13-AH36</f>
        <v>0.14519999999999911</v>
      </c>
      <c r="BZ21" s="70">
        <f t="shared" ref="BZ21:BZ28" si="32">AI13-AI36</f>
        <v>6.706586826347305E-2</v>
      </c>
      <c r="CA21" s="70">
        <f t="shared" ref="CA21:CA28" si="33">AJ13-AJ36</f>
        <v>0.12430057803468131</v>
      </c>
      <c r="CB21" s="70">
        <f t="shared" ref="CB21:CB28" si="34">AK13-AK36</f>
        <v>6.0409090909089969E-2</v>
      </c>
      <c r="CC21" s="70">
        <f t="shared" ref="CC21:CC28" si="35">AL13-AL36</f>
        <v>-1.3483146068082874E-5</v>
      </c>
      <c r="CD21" s="70">
        <f t="shared" ref="CD21:CG28" si="36">AM13-AM36</f>
        <v>5.7733333333333192E-2</v>
      </c>
      <c r="CE21" s="70">
        <f t="shared" si="36"/>
        <v>0.11236153846153663</v>
      </c>
      <c r="CF21" s="70">
        <f t="shared" si="36"/>
        <v>5.5867213114753511E-2</v>
      </c>
      <c r="CG21" s="71">
        <f t="shared" si="36"/>
        <v>5.5867213114753511E-2</v>
      </c>
    </row>
    <row r="22" spans="1:85" s="41" customFormat="1" ht="18" customHeight="1" thickBot="1">
      <c r="V22" s="310"/>
      <c r="W22" s="311"/>
      <c r="X22" s="312"/>
      <c r="Y22" s="316" t="s">
        <v>12</v>
      </c>
      <c r="Z22" s="317"/>
      <c r="AA22" s="319"/>
      <c r="AB22" s="77"/>
      <c r="AH22" s="334" t="s">
        <v>16</v>
      </c>
      <c r="AI22" s="335" t="s">
        <v>16</v>
      </c>
      <c r="AJ22" s="329" t="s">
        <v>17</v>
      </c>
      <c r="AK22" s="330"/>
      <c r="AL22" s="79">
        <v>217</v>
      </c>
      <c r="AM22" s="331">
        <f>14.7*128/AL22</f>
        <v>8.6709677419354829</v>
      </c>
      <c r="AN22" s="332"/>
      <c r="AO22" s="102"/>
      <c r="AP22" s="102"/>
      <c r="AR22" s="58"/>
      <c r="AS22" s="58"/>
      <c r="BM22" s="224">
        <v>4500</v>
      </c>
      <c r="BN22" s="70">
        <f t="shared" si="20"/>
        <v>0</v>
      </c>
      <c r="BO22" s="70">
        <f t="shared" si="21"/>
        <v>0</v>
      </c>
      <c r="BP22" s="70">
        <f t="shared" si="22"/>
        <v>0</v>
      </c>
      <c r="BQ22" s="70">
        <f t="shared" si="23"/>
        <v>0</v>
      </c>
      <c r="BR22" s="70">
        <f t="shared" si="24"/>
        <v>0</v>
      </c>
      <c r="BS22" s="70">
        <f t="shared" si="25"/>
        <v>0</v>
      </c>
      <c r="BT22" s="70">
        <f t="shared" si="26"/>
        <v>0.10714545454545465</v>
      </c>
      <c r="BU22" s="70">
        <f t="shared" si="27"/>
        <v>0.10099411764705835</v>
      </c>
      <c r="BV22" s="70">
        <f t="shared" si="28"/>
        <v>0</v>
      </c>
      <c r="BW22" s="70">
        <f t="shared" si="29"/>
        <v>0</v>
      </c>
      <c r="BX22" s="70">
        <f t="shared" si="30"/>
        <v>7.7854838709676244E-2</v>
      </c>
      <c r="BY22" s="70">
        <f t="shared" si="31"/>
        <v>7.0358282208587752E-2</v>
      </c>
      <c r="BZ22" s="70">
        <f t="shared" si="32"/>
        <v>3.5294117648021484E-5</v>
      </c>
      <c r="CA22" s="70">
        <f t="shared" si="33"/>
        <v>-6.8965517243668728E-6</v>
      </c>
      <c r="CB22" s="70">
        <f t="shared" si="34"/>
        <v>-0.1214915254237301</v>
      </c>
      <c r="CC22" s="70">
        <f t="shared" si="35"/>
        <v>-5.906815642458163E-2</v>
      </c>
      <c r="CD22" s="70">
        <f t="shared" si="36"/>
        <v>-5.7138461538462693E-2</v>
      </c>
      <c r="CE22" s="70">
        <f t="shared" si="36"/>
        <v>-1.3043478261920427E-5</v>
      </c>
      <c r="CF22" s="70">
        <f t="shared" si="36"/>
        <v>-5.5289189189190679E-2</v>
      </c>
      <c r="CG22" s="71">
        <f t="shared" si="36"/>
        <v>-5.5289189189190679E-2</v>
      </c>
    </row>
    <row r="23" spans="1:85" s="41" customFormat="1" ht="18" customHeight="1" thickBot="1">
      <c r="V23" s="322" t="s">
        <v>21</v>
      </c>
      <c r="W23" s="323"/>
      <c r="X23" s="324"/>
      <c r="Y23" s="313" t="s">
        <v>13</v>
      </c>
      <c r="Z23" s="314"/>
      <c r="AA23" s="318">
        <f>AB23-128</f>
        <v>0</v>
      </c>
      <c r="AB23" s="76">
        <v>128</v>
      </c>
      <c r="AH23" s="341" t="s">
        <v>15</v>
      </c>
      <c r="AI23" s="342"/>
      <c r="AJ23" s="329" t="s">
        <v>18</v>
      </c>
      <c r="AK23" s="330"/>
      <c r="AL23" s="79">
        <v>128</v>
      </c>
      <c r="AM23" s="331">
        <f>14.7*128/AL23</f>
        <v>14.7</v>
      </c>
      <c r="AN23" s="332"/>
      <c r="AO23" s="102"/>
      <c r="AP23" s="102"/>
      <c r="AR23" s="59"/>
      <c r="AS23" s="59"/>
      <c r="BM23" s="224">
        <v>5000</v>
      </c>
      <c r="BN23" s="70">
        <f t="shared" si="20"/>
        <v>0</v>
      </c>
      <c r="BO23" s="70">
        <f t="shared" si="21"/>
        <v>0</v>
      </c>
      <c r="BP23" s="70">
        <f t="shared" si="22"/>
        <v>0</v>
      </c>
      <c r="BQ23" s="70">
        <f t="shared" si="23"/>
        <v>0</v>
      </c>
      <c r="BR23" s="70">
        <f t="shared" si="24"/>
        <v>0</v>
      </c>
      <c r="BS23" s="70">
        <f t="shared" si="25"/>
        <v>-0.11044122137404777</v>
      </c>
      <c r="BT23" s="70">
        <f t="shared" si="26"/>
        <v>-0.20962222222222238</v>
      </c>
      <c r="BU23" s="70">
        <f t="shared" si="27"/>
        <v>-9.5319148936169995E-2</v>
      </c>
      <c r="BV23" s="70">
        <f t="shared" si="28"/>
        <v>0</v>
      </c>
      <c r="BW23" s="70">
        <f t="shared" si="29"/>
        <v>7.9839215686273945E-2</v>
      </c>
      <c r="BX23" s="70">
        <f t="shared" si="30"/>
        <v>-3.7735849057085602E-5</v>
      </c>
      <c r="BY23" s="70">
        <f t="shared" si="31"/>
        <v>-0.13826024096385581</v>
      </c>
      <c r="BZ23" s="70">
        <f t="shared" si="32"/>
        <v>3.4883720928746698E-5</v>
      </c>
      <c r="CA23" s="70">
        <f t="shared" si="33"/>
        <v>5.9708474576270376E-2</v>
      </c>
      <c r="CB23" s="70">
        <f t="shared" si="34"/>
        <v>3.3333333332663528E-5</v>
      </c>
      <c r="CC23" s="70">
        <f t="shared" si="35"/>
        <v>-5.7138461538462693E-2</v>
      </c>
      <c r="CD23" s="70">
        <f t="shared" si="36"/>
        <v>-5.5289189189190679E-2</v>
      </c>
      <c r="CE23" s="70">
        <f t="shared" si="36"/>
        <v>3.2085561496586479E-5</v>
      </c>
      <c r="CF23" s="70">
        <f t="shared" si="36"/>
        <v>3.2085561496586479E-5</v>
      </c>
      <c r="CG23" s="71">
        <f t="shared" si="36"/>
        <v>3.2085561496586479E-5</v>
      </c>
    </row>
    <row r="24" spans="1:85" s="41" customFormat="1" ht="18" customHeight="1" thickBot="1">
      <c r="V24" s="310"/>
      <c r="W24" s="311"/>
      <c r="X24" s="312"/>
      <c r="Y24" s="316" t="s">
        <v>12</v>
      </c>
      <c r="Z24" s="317"/>
      <c r="AA24" s="319"/>
      <c r="AB24" s="77"/>
      <c r="AQ24" s="59"/>
      <c r="AR24" s="59"/>
      <c r="AS24" s="59"/>
      <c r="BM24" s="224">
        <v>5500</v>
      </c>
      <c r="BN24" s="70">
        <f t="shared" si="20"/>
        <v>0</v>
      </c>
      <c r="BO24" s="70">
        <f t="shared" si="21"/>
        <v>0</v>
      </c>
      <c r="BP24" s="70">
        <f t="shared" si="22"/>
        <v>0</v>
      </c>
      <c r="BQ24" s="70">
        <f t="shared" si="23"/>
        <v>0</v>
      </c>
      <c r="BR24" s="70">
        <f t="shared" si="24"/>
        <v>-0.11044122137404777</v>
      </c>
      <c r="BS24" s="70">
        <f t="shared" si="25"/>
        <v>-0.10402222222222335</v>
      </c>
      <c r="BT24" s="70">
        <f t="shared" si="26"/>
        <v>-0.19480000000000075</v>
      </c>
      <c r="BU24" s="70">
        <f t="shared" si="27"/>
        <v>0</v>
      </c>
      <c r="BV24" s="70">
        <f t="shared" si="28"/>
        <v>-1.8181818182583243E-5</v>
      </c>
      <c r="BW24" s="70">
        <f t="shared" si="29"/>
        <v>-3.9240506328752645E-5</v>
      </c>
      <c r="BX24" s="70">
        <f t="shared" si="30"/>
        <v>-7.124171779141264E-2</v>
      </c>
      <c r="BY24" s="70">
        <f t="shared" si="31"/>
        <v>0.1287352941176465</v>
      </c>
      <c r="BZ24" s="70">
        <f t="shared" si="32"/>
        <v>6.0409090909089969E-2</v>
      </c>
      <c r="CA24" s="70">
        <f t="shared" si="33"/>
        <v>5.7080110497237158E-2</v>
      </c>
      <c r="CB24" s="70">
        <f t="shared" si="34"/>
        <v>5.5286956521738873E-2</v>
      </c>
      <c r="CC24" s="70">
        <f t="shared" si="35"/>
        <v>3.2085561496586479E-5</v>
      </c>
      <c r="CD24" s="70">
        <f t="shared" si="36"/>
        <v>-2.1052631584694836E-6</v>
      </c>
      <c r="CE24" s="70">
        <f t="shared" si="36"/>
        <v>5.130890052355852E-2</v>
      </c>
      <c r="CF24" s="70">
        <f t="shared" si="36"/>
        <v>0</v>
      </c>
      <c r="CG24" s="71">
        <f t="shared" si="36"/>
        <v>0</v>
      </c>
    </row>
    <row r="25" spans="1:85" s="41" customFormat="1" ht="15" customHeight="1" thickBot="1">
      <c r="U25" s="321"/>
      <c r="V25" s="321"/>
      <c r="W25" s="321"/>
      <c r="X25" s="321"/>
      <c r="Y25" s="321"/>
      <c r="Z25" s="321"/>
      <c r="AA25" s="321"/>
      <c r="AQ25" s="60"/>
      <c r="AR25" s="60"/>
      <c r="AS25" s="60"/>
      <c r="BM25" s="224">
        <v>6000</v>
      </c>
      <c r="BN25" s="70">
        <f t="shared" si="20"/>
        <v>-4.1221374047495374E-5</v>
      </c>
      <c r="BO25" s="70">
        <f t="shared" si="21"/>
        <v>-4.1221374047495374E-5</v>
      </c>
      <c r="BP25" s="70">
        <f t="shared" si="22"/>
        <v>-4.1221374047495374E-5</v>
      </c>
      <c r="BQ25" s="70">
        <f t="shared" si="23"/>
        <v>-0.10885454545454643</v>
      </c>
      <c r="BR25" s="70">
        <f t="shared" si="24"/>
        <v>-0.10250588235294167</v>
      </c>
      <c r="BS25" s="70">
        <f t="shared" si="25"/>
        <v>-9.5319148936169995E-2</v>
      </c>
      <c r="BT25" s="70">
        <f t="shared" si="26"/>
        <v>1.3513513513530029E-5</v>
      </c>
      <c r="BU25" s="70">
        <f t="shared" si="27"/>
        <v>0.22753846153846169</v>
      </c>
      <c r="BV25" s="70">
        <f t="shared" si="28"/>
        <v>7.3000000000000398E-2</v>
      </c>
      <c r="BW25" s="70">
        <f t="shared" si="29"/>
        <v>7.0358282208587752E-2</v>
      </c>
      <c r="BX25" s="70">
        <f t="shared" si="30"/>
        <v>-3.4131736526887835E-5</v>
      </c>
      <c r="BY25" s="70">
        <f t="shared" si="31"/>
        <v>5.7803468145323222E-7</v>
      </c>
      <c r="BZ25" s="70">
        <f t="shared" si="32"/>
        <v>-1.3483146068082874E-5</v>
      </c>
      <c r="CA25" s="70">
        <f t="shared" si="33"/>
        <v>-3.2786885245883468E-5</v>
      </c>
      <c r="CB25" s="70">
        <f t="shared" si="34"/>
        <v>5.2950638297872388E-2</v>
      </c>
      <c r="CC25" s="70">
        <f t="shared" si="35"/>
        <v>5.130890052355852E-2</v>
      </c>
      <c r="CD25" s="70">
        <f t="shared" si="36"/>
        <v>9.9992797927461297E-2</v>
      </c>
      <c r="CE25" s="70">
        <f t="shared" si="36"/>
        <v>4.9230769230769411E-2</v>
      </c>
      <c r="CF25" s="70">
        <f t="shared" si="36"/>
        <v>4.9230769230769411E-2</v>
      </c>
      <c r="CG25" s="71">
        <f t="shared" si="36"/>
        <v>4.9230769230769411E-2</v>
      </c>
    </row>
    <row r="26" spans="1:85" s="41" customFormat="1" ht="15" customHeight="1">
      <c r="U26" s="353">
        <v>2</v>
      </c>
      <c r="V26" s="354"/>
      <c r="W26" s="364" t="s">
        <v>23</v>
      </c>
      <c r="X26" s="364"/>
      <c r="Y26" s="364"/>
      <c r="Z26" s="364"/>
      <c r="AA26" s="364"/>
      <c r="AB26" s="364"/>
      <c r="AC26" s="364"/>
      <c r="AD26" s="364"/>
      <c r="AE26" s="364"/>
      <c r="AF26" s="364"/>
      <c r="AG26" s="364"/>
      <c r="AH26" s="364"/>
      <c r="AI26" s="364"/>
      <c r="AJ26" s="364"/>
      <c r="AK26" s="364"/>
      <c r="AL26" s="364"/>
      <c r="AM26" s="364"/>
      <c r="AN26" s="364"/>
      <c r="AO26" s="364"/>
      <c r="AP26" s="365"/>
      <c r="AQ26" s="60"/>
      <c r="AR26" s="60"/>
      <c r="AS26" s="60"/>
      <c r="BM26" s="224">
        <v>6500</v>
      </c>
      <c r="BN26" s="70">
        <f t="shared" si="20"/>
        <v>-3.157894736816047E-5</v>
      </c>
      <c r="BO26" s="70">
        <f t="shared" si="21"/>
        <v>-3.157894736816047E-5</v>
      </c>
      <c r="BP26" s="70">
        <f t="shared" si="22"/>
        <v>-0.10560895522388059</v>
      </c>
      <c r="BQ26" s="70">
        <f t="shared" si="23"/>
        <v>9.950656934306501E-2</v>
      </c>
      <c r="BR26" s="70">
        <f t="shared" si="24"/>
        <v>4.2253521126411897E-6</v>
      </c>
      <c r="BS26" s="70">
        <f t="shared" si="25"/>
        <v>1.3513513513530029E-5</v>
      </c>
      <c r="BT26" s="70">
        <f t="shared" si="26"/>
        <v>7.7854838709676244E-2</v>
      </c>
      <c r="BU26" s="70">
        <f t="shared" si="27"/>
        <v>0.14161481481481353</v>
      </c>
      <c r="BV26" s="70">
        <f t="shared" si="28"/>
        <v>-2.9268292683681807E-5</v>
      </c>
      <c r="BW26" s="70">
        <f t="shared" si="29"/>
        <v>3.9759036145170512E-5</v>
      </c>
      <c r="BX26" s="70">
        <f t="shared" si="30"/>
        <v>3.5294117648021484E-5</v>
      </c>
      <c r="BY26" s="70">
        <f t="shared" si="31"/>
        <v>9.0909090904034429E-6</v>
      </c>
      <c r="BZ26" s="70">
        <f t="shared" si="32"/>
        <v>-1.9889502762993061E-5</v>
      </c>
      <c r="CA26" s="70">
        <f t="shared" si="33"/>
        <v>2.9032258064276562E-5</v>
      </c>
      <c r="CB26" s="70">
        <f t="shared" si="34"/>
        <v>-2.1052631584694836E-6</v>
      </c>
      <c r="CC26" s="70">
        <f t="shared" si="35"/>
        <v>-5.0777202072540106E-2</v>
      </c>
      <c r="CD26" s="70">
        <f t="shared" si="36"/>
        <v>7.6923076974821925E-7</v>
      </c>
      <c r="CE26" s="70">
        <f t="shared" si="36"/>
        <v>0</v>
      </c>
      <c r="CF26" s="70">
        <f t="shared" si="36"/>
        <v>0</v>
      </c>
      <c r="CG26" s="71">
        <f t="shared" si="36"/>
        <v>0</v>
      </c>
    </row>
    <row r="27" spans="1:85" s="41" customFormat="1" ht="15" customHeight="1" thickBot="1">
      <c r="U27" s="355"/>
      <c r="V27" s="356"/>
      <c r="W27" s="362" t="s">
        <v>0</v>
      </c>
      <c r="X27" s="362"/>
      <c r="Y27" s="362"/>
      <c r="Z27" s="362"/>
      <c r="AA27" s="362"/>
      <c r="AB27" s="362"/>
      <c r="AC27" s="362"/>
      <c r="AD27" s="362"/>
      <c r="AE27" s="362"/>
      <c r="AF27" s="362"/>
      <c r="AG27" s="362"/>
      <c r="AH27" s="362"/>
      <c r="AI27" s="362"/>
      <c r="AJ27" s="362"/>
      <c r="AK27" s="362"/>
      <c r="AL27" s="362"/>
      <c r="AM27" s="362"/>
      <c r="AN27" s="362"/>
      <c r="AO27" s="362"/>
      <c r="AP27" s="363"/>
      <c r="AQ27" s="60"/>
      <c r="AR27" s="60"/>
      <c r="AS27" s="60"/>
      <c r="BM27" s="224">
        <v>7000</v>
      </c>
      <c r="BN27" s="70">
        <f t="shared" si="20"/>
        <v>-8.9552238815571172E-6</v>
      </c>
      <c r="BO27" s="70">
        <f t="shared" si="21"/>
        <v>-8.9552238815571172E-6</v>
      </c>
      <c r="BP27" s="70">
        <f t="shared" si="22"/>
        <v>-0.10402222222222335</v>
      </c>
      <c r="BQ27" s="70">
        <f t="shared" si="23"/>
        <v>9.6690647482013503E-2</v>
      </c>
      <c r="BR27" s="70">
        <f t="shared" si="24"/>
        <v>-4.8275862068791753E-5</v>
      </c>
      <c r="BS27" s="70">
        <f t="shared" si="25"/>
        <v>7.9839215686273945E-2</v>
      </c>
      <c r="BT27" s="70">
        <f t="shared" si="26"/>
        <v>0.14519999999999911</v>
      </c>
      <c r="BU27" s="70">
        <f t="shared" si="27"/>
        <v>0.1382707317073173</v>
      </c>
      <c r="BV27" s="70">
        <f t="shared" si="28"/>
        <v>6.7839759036145253E-2</v>
      </c>
      <c r="BW27" s="70">
        <f t="shared" si="29"/>
        <v>0</v>
      </c>
      <c r="BX27" s="70">
        <f t="shared" si="30"/>
        <v>3.4883720928746698E-5</v>
      </c>
      <c r="BY27" s="70">
        <f t="shared" si="31"/>
        <v>5.9708474576270376E-2</v>
      </c>
      <c r="BZ27" s="70">
        <f t="shared" si="32"/>
        <v>-3.2786885245883468E-5</v>
      </c>
      <c r="CA27" s="70">
        <f t="shared" si="33"/>
        <v>5.2395555555555973E-2</v>
      </c>
      <c r="CB27" s="70">
        <f t="shared" si="34"/>
        <v>9.8969072164948102E-2</v>
      </c>
      <c r="CC27" s="70">
        <f t="shared" si="35"/>
        <v>4.9230769230769411E-2</v>
      </c>
      <c r="CD27" s="70">
        <f t="shared" si="36"/>
        <v>0</v>
      </c>
      <c r="CE27" s="70">
        <f t="shared" si="36"/>
        <v>0</v>
      </c>
      <c r="CF27" s="70">
        <f t="shared" si="36"/>
        <v>0</v>
      </c>
      <c r="CG27" s="71">
        <f t="shared" si="36"/>
        <v>0</v>
      </c>
    </row>
    <row r="28" spans="1:85" s="41" customFormat="1" ht="15" customHeight="1" thickBot="1">
      <c r="U28" s="355"/>
      <c r="V28" s="357"/>
      <c r="W28" s="193">
        <v>10</v>
      </c>
      <c r="X28" s="194">
        <v>20</v>
      </c>
      <c r="Y28" s="194">
        <v>30</v>
      </c>
      <c r="Z28" s="194">
        <v>40</v>
      </c>
      <c r="AA28" s="195">
        <v>50</v>
      </c>
      <c r="AB28" s="195">
        <v>60</v>
      </c>
      <c r="AC28" s="195">
        <v>70</v>
      </c>
      <c r="AD28" s="195">
        <v>80</v>
      </c>
      <c r="AE28" s="195">
        <v>90</v>
      </c>
      <c r="AF28" s="195">
        <v>100</v>
      </c>
      <c r="AG28" s="195">
        <v>120</v>
      </c>
      <c r="AH28" s="195">
        <v>140</v>
      </c>
      <c r="AI28" s="196">
        <v>160</v>
      </c>
      <c r="AJ28" s="196">
        <v>180</v>
      </c>
      <c r="AK28" s="196">
        <v>200</v>
      </c>
      <c r="AL28" s="196">
        <v>220</v>
      </c>
      <c r="AM28" s="196">
        <v>240</v>
      </c>
      <c r="AN28" s="196">
        <v>260</v>
      </c>
      <c r="AO28" s="196">
        <v>280</v>
      </c>
      <c r="AP28" s="197">
        <v>300</v>
      </c>
      <c r="AQ28" s="60"/>
      <c r="AR28" s="60"/>
      <c r="AS28" s="60"/>
      <c r="BM28" s="226">
        <v>7500</v>
      </c>
      <c r="BN28" s="73">
        <f t="shared" si="20"/>
        <v>-8.9552238815571172E-6</v>
      </c>
      <c r="BO28" s="73">
        <f t="shared" si="21"/>
        <v>-8.9552238815571172E-6</v>
      </c>
      <c r="BP28" s="73">
        <f t="shared" si="22"/>
        <v>-0.10402222222222335</v>
      </c>
      <c r="BQ28" s="73">
        <f t="shared" si="23"/>
        <v>0</v>
      </c>
      <c r="BR28" s="73">
        <f t="shared" si="24"/>
        <v>-8.8928767123288566E-2</v>
      </c>
      <c r="BS28" s="73">
        <f t="shared" si="25"/>
        <v>-1.8181818182583243E-5</v>
      </c>
      <c r="BT28" s="73">
        <f t="shared" si="26"/>
        <v>7.2156521739129786E-2</v>
      </c>
      <c r="BU28" s="73">
        <f t="shared" si="27"/>
        <v>6.8736363636363151E-2</v>
      </c>
      <c r="BV28" s="73">
        <f t="shared" si="28"/>
        <v>-3.4131736526887835E-5</v>
      </c>
      <c r="BW28" s="73">
        <f t="shared" si="29"/>
        <v>-6.6272189349112054E-2</v>
      </c>
      <c r="BX28" s="73">
        <f t="shared" si="30"/>
        <v>3.4883720928746698E-5</v>
      </c>
      <c r="BY28" s="73">
        <f t="shared" si="31"/>
        <v>-1.3483146068082874E-5</v>
      </c>
      <c r="BZ28" s="73">
        <f t="shared" si="32"/>
        <v>-3.2786885245883468E-5</v>
      </c>
      <c r="CA28" s="73">
        <f t="shared" si="33"/>
        <v>-2.1052631584694836E-6</v>
      </c>
      <c r="CB28" s="73">
        <f t="shared" si="34"/>
        <v>4.9230769230769411E-2</v>
      </c>
      <c r="CC28" s="73">
        <f t="shared" si="35"/>
        <v>0</v>
      </c>
      <c r="CD28" s="73">
        <f t="shared" si="36"/>
        <v>0</v>
      </c>
      <c r="CE28" s="73">
        <f t="shared" si="36"/>
        <v>0</v>
      </c>
      <c r="CF28" s="73">
        <f t="shared" si="36"/>
        <v>0</v>
      </c>
      <c r="CG28" s="74">
        <f t="shared" si="36"/>
        <v>0</v>
      </c>
    </row>
    <row r="29" spans="1:85" s="41" customFormat="1" ht="15" customHeight="1">
      <c r="U29" s="349" t="s">
        <v>1</v>
      </c>
      <c r="V29" s="193">
        <v>500</v>
      </c>
      <c r="W29" s="48">
        <v>13.3447</v>
      </c>
      <c r="X29" s="48">
        <v>13.3447</v>
      </c>
      <c r="Y29" s="48">
        <v>13.3447</v>
      </c>
      <c r="Z29" s="48">
        <v>13.3447</v>
      </c>
      <c r="AA29" s="48">
        <v>13.3447</v>
      </c>
      <c r="AB29" s="48">
        <v>13.3447</v>
      </c>
      <c r="AC29" s="48">
        <v>13.3447</v>
      </c>
      <c r="AD29" s="48">
        <v>13.3447</v>
      </c>
      <c r="AE29" s="48">
        <v>12.544</v>
      </c>
      <c r="AF29" s="48">
        <v>12.544</v>
      </c>
      <c r="AG29" s="48">
        <v>12.298</v>
      </c>
      <c r="AH29" s="48">
        <v>12.061500000000001</v>
      </c>
      <c r="AI29" s="48">
        <v>11.834</v>
      </c>
      <c r="AJ29" s="48">
        <v>11.614800000000001</v>
      </c>
      <c r="AK29" s="48">
        <v>11.403600000000001</v>
      </c>
      <c r="AL29" s="48">
        <v>11.2</v>
      </c>
      <c r="AM29" s="48">
        <v>11.003500000000001</v>
      </c>
      <c r="AN29" s="48">
        <v>10.813800000000001</v>
      </c>
      <c r="AO29" s="48">
        <v>10.813800000000001</v>
      </c>
      <c r="AP29" s="56">
        <v>10.813800000000001</v>
      </c>
      <c r="AQ29" s="60"/>
      <c r="AR29" s="60"/>
      <c r="AS29" s="60"/>
    </row>
    <row r="30" spans="1:85" s="41" customFormat="1" ht="15" customHeight="1">
      <c r="U30" s="349"/>
      <c r="V30" s="222">
        <v>1000</v>
      </c>
      <c r="W30" s="48">
        <v>14.7</v>
      </c>
      <c r="X30" s="48">
        <v>14.7</v>
      </c>
      <c r="Y30" s="48">
        <v>14.7</v>
      </c>
      <c r="Z30" s="48">
        <v>14.7</v>
      </c>
      <c r="AA30" s="48">
        <v>14.7</v>
      </c>
      <c r="AB30" s="48">
        <v>14.7</v>
      </c>
      <c r="AC30" s="48">
        <v>14.7</v>
      </c>
      <c r="AD30" s="48">
        <v>14.7</v>
      </c>
      <c r="AE30" s="48">
        <v>13.44</v>
      </c>
      <c r="AF30" s="48">
        <v>13.44</v>
      </c>
      <c r="AG30" s="48">
        <v>13.157999999999999</v>
      </c>
      <c r="AH30" s="48">
        <v>12.8</v>
      </c>
      <c r="AI30" s="48">
        <v>12.544</v>
      </c>
      <c r="AJ30" s="48">
        <v>12.298</v>
      </c>
      <c r="AK30" s="48">
        <v>12.061500000000001</v>
      </c>
      <c r="AL30" s="48">
        <v>11.834</v>
      </c>
      <c r="AM30" s="48">
        <v>11.614800000000001</v>
      </c>
      <c r="AN30" s="48">
        <v>11.4732</v>
      </c>
      <c r="AO30" s="48">
        <v>11.4732</v>
      </c>
      <c r="AP30" s="56">
        <v>11.4732</v>
      </c>
      <c r="AQ30" s="60"/>
      <c r="AR30" s="60"/>
      <c r="AS30" s="60"/>
    </row>
    <row r="31" spans="1:85" s="41" customFormat="1" ht="15" customHeight="1" thickBot="1">
      <c r="U31" s="349"/>
      <c r="V31" s="223">
        <v>1500</v>
      </c>
      <c r="W31" s="48">
        <v>14.7</v>
      </c>
      <c r="X31" s="48">
        <v>14.7</v>
      </c>
      <c r="Y31" s="48">
        <v>14.7</v>
      </c>
      <c r="Z31" s="48">
        <v>14.7</v>
      </c>
      <c r="AA31" s="48">
        <v>14.7</v>
      </c>
      <c r="AB31" s="48">
        <v>14.7</v>
      </c>
      <c r="AC31" s="48">
        <v>14.7</v>
      </c>
      <c r="AD31" s="48">
        <v>14.7</v>
      </c>
      <c r="AE31" s="48">
        <v>14.2545</v>
      </c>
      <c r="AF31" s="48">
        <v>13.8353</v>
      </c>
      <c r="AG31" s="48">
        <v>13.157999999999999</v>
      </c>
      <c r="AH31" s="48">
        <v>12.976599999999999</v>
      </c>
      <c r="AI31" s="48">
        <v>12.8</v>
      </c>
      <c r="AJ31" s="48">
        <v>12.544</v>
      </c>
      <c r="AK31" s="48">
        <v>12.298</v>
      </c>
      <c r="AL31" s="48">
        <v>12.061500000000001</v>
      </c>
      <c r="AM31" s="48">
        <v>11.834</v>
      </c>
      <c r="AN31" s="48">
        <v>11.614800000000001</v>
      </c>
      <c r="AO31" s="48">
        <v>11.614800000000001</v>
      </c>
      <c r="AP31" s="56">
        <v>11.614800000000001</v>
      </c>
      <c r="AQ31" s="60"/>
      <c r="AR31" s="60"/>
      <c r="AS31" s="60"/>
    </row>
    <row r="32" spans="1:85" s="41" customFormat="1" ht="15" customHeight="1" thickBot="1">
      <c r="U32" s="349"/>
      <c r="V32" s="223">
        <v>2000</v>
      </c>
      <c r="W32" s="48">
        <v>14.7</v>
      </c>
      <c r="X32" s="48">
        <v>14.7</v>
      </c>
      <c r="Y32" s="48">
        <v>14.7</v>
      </c>
      <c r="Z32" s="48">
        <v>14.7</v>
      </c>
      <c r="AA32" s="48">
        <v>14.7</v>
      </c>
      <c r="AB32" s="48">
        <v>14.7</v>
      </c>
      <c r="AC32" s="48">
        <v>14.7</v>
      </c>
      <c r="AD32" s="48">
        <v>14.7</v>
      </c>
      <c r="AE32" s="48">
        <v>14.2545</v>
      </c>
      <c r="AF32" s="48">
        <v>13.8353</v>
      </c>
      <c r="AG32" s="48">
        <v>13.44</v>
      </c>
      <c r="AH32" s="48">
        <v>13.066700000000001</v>
      </c>
      <c r="AI32" s="48">
        <v>12.8</v>
      </c>
      <c r="AJ32" s="48">
        <v>12.6282</v>
      </c>
      <c r="AK32" s="48">
        <v>12.3789</v>
      </c>
      <c r="AL32" s="48">
        <v>12.1394</v>
      </c>
      <c r="AM32" s="48">
        <v>11.908899999999999</v>
      </c>
      <c r="AN32" s="48">
        <v>11.686999999999999</v>
      </c>
      <c r="AO32" s="48">
        <v>11.686999999999999</v>
      </c>
      <c r="AP32" s="56">
        <v>11.686999999999999</v>
      </c>
      <c r="AQ32" s="60"/>
      <c r="AR32" s="304" t="s">
        <v>8</v>
      </c>
      <c r="AS32" s="305"/>
      <c r="AT32" s="305"/>
      <c r="AU32" s="305"/>
      <c r="AV32" s="305"/>
      <c r="AW32" s="305"/>
      <c r="AX32" s="305"/>
      <c r="AY32" s="305"/>
      <c r="AZ32" s="305"/>
      <c r="BA32" s="305"/>
      <c r="BB32" s="305"/>
      <c r="BC32" s="305"/>
      <c r="BD32" s="305"/>
      <c r="BE32" s="305"/>
      <c r="BF32" s="305"/>
      <c r="BG32" s="305"/>
      <c r="BH32" s="305"/>
      <c r="BI32" s="306"/>
    </row>
    <row r="33" spans="21:85" s="41" customFormat="1" ht="15" customHeight="1">
      <c r="U33" s="349"/>
      <c r="V33" s="223">
        <v>2500</v>
      </c>
      <c r="W33" s="48">
        <v>14.7</v>
      </c>
      <c r="X33" s="48">
        <v>14.7</v>
      </c>
      <c r="Y33" s="48">
        <v>14.7</v>
      </c>
      <c r="Z33" s="48">
        <v>14.7</v>
      </c>
      <c r="AA33" s="48">
        <v>14.7</v>
      </c>
      <c r="AB33" s="48">
        <v>14.7</v>
      </c>
      <c r="AC33" s="48">
        <v>14.7</v>
      </c>
      <c r="AD33" s="48">
        <v>14.7</v>
      </c>
      <c r="AE33" s="48">
        <v>14.3634</v>
      </c>
      <c r="AF33" s="48">
        <v>14.147399999999999</v>
      </c>
      <c r="AG33" s="48">
        <v>13.8353</v>
      </c>
      <c r="AH33" s="48">
        <v>13.44</v>
      </c>
      <c r="AI33" s="48">
        <v>13.157999999999999</v>
      </c>
      <c r="AJ33" s="48">
        <v>12.976599999999999</v>
      </c>
      <c r="AK33" s="48">
        <v>12.7135</v>
      </c>
      <c r="AL33" s="48">
        <v>12.460900000000001</v>
      </c>
      <c r="AM33" s="48">
        <v>12.2182</v>
      </c>
      <c r="AN33" s="48">
        <v>11.9847</v>
      </c>
      <c r="AO33" s="48">
        <v>11.9847</v>
      </c>
      <c r="AP33" s="56">
        <v>11.9847</v>
      </c>
      <c r="AQ33" s="60"/>
      <c r="AR33" s="60"/>
      <c r="AS33" s="60"/>
    </row>
    <row r="34" spans="21:85" s="41" customFormat="1" ht="15" customHeight="1">
      <c r="U34" s="349"/>
      <c r="V34" s="224">
        <v>3000</v>
      </c>
      <c r="W34" s="48">
        <v>14.7</v>
      </c>
      <c r="X34" s="48">
        <v>14.7</v>
      </c>
      <c r="Y34" s="48">
        <v>14.7</v>
      </c>
      <c r="Z34" s="48">
        <v>14.7</v>
      </c>
      <c r="AA34" s="48">
        <v>14.7</v>
      </c>
      <c r="AB34" s="48">
        <v>14.7</v>
      </c>
      <c r="AC34" s="48">
        <v>14.7</v>
      </c>
      <c r="AD34" s="48">
        <v>14.7</v>
      </c>
      <c r="AE34" s="48">
        <v>14.3634</v>
      </c>
      <c r="AF34" s="48">
        <v>14.147399999999999</v>
      </c>
      <c r="AG34" s="48">
        <v>14.0418</v>
      </c>
      <c r="AH34" s="48">
        <v>13.2507</v>
      </c>
      <c r="AI34" s="48">
        <v>11.76</v>
      </c>
      <c r="AJ34" s="48">
        <v>11.334899999999999</v>
      </c>
      <c r="AK34" s="48">
        <v>11.068199999999999</v>
      </c>
      <c r="AL34" s="48">
        <v>10.939500000000001</v>
      </c>
      <c r="AM34" s="48">
        <v>10.752000000000001</v>
      </c>
      <c r="AN34" s="48">
        <v>10.5708</v>
      </c>
      <c r="AO34" s="48">
        <v>10.5708</v>
      </c>
      <c r="AP34" s="56">
        <v>10.5708</v>
      </c>
      <c r="AQ34" s="60"/>
      <c r="AR34" s="60"/>
      <c r="AS34" s="60"/>
    </row>
    <row r="35" spans="21:85" s="41" customFormat="1" ht="15" customHeight="1">
      <c r="U35" s="349"/>
      <c r="V35" s="224">
        <v>3500</v>
      </c>
      <c r="W35" s="48">
        <v>14.7</v>
      </c>
      <c r="X35" s="48">
        <v>14.7</v>
      </c>
      <c r="Y35" s="48">
        <v>14.7</v>
      </c>
      <c r="Z35" s="48">
        <v>14.7</v>
      </c>
      <c r="AA35" s="48">
        <v>14.7</v>
      </c>
      <c r="AB35" s="48">
        <v>14.7</v>
      </c>
      <c r="AC35" s="48">
        <v>14.7</v>
      </c>
      <c r="AD35" s="48">
        <v>14.7</v>
      </c>
      <c r="AE35" s="48">
        <v>14.3634</v>
      </c>
      <c r="AF35" s="48">
        <v>14.147399999999999</v>
      </c>
      <c r="AG35" s="48">
        <v>13.44</v>
      </c>
      <c r="AH35" s="48">
        <v>12.2182</v>
      </c>
      <c r="AI35" s="48">
        <v>11.4732</v>
      </c>
      <c r="AJ35" s="48">
        <v>10.876300000000001</v>
      </c>
      <c r="AK35" s="48">
        <v>10.813800000000001</v>
      </c>
      <c r="AL35" s="48">
        <v>10.752000000000001</v>
      </c>
      <c r="AM35" s="48">
        <v>10.5708</v>
      </c>
      <c r="AN35" s="48">
        <v>10.511699999999999</v>
      </c>
      <c r="AO35" s="48">
        <v>10.511699999999999</v>
      </c>
      <c r="AP35" s="56">
        <v>10.511699999999999</v>
      </c>
      <c r="AQ35" s="60"/>
      <c r="AR35" s="60"/>
      <c r="AS35" s="60"/>
    </row>
    <row r="36" spans="21:85" s="41" customFormat="1" ht="15" customHeight="1">
      <c r="U36" s="349"/>
      <c r="V36" s="224">
        <v>4000</v>
      </c>
      <c r="W36" s="48">
        <v>14.7</v>
      </c>
      <c r="X36" s="48">
        <v>14.7</v>
      </c>
      <c r="Y36" s="48">
        <v>14.7</v>
      </c>
      <c r="Z36" s="48">
        <v>14.7</v>
      </c>
      <c r="AA36" s="48">
        <v>14.7</v>
      </c>
      <c r="AB36" s="48">
        <v>14.7</v>
      </c>
      <c r="AC36" s="48">
        <v>14.7</v>
      </c>
      <c r="AD36" s="48">
        <v>14.7</v>
      </c>
      <c r="AE36" s="48">
        <v>14.147399999999999</v>
      </c>
      <c r="AF36" s="48">
        <v>13.6348</v>
      </c>
      <c r="AG36" s="48">
        <v>12.460900000000001</v>
      </c>
      <c r="AH36" s="48">
        <v>11.614800000000001</v>
      </c>
      <c r="AI36" s="48">
        <v>11.2</v>
      </c>
      <c r="AJ36" s="48">
        <v>10.752000000000001</v>
      </c>
      <c r="AK36" s="48">
        <v>10.6305</v>
      </c>
      <c r="AL36" s="48">
        <v>10.5708</v>
      </c>
      <c r="AM36" s="48">
        <v>10.3956</v>
      </c>
      <c r="AN36" s="48">
        <v>10.226100000000001</v>
      </c>
      <c r="AO36" s="48">
        <v>10.226100000000001</v>
      </c>
      <c r="AP36" s="56">
        <v>10.226100000000001</v>
      </c>
      <c r="AQ36" s="60"/>
      <c r="AR36" s="60"/>
      <c r="AS36" s="60"/>
    </row>
    <row r="37" spans="21:85" s="41" customFormat="1" ht="15" customHeight="1">
      <c r="U37" s="349"/>
      <c r="V37" s="224">
        <v>4500</v>
      </c>
      <c r="W37" s="48">
        <v>14.7</v>
      </c>
      <c r="X37" s="48">
        <v>14.7</v>
      </c>
      <c r="Y37" s="48">
        <v>14.7</v>
      </c>
      <c r="Z37" s="48">
        <v>14.7</v>
      </c>
      <c r="AA37" s="48">
        <v>14.7</v>
      </c>
      <c r="AB37" s="48">
        <v>14.7</v>
      </c>
      <c r="AC37" s="48">
        <v>14.147399999999999</v>
      </c>
      <c r="AD37" s="48">
        <v>13.734299999999999</v>
      </c>
      <c r="AE37" s="48">
        <v>13.44</v>
      </c>
      <c r="AF37" s="48">
        <v>12.8</v>
      </c>
      <c r="AG37" s="48">
        <v>12.061500000000001</v>
      </c>
      <c r="AH37" s="48">
        <v>11.4732</v>
      </c>
      <c r="AI37" s="48">
        <v>11.068199999999999</v>
      </c>
      <c r="AJ37" s="48">
        <v>10.813800000000001</v>
      </c>
      <c r="AK37" s="48">
        <v>10.752000000000001</v>
      </c>
      <c r="AL37" s="48">
        <v>10.5708</v>
      </c>
      <c r="AM37" s="48">
        <v>10.3956</v>
      </c>
      <c r="AN37" s="48">
        <v>10.226100000000001</v>
      </c>
      <c r="AO37" s="48">
        <v>10.226100000000001</v>
      </c>
      <c r="AP37" s="56">
        <v>10.226100000000001</v>
      </c>
      <c r="AQ37" s="60"/>
      <c r="AR37" s="60"/>
      <c r="AS37" s="60"/>
    </row>
    <row r="38" spans="21:85" s="41" customFormat="1" ht="15" customHeight="1" thickBot="1">
      <c r="U38" s="349"/>
      <c r="V38" s="224">
        <v>5000</v>
      </c>
      <c r="W38" s="48">
        <v>14.7</v>
      </c>
      <c r="X38" s="48">
        <v>14.7</v>
      </c>
      <c r="Y38" s="48">
        <v>14.7</v>
      </c>
      <c r="Z38" s="48">
        <v>14.7</v>
      </c>
      <c r="AA38" s="48">
        <v>14.7</v>
      </c>
      <c r="AB38" s="48">
        <v>14.473800000000001</v>
      </c>
      <c r="AC38" s="48">
        <v>14.147399999999999</v>
      </c>
      <c r="AD38" s="48">
        <v>13.44</v>
      </c>
      <c r="AE38" s="48">
        <v>12.8</v>
      </c>
      <c r="AF38" s="48">
        <v>12.2182</v>
      </c>
      <c r="AG38" s="48">
        <v>11.834</v>
      </c>
      <c r="AH38" s="48">
        <v>11.4732</v>
      </c>
      <c r="AI38" s="48">
        <v>10.939500000000001</v>
      </c>
      <c r="AJ38" s="48">
        <v>10.5708</v>
      </c>
      <c r="AK38" s="48">
        <v>10.4533</v>
      </c>
      <c r="AL38" s="48">
        <v>10.3956</v>
      </c>
      <c r="AM38" s="48">
        <v>10.226100000000001</v>
      </c>
      <c r="AN38" s="48">
        <v>10.061999999999999</v>
      </c>
      <c r="AO38" s="48">
        <v>10.061999999999999</v>
      </c>
      <c r="AP38" s="56">
        <v>10.061999999999999</v>
      </c>
      <c r="AQ38" s="60"/>
      <c r="AR38" s="60"/>
      <c r="AS38" s="60"/>
    </row>
    <row r="39" spans="21:85" s="41" customFormat="1" ht="15" customHeight="1" thickBot="1">
      <c r="U39" s="349"/>
      <c r="V39" s="224">
        <v>5500</v>
      </c>
      <c r="W39" s="48">
        <v>14.7</v>
      </c>
      <c r="X39" s="48">
        <v>14.7</v>
      </c>
      <c r="Y39" s="48">
        <v>14.7</v>
      </c>
      <c r="Z39" s="48">
        <v>14.7</v>
      </c>
      <c r="AA39" s="48">
        <v>14.473800000000001</v>
      </c>
      <c r="AB39" s="48">
        <v>14.0418</v>
      </c>
      <c r="AC39" s="48">
        <v>13.6348</v>
      </c>
      <c r="AD39" s="48">
        <v>12.8</v>
      </c>
      <c r="AE39" s="48">
        <v>12.2182</v>
      </c>
      <c r="AF39" s="48">
        <v>11.908899999999999</v>
      </c>
      <c r="AG39" s="48">
        <v>11.614800000000001</v>
      </c>
      <c r="AH39" s="48">
        <v>10.939500000000001</v>
      </c>
      <c r="AI39" s="48">
        <v>10.6305</v>
      </c>
      <c r="AJ39" s="48">
        <v>10.3385</v>
      </c>
      <c r="AK39" s="48">
        <v>10.1708</v>
      </c>
      <c r="AL39" s="48">
        <v>10.061999999999999</v>
      </c>
      <c r="AM39" s="48">
        <v>9.9031599999999997</v>
      </c>
      <c r="AN39" s="48">
        <v>9.8000000000000007</v>
      </c>
      <c r="AO39" s="48">
        <v>9.8000000000000007</v>
      </c>
      <c r="AP39" s="56">
        <v>9.8000000000000007</v>
      </c>
      <c r="AQ39" s="60"/>
      <c r="AR39" s="60"/>
      <c r="AS39" s="60"/>
      <c r="BM39" s="366" t="s">
        <v>6</v>
      </c>
      <c r="BN39" s="367"/>
      <c r="BO39" s="367"/>
      <c r="BP39" s="367"/>
      <c r="BQ39" s="367"/>
      <c r="BR39" s="367"/>
      <c r="BS39" s="367"/>
      <c r="BT39" s="367"/>
      <c r="BU39" s="367"/>
      <c r="BV39" s="367"/>
      <c r="BW39" s="367"/>
      <c r="BX39" s="367"/>
      <c r="BY39" s="367"/>
      <c r="BZ39" s="367"/>
      <c r="CA39" s="367"/>
      <c r="CB39" s="367"/>
      <c r="CC39" s="367"/>
      <c r="CD39" s="367"/>
      <c r="CE39" s="367"/>
      <c r="CF39" s="367"/>
      <c r="CG39" s="368"/>
    </row>
    <row r="40" spans="21:85" s="41" customFormat="1" ht="15" customHeight="1">
      <c r="U40" s="349"/>
      <c r="V40" s="224">
        <v>6000</v>
      </c>
      <c r="W40" s="48">
        <v>14.3634</v>
      </c>
      <c r="X40" s="48">
        <v>14.3634</v>
      </c>
      <c r="Y40" s="48">
        <v>14.3634</v>
      </c>
      <c r="Z40" s="48">
        <v>14.3634</v>
      </c>
      <c r="AA40" s="48">
        <v>13.937799999999999</v>
      </c>
      <c r="AB40" s="48">
        <v>13.44</v>
      </c>
      <c r="AC40" s="48">
        <v>12.7135</v>
      </c>
      <c r="AD40" s="48">
        <v>11.834</v>
      </c>
      <c r="AE40" s="48">
        <v>11.686999999999999</v>
      </c>
      <c r="AF40" s="48">
        <v>11.4732</v>
      </c>
      <c r="AG40" s="48">
        <v>11.267099999999999</v>
      </c>
      <c r="AH40" s="48">
        <v>10.876300000000001</v>
      </c>
      <c r="AI40" s="48">
        <v>10.5708</v>
      </c>
      <c r="AJ40" s="48">
        <v>10.282</v>
      </c>
      <c r="AK40" s="48">
        <v>9.9555600000000002</v>
      </c>
      <c r="AL40" s="48">
        <v>9.8000000000000007</v>
      </c>
      <c r="AM40" s="48">
        <v>9.6492299999999993</v>
      </c>
      <c r="AN40" s="48">
        <v>9.6</v>
      </c>
      <c r="AO40" s="48">
        <v>9.6</v>
      </c>
      <c r="AP40" s="56">
        <v>9.6</v>
      </c>
      <c r="BM40" s="227"/>
      <c r="BN40" s="228">
        <v>10</v>
      </c>
      <c r="BO40" s="228">
        <v>20</v>
      </c>
      <c r="BP40" s="228">
        <v>30</v>
      </c>
      <c r="BQ40" s="228">
        <v>40</v>
      </c>
      <c r="BR40" s="229">
        <v>50</v>
      </c>
      <c r="BS40" s="229">
        <v>60</v>
      </c>
      <c r="BT40" s="229">
        <v>70</v>
      </c>
      <c r="BU40" s="229">
        <v>80</v>
      </c>
      <c r="BV40" s="229">
        <v>90</v>
      </c>
      <c r="BW40" s="229">
        <v>100</v>
      </c>
      <c r="BX40" s="229">
        <v>120</v>
      </c>
      <c r="BY40" s="229">
        <v>140</v>
      </c>
      <c r="BZ40" s="230">
        <v>160</v>
      </c>
      <c r="CA40" s="230">
        <v>180</v>
      </c>
      <c r="CB40" s="230">
        <v>200</v>
      </c>
      <c r="CC40" s="230">
        <v>220</v>
      </c>
      <c r="CD40" s="230">
        <v>240</v>
      </c>
      <c r="CE40" s="230">
        <v>260</v>
      </c>
      <c r="CF40" s="230">
        <v>280</v>
      </c>
      <c r="CG40" s="231">
        <v>300</v>
      </c>
    </row>
    <row r="41" spans="21:85" s="41" customFormat="1" ht="15" customHeight="1">
      <c r="U41" s="349"/>
      <c r="V41" s="224">
        <v>6500</v>
      </c>
      <c r="W41" s="48">
        <v>14.147399999999999</v>
      </c>
      <c r="X41" s="48">
        <v>14.147399999999999</v>
      </c>
      <c r="Y41" s="48">
        <v>14.147399999999999</v>
      </c>
      <c r="Z41" s="48">
        <v>13.6348</v>
      </c>
      <c r="AA41" s="48">
        <v>13.2507</v>
      </c>
      <c r="AB41" s="48">
        <v>12.7135</v>
      </c>
      <c r="AC41" s="48">
        <v>12.061500000000001</v>
      </c>
      <c r="AD41" s="48">
        <v>11.4732</v>
      </c>
      <c r="AE41" s="48">
        <v>11.4732</v>
      </c>
      <c r="AF41" s="48">
        <v>11.334899999999999</v>
      </c>
      <c r="AG41" s="48">
        <v>11.068199999999999</v>
      </c>
      <c r="AH41" s="48">
        <v>10.690899999999999</v>
      </c>
      <c r="AI41" s="48">
        <v>10.3956</v>
      </c>
      <c r="AJ41" s="48">
        <v>10.116099999999999</v>
      </c>
      <c r="AK41" s="48">
        <v>9.9031599999999997</v>
      </c>
      <c r="AL41" s="48">
        <v>9.8000000000000007</v>
      </c>
      <c r="AM41" s="48">
        <v>9.6492299999999993</v>
      </c>
      <c r="AN41" s="48">
        <v>9.6</v>
      </c>
      <c r="AO41" s="48">
        <v>9.6</v>
      </c>
      <c r="AP41" s="56">
        <v>9.6</v>
      </c>
      <c r="AQ41" s="58"/>
      <c r="BM41" s="222">
        <v>500</v>
      </c>
      <c r="BN41" s="70">
        <f t="shared" ref="BN41:BW43" si="37">W29-W53</f>
        <v>0</v>
      </c>
      <c r="BO41" s="70">
        <f t="shared" si="37"/>
        <v>0</v>
      </c>
      <c r="BP41" s="70">
        <f t="shared" si="37"/>
        <v>0</v>
      </c>
      <c r="BQ41" s="70">
        <f t="shared" si="37"/>
        <v>0</v>
      </c>
      <c r="BR41" s="70">
        <f t="shared" si="37"/>
        <v>0</v>
      </c>
      <c r="BS41" s="70">
        <f t="shared" si="37"/>
        <v>0</v>
      </c>
      <c r="BT41" s="70">
        <f t="shared" si="37"/>
        <v>0</v>
      </c>
      <c r="BU41" s="70">
        <f t="shared" si="37"/>
        <v>0</v>
      </c>
      <c r="BV41" s="70">
        <f t="shared" si="37"/>
        <v>0.55930000000000035</v>
      </c>
      <c r="BW41" s="70">
        <f t="shared" si="37"/>
        <v>0.55930000000000035</v>
      </c>
      <c r="BX41" s="70">
        <f t="shared" ref="BX41:CG43" si="38">AG29-AG53</f>
        <v>0.61100000000000065</v>
      </c>
      <c r="BY41" s="70">
        <f t="shared" si="38"/>
        <v>0.65789999999999971</v>
      </c>
      <c r="BZ41" s="70">
        <f t="shared" si="38"/>
        <v>0.70030000000000037</v>
      </c>
      <c r="CA41" s="70">
        <f t="shared" si="38"/>
        <v>0.73850000000000016</v>
      </c>
      <c r="CB41" s="70">
        <f t="shared" si="38"/>
        <v>0.77310000000000123</v>
      </c>
      <c r="CC41" s="70">
        <f t="shared" si="38"/>
        <v>0.80439999999999934</v>
      </c>
      <c r="CD41" s="70">
        <f t="shared" si="38"/>
        <v>0.83270000000000088</v>
      </c>
      <c r="CE41" s="70">
        <f t="shared" si="38"/>
        <v>0.85824000000000034</v>
      </c>
      <c r="CF41" s="70">
        <f t="shared" si="38"/>
        <v>0.85824000000000034</v>
      </c>
      <c r="CG41" s="71">
        <f t="shared" si="38"/>
        <v>0.85824000000000034</v>
      </c>
    </row>
    <row r="42" spans="21:85" s="41" customFormat="1" ht="15" customHeight="1">
      <c r="U42" s="349"/>
      <c r="V42" s="224">
        <v>7000</v>
      </c>
      <c r="W42" s="48">
        <v>14.0418</v>
      </c>
      <c r="X42" s="48">
        <v>14.0418</v>
      </c>
      <c r="Y42" s="48">
        <v>14.0418</v>
      </c>
      <c r="Z42" s="48">
        <v>13.44</v>
      </c>
      <c r="AA42" s="48">
        <v>12.976599999999999</v>
      </c>
      <c r="AB42" s="48">
        <v>12.2182</v>
      </c>
      <c r="AC42" s="48">
        <v>11.614800000000001</v>
      </c>
      <c r="AD42" s="48">
        <v>11.334899999999999</v>
      </c>
      <c r="AE42" s="48">
        <v>11.267099999999999</v>
      </c>
      <c r="AF42" s="48">
        <v>11.2</v>
      </c>
      <c r="AG42" s="48">
        <v>10.939500000000001</v>
      </c>
      <c r="AH42" s="48">
        <v>10.5708</v>
      </c>
      <c r="AI42" s="48">
        <v>10.282</v>
      </c>
      <c r="AJ42" s="48">
        <v>9.9031599999999997</v>
      </c>
      <c r="AK42" s="48">
        <v>9.6</v>
      </c>
      <c r="AL42" s="48">
        <v>9.6</v>
      </c>
      <c r="AM42" s="48">
        <v>9.6</v>
      </c>
      <c r="AN42" s="48">
        <v>9.6</v>
      </c>
      <c r="AO42" s="48">
        <v>9.6</v>
      </c>
      <c r="AP42" s="56">
        <v>9.6</v>
      </c>
      <c r="AQ42" s="59"/>
      <c r="AR42" s="59"/>
      <c r="AS42" s="59"/>
      <c r="BM42" s="222">
        <v>1000</v>
      </c>
      <c r="BN42" s="70">
        <f t="shared" si="37"/>
        <v>0</v>
      </c>
      <c r="BO42" s="70">
        <f t="shared" si="37"/>
        <v>0</v>
      </c>
      <c r="BP42" s="70">
        <f t="shared" si="37"/>
        <v>0</v>
      </c>
      <c r="BQ42" s="70">
        <f t="shared" si="37"/>
        <v>0</v>
      </c>
      <c r="BR42" s="70">
        <f t="shared" si="37"/>
        <v>0</v>
      </c>
      <c r="BS42" s="70">
        <f t="shared" si="37"/>
        <v>0</v>
      </c>
      <c r="BT42" s="70">
        <f t="shared" si="37"/>
        <v>0</v>
      </c>
      <c r="BU42" s="70">
        <f t="shared" si="37"/>
        <v>0</v>
      </c>
      <c r="BV42" s="70">
        <f t="shared" si="37"/>
        <v>0.37329999999999863</v>
      </c>
      <c r="BW42" s="70">
        <f t="shared" si="37"/>
        <v>0.37329999999999863</v>
      </c>
      <c r="BX42" s="70">
        <f t="shared" si="38"/>
        <v>0.44449999999999967</v>
      </c>
      <c r="BY42" s="70">
        <f t="shared" si="38"/>
        <v>0.42110000000000092</v>
      </c>
      <c r="BZ42" s="70">
        <f t="shared" si="38"/>
        <v>0.48249999999999993</v>
      </c>
      <c r="CA42" s="70">
        <f t="shared" si="38"/>
        <v>0.53800000000000026</v>
      </c>
      <c r="CB42" s="70">
        <f t="shared" si="38"/>
        <v>0.58830000000000027</v>
      </c>
      <c r="CC42" s="70">
        <f t="shared" si="38"/>
        <v>0.63400000000000034</v>
      </c>
      <c r="CD42" s="70">
        <f t="shared" si="38"/>
        <v>0.67530000000000001</v>
      </c>
      <c r="CE42" s="70">
        <f t="shared" si="38"/>
        <v>0.78230000000000111</v>
      </c>
      <c r="CF42" s="70">
        <f t="shared" si="38"/>
        <v>0.78230000000000111</v>
      </c>
      <c r="CG42" s="71">
        <f t="shared" si="38"/>
        <v>0.78230000000000111</v>
      </c>
    </row>
    <row r="43" spans="21:85" s="41" customFormat="1" ht="15" customHeight="1" thickBot="1">
      <c r="U43" s="350"/>
      <c r="V43" s="226">
        <v>7500</v>
      </c>
      <c r="W43" s="62">
        <v>14.0418</v>
      </c>
      <c r="X43" s="62">
        <v>14.0418</v>
      </c>
      <c r="Y43" s="62">
        <v>14.0418</v>
      </c>
      <c r="Z43" s="62">
        <v>13.44</v>
      </c>
      <c r="AA43" s="62">
        <v>12.976599999999999</v>
      </c>
      <c r="AB43" s="62">
        <v>12.2182</v>
      </c>
      <c r="AC43" s="62">
        <v>11.614800000000001</v>
      </c>
      <c r="AD43" s="62">
        <v>11.334899999999999</v>
      </c>
      <c r="AE43" s="62">
        <v>11.267099999999999</v>
      </c>
      <c r="AF43" s="62">
        <v>11.2</v>
      </c>
      <c r="AG43" s="62">
        <v>10.939500000000001</v>
      </c>
      <c r="AH43" s="62">
        <v>10.5708</v>
      </c>
      <c r="AI43" s="62">
        <v>10.282</v>
      </c>
      <c r="AJ43" s="62">
        <v>9.9031599999999997</v>
      </c>
      <c r="AK43" s="62">
        <v>9.6</v>
      </c>
      <c r="AL43" s="62">
        <v>9.6</v>
      </c>
      <c r="AM43" s="62">
        <v>9.6</v>
      </c>
      <c r="AN43" s="62">
        <v>9.6</v>
      </c>
      <c r="AO43" s="62">
        <v>9.6</v>
      </c>
      <c r="AP43" s="63">
        <v>9.6</v>
      </c>
      <c r="AQ43" s="59"/>
      <c r="AR43" s="59"/>
      <c r="AS43" s="59"/>
      <c r="BM43" s="223">
        <v>1500</v>
      </c>
      <c r="BN43" s="70">
        <f t="shared" si="37"/>
        <v>0</v>
      </c>
      <c r="BO43" s="70">
        <f t="shared" si="37"/>
        <v>0</v>
      </c>
      <c r="BP43" s="70">
        <f t="shared" si="37"/>
        <v>0</v>
      </c>
      <c r="BQ43" s="70">
        <f t="shared" si="37"/>
        <v>0</v>
      </c>
      <c r="BR43" s="70">
        <f t="shared" si="37"/>
        <v>0</v>
      </c>
      <c r="BS43" s="70">
        <f t="shared" si="37"/>
        <v>0</v>
      </c>
      <c r="BT43" s="70">
        <f t="shared" si="37"/>
        <v>0</v>
      </c>
      <c r="BU43" s="70">
        <f t="shared" si="37"/>
        <v>0</v>
      </c>
      <c r="BV43" s="70">
        <f t="shared" si="37"/>
        <v>0.10710000000000086</v>
      </c>
      <c r="BW43" s="70">
        <f t="shared" si="37"/>
        <v>0.2004999999999999</v>
      </c>
      <c r="BX43" s="70">
        <f t="shared" si="38"/>
        <v>0.44449999999999967</v>
      </c>
      <c r="BY43" s="70">
        <f t="shared" si="38"/>
        <v>0.43259999999999899</v>
      </c>
      <c r="BZ43" s="70">
        <f t="shared" si="38"/>
        <v>0.42110000000000092</v>
      </c>
      <c r="CA43" s="70">
        <f t="shared" si="38"/>
        <v>0.48249999999999993</v>
      </c>
      <c r="CB43" s="70">
        <f t="shared" si="38"/>
        <v>0.53800000000000026</v>
      </c>
      <c r="CC43" s="70">
        <f t="shared" si="38"/>
        <v>0.58830000000000027</v>
      </c>
      <c r="CD43" s="70">
        <f t="shared" si="38"/>
        <v>0.63400000000000034</v>
      </c>
      <c r="CE43" s="70">
        <f t="shared" si="38"/>
        <v>0.67530000000000001</v>
      </c>
      <c r="CF43" s="70">
        <f t="shared" si="38"/>
        <v>0.67530000000000001</v>
      </c>
      <c r="CG43" s="71">
        <f t="shared" si="38"/>
        <v>0.67530000000000001</v>
      </c>
    </row>
    <row r="44" spans="21:85" s="41" customFormat="1" ht="15" customHeight="1">
      <c r="AQ44" s="60"/>
      <c r="AR44" s="60"/>
      <c r="AS44" s="60"/>
      <c r="BM44" s="223">
        <v>2000</v>
      </c>
      <c r="BN44" s="70">
        <f t="shared" ref="BN44:BN52" si="39">W32-W56</f>
        <v>0</v>
      </c>
      <c r="BO44" s="70">
        <f t="shared" ref="BO44:BO52" si="40">X32-X56</f>
        <v>0</v>
      </c>
      <c r="BP44" s="70">
        <f t="shared" ref="BP44:BP52" si="41">Y32-Y56</f>
        <v>0</v>
      </c>
      <c r="BQ44" s="70">
        <f t="shared" ref="BQ44:BQ52" si="42">Z32-Z56</f>
        <v>0</v>
      </c>
      <c r="BR44" s="70">
        <f t="shared" ref="BR44:BR52" si="43">AA32-AA56</f>
        <v>0</v>
      </c>
      <c r="BS44" s="70">
        <f t="shared" ref="BS44:BS52" si="44">AB32-AB56</f>
        <v>0</v>
      </c>
      <c r="BT44" s="70">
        <f t="shared" ref="BT44:BT52" si="45">AC32-AC56</f>
        <v>0</v>
      </c>
      <c r="BU44" s="70">
        <f t="shared" ref="BU44:BU52" si="46">AD32-AD56</f>
        <v>0</v>
      </c>
      <c r="BV44" s="70">
        <f t="shared" ref="BV44:BV52" si="47">AE32-AE56</f>
        <v>0.10710000000000086</v>
      </c>
      <c r="BW44" s="70">
        <f t="shared" ref="BW44:BW52" si="48">AF32-AF56</f>
        <v>0.2004999999999999</v>
      </c>
      <c r="BX44" s="70">
        <f t="shared" ref="BX44:BX52" si="49">AG32-AG56</f>
        <v>0.37329999999999863</v>
      </c>
      <c r="BY44" s="70">
        <f t="shared" ref="BY44:BY52" si="50">AH32-AH56</f>
        <v>0.43850000000000122</v>
      </c>
      <c r="BZ44" s="70">
        <f t="shared" ref="BZ44:BZ52" si="51">AI32-AI56</f>
        <v>0.50200000000000067</v>
      </c>
      <c r="CA44" s="70">
        <f t="shared" ref="CA44:CA52" si="52">AJ32-AJ56</f>
        <v>0.48879999999999946</v>
      </c>
      <c r="CB44" s="70">
        <f t="shared" ref="CB44:CB52" si="53">AK32-AK56</f>
        <v>0.54490000000000016</v>
      </c>
      <c r="CC44" s="70">
        <f t="shared" ref="CC44:CC52" si="54">AL32-AL56</f>
        <v>0.59580000000000055</v>
      </c>
      <c r="CD44" s="70">
        <f t="shared" ref="CD44:CD55" si="55">AM32-AM56</f>
        <v>0.64179999999999993</v>
      </c>
      <c r="CE44" s="70">
        <f t="shared" ref="CE44:CE55" si="56">AN32-AN56</f>
        <v>0.68349999999999866</v>
      </c>
      <c r="CF44" s="70">
        <f t="shared" ref="CF44:CF55" si="57">AO32-AO56</f>
        <v>0.68349999999999866</v>
      </c>
      <c r="CG44" s="71">
        <f t="shared" ref="CG44:CG55" si="58">AP32-AP56</f>
        <v>0.68349999999999866</v>
      </c>
    </row>
    <row r="45" spans="21:85" s="41" customFormat="1" ht="15" customHeight="1">
      <c r="AQ45" s="60"/>
      <c r="AR45" s="60"/>
      <c r="AS45" s="60"/>
      <c r="BM45" s="223">
        <v>2500</v>
      </c>
      <c r="BN45" s="70">
        <f t="shared" si="39"/>
        <v>0</v>
      </c>
      <c r="BO45" s="70">
        <f t="shared" si="40"/>
        <v>0</v>
      </c>
      <c r="BP45" s="70">
        <f t="shared" si="41"/>
        <v>0</v>
      </c>
      <c r="BQ45" s="70">
        <f t="shared" si="42"/>
        <v>0</v>
      </c>
      <c r="BR45" s="70">
        <f t="shared" si="43"/>
        <v>0</v>
      </c>
      <c r="BS45" s="70">
        <f t="shared" si="44"/>
        <v>0</v>
      </c>
      <c r="BT45" s="70">
        <f t="shared" si="45"/>
        <v>0</v>
      </c>
      <c r="BU45" s="70">
        <f t="shared" si="46"/>
        <v>0</v>
      </c>
      <c r="BV45" s="70">
        <f t="shared" si="47"/>
        <v>0.10890000000000022</v>
      </c>
      <c r="BW45" s="70">
        <f t="shared" si="48"/>
        <v>0.20960000000000001</v>
      </c>
      <c r="BX45" s="70">
        <f t="shared" si="49"/>
        <v>0.2004999999999999</v>
      </c>
      <c r="BY45" s="70">
        <f t="shared" si="50"/>
        <v>0.37329999999999863</v>
      </c>
      <c r="BZ45" s="70">
        <f t="shared" si="51"/>
        <v>0.35799999999999876</v>
      </c>
      <c r="CA45" s="70">
        <f t="shared" si="52"/>
        <v>0.43259999999999899</v>
      </c>
      <c r="CB45" s="70">
        <f t="shared" si="53"/>
        <v>0.4953000000000003</v>
      </c>
      <c r="CC45" s="70">
        <f t="shared" si="54"/>
        <v>0.55200000000000138</v>
      </c>
      <c r="CD45" s="70">
        <f t="shared" si="55"/>
        <v>0.60339999999999883</v>
      </c>
      <c r="CE45" s="70">
        <f t="shared" si="56"/>
        <v>0.64980000000000082</v>
      </c>
      <c r="CF45" s="70">
        <f t="shared" si="57"/>
        <v>0.64980000000000082</v>
      </c>
      <c r="CG45" s="71">
        <f t="shared" si="58"/>
        <v>0.64980000000000082</v>
      </c>
    </row>
    <row r="46" spans="21:85" s="41" customFormat="1" ht="15" customHeight="1">
      <c r="AQ46" s="60"/>
      <c r="AR46" s="60"/>
      <c r="AS46" s="60"/>
      <c r="BM46" s="224">
        <v>3000</v>
      </c>
      <c r="BN46" s="70">
        <f t="shared" si="39"/>
        <v>0</v>
      </c>
      <c r="BO46" s="70">
        <f t="shared" si="40"/>
        <v>0</v>
      </c>
      <c r="BP46" s="70">
        <f t="shared" si="41"/>
        <v>0</v>
      </c>
      <c r="BQ46" s="70">
        <f t="shared" si="42"/>
        <v>0</v>
      </c>
      <c r="BR46" s="70">
        <f t="shared" si="43"/>
        <v>0</v>
      </c>
      <c r="BS46" s="70">
        <f t="shared" si="44"/>
        <v>0</v>
      </c>
      <c r="BT46" s="70">
        <f t="shared" si="45"/>
        <v>0</v>
      </c>
      <c r="BU46" s="70">
        <f t="shared" si="46"/>
        <v>0</v>
      </c>
      <c r="BV46" s="70">
        <f t="shared" si="47"/>
        <v>0.10890000000000022</v>
      </c>
      <c r="BW46" s="70">
        <f t="shared" si="48"/>
        <v>0.10559999999999903</v>
      </c>
      <c r="BX46" s="70">
        <f t="shared" si="49"/>
        <v>0.20650000000000013</v>
      </c>
      <c r="BY46" s="70">
        <f t="shared" si="50"/>
        <v>0.36299999999999955</v>
      </c>
      <c r="BZ46" s="70">
        <f t="shared" si="51"/>
        <v>0.69180000000000064</v>
      </c>
      <c r="CA46" s="70">
        <f t="shared" si="52"/>
        <v>0.76409999999999911</v>
      </c>
      <c r="CB46" s="70">
        <f t="shared" si="53"/>
        <v>0.78619999999999912</v>
      </c>
      <c r="CC46" s="70">
        <f t="shared" si="54"/>
        <v>0.87750000000000128</v>
      </c>
      <c r="CD46" s="70">
        <f t="shared" si="55"/>
        <v>0.90069000000000088</v>
      </c>
      <c r="CE46" s="70">
        <f t="shared" si="56"/>
        <v>0.92157000000000089</v>
      </c>
      <c r="CF46" s="70">
        <f t="shared" si="57"/>
        <v>0.92157000000000089</v>
      </c>
      <c r="CG46" s="71">
        <f t="shared" si="58"/>
        <v>0.92157000000000089</v>
      </c>
    </row>
    <row r="47" spans="21:85" s="41" customFormat="1" ht="15" customHeight="1">
      <c r="AQ47" s="60"/>
      <c r="AR47" s="60"/>
      <c r="AS47" s="60"/>
      <c r="BM47" s="224">
        <v>3500</v>
      </c>
      <c r="BN47" s="70">
        <f t="shared" si="39"/>
        <v>0</v>
      </c>
      <c r="BO47" s="70">
        <f t="shared" si="40"/>
        <v>0</v>
      </c>
      <c r="BP47" s="70">
        <f t="shared" si="41"/>
        <v>0</v>
      </c>
      <c r="BQ47" s="70">
        <f t="shared" si="42"/>
        <v>0</v>
      </c>
      <c r="BR47" s="70">
        <f t="shared" si="43"/>
        <v>0</v>
      </c>
      <c r="BS47" s="70">
        <f t="shared" si="44"/>
        <v>0</v>
      </c>
      <c r="BT47" s="70">
        <f t="shared" si="45"/>
        <v>0</v>
      </c>
      <c r="BU47" s="70">
        <f t="shared" si="46"/>
        <v>0</v>
      </c>
      <c r="BV47" s="70">
        <f t="shared" si="47"/>
        <v>0.10890000000000022</v>
      </c>
      <c r="BW47" s="70">
        <f t="shared" si="48"/>
        <v>0.10559999999999903</v>
      </c>
      <c r="BX47" s="70">
        <f t="shared" si="49"/>
        <v>0.37329999999999863</v>
      </c>
      <c r="BY47" s="70">
        <f t="shared" si="50"/>
        <v>0.60339999999999883</v>
      </c>
      <c r="BZ47" s="70">
        <f t="shared" si="51"/>
        <v>0.72119999999999962</v>
      </c>
      <c r="CA47" s="70">
        <f t="shared" si="52"/>
        <v>0.86780000000000079</v>
      </c>
      <c r="CB47" s="70">
        <f t="shared" si="53"/>
        <v>0.85824000000000034</v>
      </c>
      <c r="CC47" s="70">
        <f t="shared" si="54"/>
        <v>0.84884000000000093</v>
      </c>
      <c r="CD47" s="70">
        <f t="shared" si="55"/>
        <v>0.87183000000000099</v>
      </c>
      <c r="CE47" s="70">
        <f t="shared" si="56"/>
        <v>0.91169999999999973</v>
      </c>
      <c r="CF47" s="70">
        <f t="shared" si="57"/>
        <v>0.91169999999999973</v>
      </c>
      <c r="CG47" s="71">
        <f t="shared" si="58"/>
        <v>0.91169999999999973</v>
      </c>
    </row>
    <row r="48" spans="21:85" s="41" customFormat="1" ht="15" customHeight="1">
      <c r="AQ48" s="60"/>
      <c r="AR48" s="60"/>
      <c r="AS48" s="60"/>
      <c r="BM48" s="224">
        <v>4000</v>
      </c>
      <c r="BN48" s="70">
        <f t="shared" si="39"/>
        <v>0</v>
      </c>
      <c r="BO48" s="70">
        <f t="shared" si="40"/>
        <v>0</v>
      </c>
      <c r="BP48" s="70">
        <f t="shared" si="41"/>
        <v>0</v>
      </c>
      <c r="BQ48" s="70">
        <f t="shared" si="42"/>
        <v>0</v>
      </c>
      <c r="BR48" s="70">
        <f t="shared" si="43"/>
        <v>0</v>
      </c>
      <c r="BS48" s="70">
        <f t="shared" si="44"/>
        <v>0</v>
      </c>
      <c r="BT48" s="70">
        <f t="shared" si="45"/>
        <v>0</v>
      </c>
      <c r="BU48" s="70">
        <f t="shared" si="46"/>
        <v>0</v>
      </c>
      <c r="BV48" s="70">
        <f t="shared" si="47"/>
        <v>0.20960000000000001</v>
      </c>
      <c r="BW48" s="70">
        <f t="shared" si="48"/>
        <v>0.29010000000000069</v>
      </c>
      <c r="BX48" s="70">
        <f t="shared" si="49"/>
        <v>0.55200000000000138</v>
      </c>
      <c r="BY48" s="70">
        <f t="shared" si="50"/>
        <v>0.67530000000000001</v>
      </c>
      <c r="BZ48" s="70">
        <f t="shared" si="51"/>
        <v>0.80439999999999934</v>
      </c>
      <c r="CA48" s="70">
        <f t="shared" si="52"/>
        <v>0.90069000000000088</v>
      </c>
      <c r="CB48" s="70">
        <f t="shared" si="53"/>
        <v>0.88128000000000029</v>
      </c>
      <c r="CC48" s="70">
        <f t="shared" si="54"/>
        <v>0.92157000000000089</v>
      </c>
      <c r="CD48" s="70">
        <f t="shared" si="55"/>
        <v>0.94031999999999982</v>
      </c>
      <c r="CE48" s="70">
        <f t="shared" si="56"/>
        <v>0.95713000000000115</v>
      </c>
      <c r="CF48" s="70">
        <f t="shared" si="57"/>
        <v>0.95713000000000115</v>
      </c>
      <c r="CG48" s="71">
        <f t="shared" si="58"/>
        <v>0.95713000000000115</v>
      </c>
    </row>
    <row r="49" spans="21:85" s="41" customFormat="1" ht="15" customHeight="1" thickBot="1">
      <c r="AQ49" s="60"/>
      <c r="AR49" s="60"/>
      <c r="AS49" s="60"/>
      <c r="BM49" s="224">
        <v>4500</v>
      </c>
      <c r="BN49" s="70">
        <f t="shared" si="39"/>
        <v>0</v>
      </c>
      <c r="BO49" s="70">
        <f t="shared" si="40"/>
        <v>0</v>
      </c>
      <c r="BP49" s="70">
        <f t="shared" si="41"/>
        <v>0</v>
      </c>
      <c r="BQ49" s="70">
        <f t="shared" si="42"/>
        <v>0</v>
      </c>
      <c r="BR49" s="70">
        <f t="shared" si="43"/>
        <v>0</v>
      </c>
      <c r="BS49" s="70">
        <f t="shared" si="44"/>
        <v>0</v>
      </c>
      <c r="BT49" s="70">
        <f t="shared" si="45"/>
        <v>0.10559999999999903</v>
      </c>
      <c r="BU49" s="70">
        <f t="shared" si="46"/>
        <v>0.19759999999999955</v>
      </c>
      <c r="BV49" s="70">
        <f t="shared" si="47"/>
        <v>0.28200000000000003</v>
      </c>
      <c r="BW49" s="70">
        <f t="shared" si="48"/>
        <v>0.50200000000000067</v>
      </c>
      <c r="BX49" s="70">
        <f t="shared" si="49"/>
        <v>0.65789999999999971</v>
      </c>
      <c r="BY49" s="70">
        <f t="shared" si="50"/>
        <v>0.78230000000000111</v>
      </c>
      <c r="BZ49" s="70">
        <f t="shared" si="51"/>
        <v>0.78619999999999912</v>
      </c>
      <c r="CA49" s="70">
        <f t="shared" si="52"/>
        <v>0.85824000000000034</v>
      </c>
      <c r="CB49" s="70">
        <f t="shared" si="53"/>
        <v>0.90069000000000088</v>
      </c>
      <c r="CC49" s="70">
        <f t="shared" si="54"/>
        <v>0.92157000000000089</v>
      </c>
      <c r="CD49" s="70">
        <f t="shared" si="55"/>
        <v>0.94031999999999982</v>
      </c>
      <c r="CE49" s="70">
        <f t="shared" si="56"/>
        <v>0.95713000000000115</v>
      </c>
      <c r="CF49" s="70">
        <f t="shared" si="57"/>
        <v>0.95713000000000115</v>
      </c>
      <c r="CG49" s="71">
        <f t="shared" si="58"/>
        <v>0.95713000000000115</v>
      </c>
    </row>
    <row r="50" spans="21:85" s="41" customFormat="1" ht="15" customHeight="1" thickBot="1">
      <c r="U50" s="358">
        <v>3</v>
      </c>
      <c r="V50" s="358"/>
      <c r="W50" s="369" t="s">
        <v>24</v>
      </c>
      <c r="X50" s="369"/>
      <c r="Y50" s="369"/>
      <c r="Z50" s="369"/>
      <c r="AA50" s="369"/>
      <c r="AB50" s="369"/>
      <c r="AC50" s="369"/>
      <c r="AD50" s="369"/>
      <c r="AE50" s="369"/>
      <c r="AF50" s="369"/>
      <c r="AG50" s="369"/>
      <c r="AH50" s="369"/>
      <c r="AI50" s="369"/>
      <c r="AJ50" s="369"/>
      <c r="AK50" s="369"/>
      <c r="AL50" s="369"/>
      <c r="AM50" s="369"/>
      <c r="AN50" s="369"/>
      <c r="AO50" s="369"/>
      <c r="AP50" s="369"/>
      <c r="AQ50" s="60"/>
      <c r="AR50" s="60"/>
      <c r="AS50" s="60"/>
      <c r="BM50" s="224">
        <v>5000</v>
      </c>
      <c r="BN50" s="70">
        <f t="shared" si="39"/>
        <v>0</v>
      </c>
      <c r="BO50" s="70">
        <f t="shared" si="40"/>
        <v>0</v>
      </c>
      <c r="BP50" s="70">
        <f t="shared" si="41"/>
        <v>0</v>
      </c>
      <c r="BQ50" s="70">
        <f t="shared" si="42"/>
        <v>0</v>
      </c>
      <c r="BR50" s="70">
        <f t="shared" si="43"/>
        <v>0</v>
      </c>
      <c r="BS50" s="70">
        <f t="shared" si="44"/>
        <v>0</v>
      </c>
      <c r="BT50" s="70">
        <f t="shared" si="45"/>
        <v>0.10559999999999903</v>
      </c>
      <c r="BU50" s="70">
        <f t="shared" si="46"/>
        <v>0.28200000000000003</v>
      </c>
      <c r="BV50" s="70">
        <f t="shared" si="47"/>
        <v>0.50200000000000067</v>
      </c>
      <c r="BW50" s="70">
        <f t="shared" si="48"/>
        <v>0.60339999999999883</v>
      </c>
      <c r="BX50" s="70">
        <f t="shared" si="49"/>
        <v>0.70030000000000037</v>
      </c>
      <c r="BY50" s="70">
        <f t="shared" si="50"/>
        <v>0.72119999999999962</v>
      </c>
      <c r="BZ50" s="70">
        <f t="shared" si="51"/>
        <v>0.82340000000000124</v>
      </c>
      <c r="CA50" s="70">
        <f t="shared" si="52"/>
        <v>0.92157000000000089</v>
      </c>
      <c r="CB50" s="70">
        <f t="shared" si="53"/>
        <v>0.90202999999999989</v>
      </c>
      <c r="CC50" s="70">
        <f t="shared" si="54"/>
        <v>0.94031999999999982</v>
      </c>
      <c r="CD50" s="70">
        <f t="shared" si="55"/>
        <v>0.95713000000000115</v>
      </c>
      <c r="CE50" s="70">
        <f t="shared" si="56"/>
        <v>0.97213999999999956</v>
      </c>
      <c r="CF50" s="70">
        <f t="shared" si="57"/>
        <v>0.97213999999999956</v>
      </c>
      <c r="CG50" s="71">
        <f t="shared" si="58"/>
        <v>0.97213999999999956</v>
      </c>
    </row>
    <row r="51" spans="21:85" s="41" customFormat="1" ht="15" customHeight="1" thickBot="1">
      <c r="U51" s="358"/>
      <c r="V51" s="358"/>
      <c r="W51" s="352" t="s">
        <v>0</v>
      </c>
      <c r="X51" s="352"/>
      <c r="Y51" s="352"/>
      <c r="Z51" s="352"/>
      <c r="AA51" s="352"/>
      <c r="AB51" s="352"/>
      <c r="AC51" s="352"/>
      <c r="AD51" s="352"/>
      <c r="AE51" s="352"/>
      <c r="AF51" s="352"/>
      <c r="AG51" s="352"/>
      <c r="AH51" s="352"/>
      <c r="AI51" s="352"/>
      <c r="AJ51" s="352"/>
      <c r="AK51" s="352"/>
      <c r="AL51" s="352"/>
      <c r="AM51" s="352"/>
      <c r="AN51" s="352"/>
      <c r="AO51" s="352"/>
      <c r="AP51" s="352"/>
      <c r="AQ51" s="60"/>
      <c r="AR51" s="60"/>
      <c r="BM51" s="224">
        <v>5500</v>
      </c>
      <c r="BN51" s="70">
        <f t="shared" si="39"/>
        <v>0</v>
      </c>
      <c r="BO51" s="70">
        <f t="shared" si="40"/>
        <v>0</v>
      </c>
      <c r="BP51" s="70">
        <f t="shared" si="41"/>
        <v>0</v>
      </c>
      <c r="BQ51" s="70">
        <f t="shared" si="42"/>
        <v>0</v>
      </c>
      <c r="BR51" s="70">
        <f t="shared" si="43"/>
        <v>0.11040000000000028</v>
      </c>
      <c r="BS51" s="70">
        <f t="shared" si="44"/>
        <v>0.20650000000000013</v>
      </c>
      <c r="BT51" s="70">
        <f t="shared" si="45"/>
        <v>0.29010000000000069</v>
      </c>
      <c r="BU51" s="70">
        <f t="shared" si="46"/>
        <v>0.42110000000000092</v>
      </c>
      <c r="BV51" s="70">
        <f t="shared" si="47"/>
        <v>0.60339999999999883</v>
      </c>
      <c r="BW51" s="70">
        <f t="shared" si="48"/>
        <v>0.64179999999999993</v>
      </c>
      <c r="BX51" s="70">
        <f t="shared" si="49"/>
        <v>0.73850000000000016</v>
      </c>
      <c r="BY51" s="70">
        <f t="shared" si="50"/>
        <v>0.82340000000000124</v>
      </c>
      <c r="BZ51" s="70">
        <f t="shared" si="51"/>
        <v>0.88128000000000029</v>
      </c>
      <c r="CA51" s="70">
        <f t="shared" si="52"/>
        <v>0.93050000000000033</v>
      </c>
      <c r="CB51" s="70">
        <f t="shared" si="53"/>
        <v>0.85594999999999999</v>
      </c>
      <c r="CC51" s="70">
        <f t="shared" si="54"/>
        <v>0.83846999999999916</v>
      </c>
      <c r="CD51" s="70">
        <f t="shared" si="55"/>
        <v>0.85700999999999894</v>
      </c>
      <c r="CE51" s="70">
        <f t="shared" si="56"/>
        <v>0.92453000000000074</v>
      </c>
      <c r="CF51" s="70">
        <f t="shared" si="57"/>
        <v>0.92453000000000074</v>
      </c>
      <c r="CG51" s="71">
        <f t="shared" si="58"/>
        <v>0.92453000000000074</v>
      </c>
    </row>
    <row r="52" spans="21:85" s="41" customFormat="1" ht="15" customHeight="1" thickBot="1">
      <c r="U52" s="358"/>
      <c r="V52" s="358"/>
      <c r="W52" s="193">
        <v>10</v>
      </c>
      <c r="X52" s="194">
        <v>20</v>
      </c>
      <c r="Y52" s="194">
        <v>30</v>
      </c>
      <c r="Z52" s="194">
        <v>40</v>
      </c>
      <c r="AA52" s="195">
        <v>50</v>
      </c>
      <c r="AB52" s="195">
        <v>60</v>
      </c>
      <c r="AC52" s="195">
        <v>70</v>
      </c>
      <c r="AD52" s="195">
        <v>80</v>
      </c>
      <c r="AE52" s="195">
        <v>90</v>
      </c>
      <c r="AF52" s="195">
        <v>100</v>
      </c>
      <c r="AG52" s="195">
        <v>120</v>
      </c>
      <c r="AH52" s="195">
        <v>140</v>
      </c>
      <c r="AI52" s="196">
        <v>160</v>
      </c>
      <c r="AJ52" s="196">
        <v>180</v>
      </c>
      <c r="AK52" s="196">
        <v>200</v>
      </c>
      <c r="AL52" s="196">
        <v>220</v>
      </c>
      <c r="AM52" s="196">
        <v>240</v>
      </c>
      <c r="AN52" s="196">
        <v>260</v>
      </c>
      <c r="AO52" s="196">
        <v>280</v>
      </c>
      <c r="AP52" s="197">
        <v>300</v>
      </c>
      <c r="AQ52" s="60"/>
      <c r="AR52" s="60"/>
      <c r="BM52" s="224">
        <v>6000</v>
      </c>
      <c r="BN52" s="70">
        <f t="shared" si="39"/>
        <v>0.10890000000000022</v>
      </c>
      <c r="BO52" s="70">
        <f t="shared" si="40"/>
        <v>0.10890000000000022</v>
      </c>
      <c r="BP52" s="70">
        <f t="shared" si="41"/>
        <v>0.10890000000000022</v>
      </c>
      <c r="BQ52" s="70">
        <f t="shared" si="42"/>
        <v>0.10890000000000022</v>
      </c>
      <c r="BR52" s="70">
        <f t="shared" si="43"/>
        <v>0.20350000000000001</v>
      </c>
      <c r="BS52" s="70">
        <f t="shared" si="44"/>
        <v>0.37329999999999863</v>
      </c>
      <c r="BT52" s="70">
        <f t="shared" si="45"/>
        <v>0.4953000000000003</v>
      </c>
      <c r="BU52" s="70">
        <f t="shared" si="46"/>
        <v>0.63400000000000034</v>
      </c>
      <c r="BV52" s="70">
        <f t="shared" si="47"/>
        <v>0.68349999999999866</v>
      </c>
      <c r="BW52" s="70">
        <f t="shared" si="48"/>
        <v>0.78230000000000111</v>
      </c>
      <c r="BX52" s="70">
        <f t="shared" si="49"/>
        <v>0.75539999999999985</v>
      </c>
      <c r="BY52" s="70">
        <f t="shared" si="50"/>
        <v>0.86780000000000079</v>
      </c>
      <c r="BZ52" s="70">
        <f t="shared" si="51"/>
        <v>0.87183000000000099</v>
      </c>
      <c r="CA52" s="70">
        <f t="shared" si="52"/>
        <v>0.96715000000000018</v>
      </c>
      <c r="CB52" s="70">
        <f t="shared" si="53"/>
        <v>0.86570000000000036</v>
      </c>
      <c r="CC52" s="70">
        <f t="shared" si="54"/>
        <v>0.92453000000000074</v>
      </c>
      <c r="CD52" s="70">
        <f t="shared" si="55"/>
        <v>0.93811999999999962</v>
      </c>
      <c r="CE52" s="70">
        <f t="shared" si="56"/>
        <v>0.92902999999999913</v>
      </c>
      <c r="CF52" s="70">
        <f t="shared" si="57"/>
        <v>0.92902999999999913</v>
      </c>
      <c r="CG52" s="71">
        <f t="shared" si="58"/>
        <v>0.92902999999999913</v>
      </c>
    </row>
    <row r="53" spans="21:85" s="41" customFormat="1" ht="15" customHeight="1" thickBot="1">
      <c r="U53" s="348" t="s">
        <v>1</v>
      </c>
      <c r="V53" s="193">
        <v>500</v>
      </c>
      <c r="W53" s="205">
        <v>13.3447</v>
      </c>
      <c r="X53" s="48">
        <v>13.3447</v>
      </c>
      <c r="Y53" s="48">
        <v>13.3447</v>
      </c>
      <c r="Z53" s="48">
        <v>13.3447</v>
      </c>
      <c r="AA53" s="48">
        <v>13.3447</v>
      </c>
      <c r="AB53" s="48">
        <v>13.3447</v>
      </c>
      <c r="AC53" s="48">
        <v>13.3447</v>
      </c>
      <c r="AD53" s="48">
        <v>13.3447</v>
      </c>
      <c r="AE53" s="48">
        <v>11.9847</v>
      </c>
      <c r="AF53" s="48">
        <v>11.9847</v>
      </c>
      <c r="AG53" s="48">
        <v>11.686999999999999</v>
      </c>
      <c r="AH53" s="48">
        <v>11.403600000000001</v>
      </c>
      <c r="AI53" s="48">
        <v>11.133699999999999</v>
      </c>
      <c r="AJ53" s="48">
        <v>10.876300000000001</v>
      </c>
      <c r="AK53" s="48">
        <v>10.6305</v>
      </c>
      <c r="AL53" s="48">
        <v>10.3956</v>
      </c>
      <c r="AM53" s="48">
        <v>10.1708</v>
      </c>
      <c r="AN53" s="48">
        <v>9.9555600000000002</v>
      </c>
      <c r="AO53" s="48">
        <v>9.9555600000000002</v>
      </c>
      <c r="AP53" s="56">
        <v>9.9555600000000002</v>
      </c>
      <c r="AQ53" s="60"/>
      <c r="AR53" s="60"/>
      <c r="BM53" s="224">
        <v>6500</v>
      </c>
      <c r="BN53" s="70">
        <f t="shared" ref="BN53:CC55" si="59">W41-W65</f>
        <v>0.10559999999999903</v>
      </c>
      <c r="BO53" s="70">
        <f t="shared" si="59"/>
        <v>0.10559999999999903</v>
      </c>
      <c r="BP53" s="70">
        <f t="shared" si="59"/>
        <v>0.10559999999999903</v>
      </c>
      <c r="BQ53" s="70">
        <f t="shared" si="59"/>
        <v>0.29010000000000069</v>
      </c>
      <c r="BR53" s="70">
        <f t="shared" si="59"/>
        <v>0.36299999999999955</v>
      </c>
      <c r="BS53" s="70">
        <f t="shared" si="59"/>
        <v>0.4953000000000003</v>
      </c>
      <c r="BT53" s="70">
        <f t="shared" si="59"/>
        <v>0.65789999999999971</v>
      </c>
      <c r="BU53" s="70">
        <f t="shared" si="59"/>
        <v>0.72119999999999962</v>
      </c>
      <c r="BV53" s="70">
        <f t="shared" si="59"/>
        <v>0.78230000000000111</v>
      </c>
      <c r="BW53" s="70">
        <f t="shared" si="59"/>
        <v>0.76409999999999911</v>
      </c>
      <c r="BX53" s="70">
        <f t="shared" si="59"/>
        <v>0.84209999999999852</v>
      </c>
      <c r="BY53" s="70">
        <f t="shared" si="59"/>
        <v>0.89089999999999847</v>
      </c>
      <c r="BZ53" s="70">
        <f t="shared" si="59"/>
        <v>0.94031999999999982</v>
      </c>
      <c r="CA53" s="70">
        <f t="shared" si="59"/>
        <v>0.9821200000000001</v>
      </c>
      <c r="CB53" s="70">
        <f t="shared" si="59"/>
        <v>0.85700999999999894</v>
      </c>
      <c r="CC53" s="70">
        <f t="shared" si="59"/>
        <v>0.92453000000000074</v>
      </c>
      <c r="CD53" s="70">
        <f t="shared" si="55"/>
        <v>0.93811999999999962</v>
      </c>
      <c r="CE53" s="70">
        <f t="shared" si="56"/>
        <v>0.92902999999999913</v>
      </c>
      <c r="CF53" s="70">
        <f t="shared" si="57"/>
        <v>0.92902999999999913</v>
      </c>
      <c r="CG53" s="71">
        <f t="shared" si="58"/>
        <v>0.92902999999999913</v>
      </c>
    </row>
    <row r="54" spans="21:85" s="41" customFormat="1" ht="15" customHeight="1" thickBot="1">
      <c r="U54" s="348"/>
      <c r="V54" s="222">
        <v>1000</v>
      </c>
      <c r="W54" s="205">
        <v>14.7</v>
      </c>
      <c r="X54" s="48">
        <v>14.7</v>
      </c>
      <c r="Y54" s="48">
        <v>14.7</v>
      </c>
      <c r="Z54" s="48">
        <v>14.7</v>
      </c>
      <c r="AA54" s="48">
        <v>14.7</v>
      </c>
      <c r="AB54" s="48">
        <v>14.7</v>
      </c>
      <c r="AC54" s="48">
        <v>14.7</v>
      </c>
      <c r="AD54" s="48">
        <v>14.7</v>
      </c>
      <c r="AE54" s="48">
        <v>13.066700000000001</v>
      </c>
      <c r="AF54" s="48">
        <v>13.066700000000001</v>
      </c>
      <c r="AG54" s="48">
        <v>12.7135</v>
      </c>
      <c r="AH54" s="48">
        <v>12.3789</v>
      </c>
      <c r="AI54" s="48">
        <v>12.061500000000001</v>
      </c>
      <c r="AJ54" s="48">
        <v>11.76</v>
      </c>
      <c r="AK54" s="48">
        <v>11.4732</v>
      </c>
      <c r="AL54" s="48">
        <v>11.2</v>
      </c>
      <c r="AM54" s="48">
        <v>10.939500000000001</v>
      </c>
      <c r="AN54" s="48">
        <v>10.690899999999999</v>
      </c>
      <c r="AO54" s="48">
        <v>10.690899999999999</v>
      </c>
      <c r="AP54" s="56">
        <v>10.690899999999999</v>
      </c>
      <c r="AQ54" s="60"/>
      <c r="AR54" s="60"/>
      <c r="BM54" s="224">
        <v>7000</v>
      </c>
      <c r="BN54" s="70">
        <f t="shared" si="59"/>
        <v>0.20650000000000013</v>
      </c>
      <c r="BO54" s="70">
        <f t="shared" si="59"/>
        <v>0.20650000000000013</v>
      </c>
      <c r="BP54" s="70">
        <f t="shared" si="59"/>
        <v>0.20650000000000013</v>
      </c>
      <c r="BQ54" s="70">
        <f t="shared" si="59"/>
        <v>0.37329999999999863</v>
      </c>
      <c r="BR54" s="70">
        <f t="shared" si="59"/>
        <v>0.43259999999999899</v>
      </c>
      <c r="BS54" s="70">
        <f t="shared" si="59"/>
        <v>0.60339999999999883</v>
      </c>
      <c r="BT54" s="70">
        <f t="shared" si="59"/>
        <v>0.73850000000000016</v>
      </c>
      <c r="BU54" s="70">
        <f t="shared" si="59"/>
        <v>0.76409999999999911</v>
      </c>
      <c r="BV54" s="70">
        <f t="shared" si="59"/>
        <v>0.81379999999999875</v>
      </c>
      <c r="BW54" s="70">
        <f t="shared" si="59"/>
        <v>0.80439999999999934</v>
      </c>
      <c r="BX54" s="70">
        <f t="shared" si="59"/>
        <v>0.87750000000000128</v>
      </c>
      <c r="BY54" s="70">
        <f t="shared" si="59"/>
        <v>0.87183000000000099</v>
      </c>
      <c r="BZ54" s="70">
        <f t="shared" si="59"/>
        <v>0.92080999999999946</v>
      </c>
      <c r="CA54" s="70">
        <f t="shared" si="59"/>
        <v>1.0276899999999998</v>
      </c>
      <c r="CB54" s="70">
        <f t="shared" si="59"/>
        <v>0.92902999999999913</v>
      </c>
      <c r="CC54" s="70">
        <f t="shared" si="59"/>
        <v>0.92902999999999913</v>
      </c>
      <c r="CD54" s="70">
        <f t="shared" si="55"/>
        <v>0.92902999999999913</v>
      </c>
      <c r="CE54" s="70">
        <f t="shared" si="56"/>
        <v>0.92902999999999913</v>
      </c>
      <c r="CF54" s="70">
        <f t="shared" si="57"/>
        <v>0.92902999999999913</v>
      </c>
      <c r="CG54" s="71">
        <f t="shared" si="58"/>
        <v>0.92902999999999913</v>
      </c>
    </row>
    <row r="55" spans="21:85" s="41" customFormat="1" ht="15" customHeight="1" thickBot="1">
      <c r="U55" s="348"/>
      <c r="V55" s="223">
        <v>1500</v>
      </c>
      <c r="W55" s="205">
        <v>14.7</v>
      </c>
      <c r="X55" s="48">
        <v>14.7</v>
      </c>
      <c r="Y55" s="48">
        <v>14.7</v>
      </c>
      <c r="Z55" s="48">
        <v>14.7</v>
      </c>
      <c r="AA55" s="48">
        <v>14.7</v>
      </c>
      <c r="AB55" s="48">
        <v>14.7</v>
      </c>
      <c r="AC55" s="48">
        <v>14.7</v>
      </c>
      <c r="AD55" s="48">
        <v>14.7</v>
      </c>
      <c r="AE55" s="48">
        <v>14.147399999999999</v>
      </c>
      <c r="AF55" s="48">
        <v>13.6348</v>
      </c>
      <c r="AG55" s="48">
        <v>12.7135</v>
      </c>
      <c r="AH55" s="48">
        <v>12.544</v>
      </c>
      <c r="AI55" s="48">
        <v>12.3789</v>
      </c>
      <c r="AJ55" s="48">
        <v>12.061500000000001</v>
      </c>
      <c r="AK55" s="48">
        <v>11.76</v>
      </c>
      <c r="AL55" s="48">
        <v>11.4732</v>
      </c>
      <c r="AM55" s="48">
        <v>11.2</v>
      </c>
      <c r="AN55" s="48">
        <v>10.939500000000001</v>
      </c>
      <c r="AO55" s="48">
        <v>10.939500000000001</v>
      </c>
      <c r="AP55" s="56">
        <v>10.939500000000001</v>
      </c>
      <c r="AQ55" s="60"/>
      <c r="AR55" s="60"/>
      <c r="BM55" s="226">
        <v>7500</v>
      </c>
      <c r="BN55" s="73">
        <f t="shared" si="59"/>
        <v>0.20650000000000013</v>
      </c>
      <c r="BO55" s="73">
        <f t="shared" si="59"/>
        <v>0.20650000000000013</v>
      </c>
      <c r="BP55" s="73">
        <f t="shared" si="59"/>
        <v>0.20650000000000013</v>
      </c>
      <c r="BQ55" s="73">
        <f t="shared" si="59"/>
        <v>0.37329999999999863</v>
      </c>
      <c r="BR55" s="73">
        <f t="shared" si="59"/>
        <v>0.43259999999999899</v>
      </c>
      <c r="BS55" s="73">
        <f t="shared" si="59"/>
        <v>0.60339999999999883</v>
      </c>
      <c r="BT55" s="73">
        <f t="shared" si="59"/>
        <v>0.73850000000000016</v>
      </c>
      <c r="BU55" s="73">
        <f t="shared" si="59"/>
        <v>0.76409999999999911</v>
      </c>
      <c r="BV55" s="73">
        <f t="shared" si="59"/>
        <v>0.81379999999999875</v>
      </c>
      <c r="BW55" s="73">
        <f t="shared" si="59"/>
        <v>0.80439999999999934</v>
      </c>
      <c r="BX55" s="73">
        <f t="shared" si="59"/>
        <v>0.87750000000000128</v>
      </c>
      <c r="BY55" s="73">
        <f t="shared" si="59"/>
        <v>0.87183000000000099</v>
      </c>
      <c r="BZ55" s="73">
        <f t="shared" si="59"/>
        <v>0.92080999999999946</v>
      </c>
      <c r="CA55" s="73">
        <f t="shared" si="59"/>
        <v>1.0276899999999998</v>
      </c>
      <c r="CB55" s="73">
        <f t="shared" si="59"/>
        <v>0.92902999999999913</v>
      </c>
      <c r="CC55" s="73">
        <f t="shared" si="59"/>
        <v>0.92902999999999913</v>
      </c>
      <c r="CD55" s="73">
        <f t="shared" si="55"/>
        <v>0.92902999999999913</v>
      </c>
      <c r="CE55" s="73">
        <f t="shared" si="56"/>
        <v>0.92902999999999913</v>
      </c>
      <c r="CF55" s="73">
        <f t="shared" si="57"/>
        <v>0.92902999999999913</v>
      </c>
      <c r="CG55" s="74">
        <f t="shared" si="58"/>
        <v>0.92902999999999913</v>
      </c>
    </row>
    <row r="56" spans="21:85" s="41" customFormat="1" ht="15" customHeight="1" thickBot="1">
      <c r="U56" s="348"/>
      <c r="V56" s="223">
        <v>2000</v>
      </c>
      <c r="W56" s="205">
        <v>14.7</v>
      </c>
      <c r="X56" s="48">
        <v>14.7</v>
      </c>
      <c r="Y56" s="48">
        <v>14.7</v>
      </c>
      <c r="Z56" s="48">
        <v>14.7</v>
      </c>
      <c r="AA56" s="48">
        <v>14.7</v>
      </c>
      <c r="AB56" s="48">
        <v>14.7</v>
      </c>
      <c r="AC56" s="48">
        <v>14.7</v>
      </c>
      <c r="AD56" s="48">
        <v>14.7</v>
      </c>
      <c r="AE56" s="48">
        <v>14.147399999999999</v>
      </c>
      <c r="AF56" s="48">
        <v>13.6348</v>
      </c>
      <c r="AG56" s="48">
        <v>13.066700000000001</v>
      </c>
      <c r="AH56" s="48">
        <v>12.6282</v>
      </c>
      <c r="AI56" s="48">
        <v>12.298</v>
      </c>
      <c r="AJ56" s="48">
        <v>12.1394</v>
      </c>
      <c r="AK56" s="48">
        <v>11.834</v>
      </c>
      <c r="AL56" s="48">
        <v>11.5436</v>
      </c>
      <c r="AM56" s="48">
        <v>11.267099999999999</v>
      </c>
      <c r="AN56" s="48">
        <v>11.003500000000001</v>
      </c>
      <c r="AO56" s="48">
        <v>11.003500000000001</v>
      </c>
      <c r="AP56" s="56">
        <v>11.003500000000001</v>
      </c>
      <c r="AQ56" s="60"/>
      <c r="AR56" s="60"/>
    </row>
    <row r="57" spans="21:85" s="41" customFormat="1" ht="15" customHeight="1" thickBot="1">
      <c r="U57" s="348"/>
      <c r="V57" s="223">
        <v>2500</v>
      </c>
      <c r="W57" s="205">
        <v>14.7</v>
      </c>
      <c r="X57" s="48">
        <v>14.7</v>
      </c>
      <c r="Y57" s="48">
        <v>14.7</v>
      </c>
      <c r="Z57" s="48">
        <v>14.7</v>
      </c>
      <c r="AA57" s="48">
        <v>14.7</v>
      </c>
      <c r="AB57" s="48">
        <v>14.7</v>
      </c>
      <c r="AC57" s="48">
        <v>14.7</v>
      </c>
      <c r="AD57" s="48">
        <v>14.7</v>
      </c>
      <c r="AE57" s="48">
        <v>14.2545</v>
      </c>
      <c r="AF57" s="48">
        <v>13.937799999999999</v>
      </c>
      <c r="AG57" s="48">
        <v>13.6348</v>
      </c>
      <c r="AH57" s="48">
        <v>13.066700000000001</v>
      </c>
      <c r="AI57" s="48">
        <v>12.8</v>
      </c>
      <c r="AJ57" s="48">
        <v>12.544</v>
      </c>
      <c r="AK57" s="48">
        <v>12.2182</v>
      </c>
      <c r="AL57" s="48">
        <v>11.908899999999999</v>
      </c>
      <c r="AM57" s="48">
        <v>11.614800000000001</v>
      </c>
      <c r="AN57" s="48">
        <v>11.334899999999999</v>
      </c>
      <c r="AO57" s="48">
        <v>11.334899999999999</v>
      </c>
      <c r="AP57" s="56">
        <v>11.334899999999999</v>
      </c>
      <c r="AQ57" s="60"/>
      <c r="AR57" s="60"/>
    </row>
    <row r="58" spans="21:85" s="41" customFormat="1" ht="15" customHeight="1" thickBot="1">
      <c r="U58" s="348"/>
      <c r="V58" s="224">
        <v>3000</v>
      </c>
      <c r="W58" s="205">
        <v>14.7</v>
      </c>
      <c r="X58" s="48">
        <v>14.7</v>
      </c>
      <c r="Y58" s="48">
        <v>14.7</v>
      </c>
      <c r="Z58" s="48">
        <v>14.7</v>
      </c>
      <c r="AA58" s="48">
        <v>14.7</v>
      </c>
      <c r="AB58" s="48">
        <v>14.7</v>
      </c>
      <c r="AC58" s="48">
        <v>14.7</v>
      </c>
      <c r="AD58" s="48">
        <v>14.7</v>
      </c>
      <c r="AE58" s="48">
        <v>14.2545</v>
      </c>
      <c r="AF58" s="48">
        <v>14.0418</v>
      </c>
      <c r="AG58" s="48">
        <v>13.8353</v>
      </c>
      <c r="AH58" s="48">
        <v>12.887700000000001</v>
      </c>
      <c r="AI58" s="48">
        <v>11.068199999999999</v>
      </c>
      <c r="AJ58" s="48">
        <v>10.5708</v>
      </c>
      <c r="AK58" s="48">
        <v>10.282</v>
      </c>
      <c r="AL58" s="48">
        <v>10.061999999999999</v>
      </c>
      <c r="AM58" s="48">
        <v>9.8513099999999998</v>
      </c>
      <c r="AN58" s="48">
        <v>9.6492299999999993</v>
      </c>
      <c r="AO58" s="48">
        <v>9.6492299999999993</v>
      </c>
      <c r="AP58" s="56">
        <v>9.6492299999999993</v>
      </c>
      <c r="AQ58" s="60"/>
      <c r="AR58" s="60"/>
    </row>
    <row r="59" spans="21:85" ht="13.5" thickBot="1">
      <c r="U59" s="348"/>
      <c r="V59" s="224">
        <v>3500</v>
      </c>
      <c r="W59" s="205">
        <v>14.7</v>
      </c>
      <c r="X59" s="48">
        <v>14.7</v>
      </c>
      <c r="Y59" s="48">
        <v>14.7</v>
      </c>
      <c r="Z59" s="48">
        <v>14.7</v>
      </c>
      <c r="AA59" s="48">
        <v>14.7</v>
      </c>
      <c r="AB59" s="48">
        <v>14.7</v>
      </c>
      <c r="AC59" s="48">
        <v>14.7</v>
      </c>
      <c r="AD59" s="48">
        <v>14.7</v>
      </c>
      <c r="AE59" s="48">
        <v>14.2545</v>
      </c>
      <c r="AF59" s="48">
        <v>14.0418</v>
      </c>
      <c r="AG59" s="48">
        <v>13.066700000000001</v>
      </c>
      <c r="AH59" s="48">
        <v>11.614800000000001</v>
      </c>
      <c r="AI59" s="48">
        <v>10.752000000000001</v>
      </c>
      <c r="AJ59" s="48">
        <v>10.0085</v>
      </c>
      <c r="AK59" s="48">
        <v>9.9555600000000002</v>
      </c>
      <c r="AL59" s="48">
        <v>9.9031599999999997</v>
      </c>
      <c r="AM59" s="48">
        <v>9.6989699999999992</v>
      </c>
      <c r="AN59" s="48">
        <v>9.6</v>
      </c>
      <c r="AO59" s="48">
        <v>9.6</v>
      </c>
      <c r="AP59" s="56">
        <v>9.6</v>
      </c>
      <c r="AU59" s="37"/>
      <c r="AV59" s="37"/>
      <c r="AW59" s="37"/>
      <c r="AX59" s="37"/>
      <c r="AY59" s="37"/>
      <c r="AZ59" s="37"/>
      <c r="BA59" s="37"/>
      <c r="BB59" s="37"/>
      <c r="BC59" s="37"/>
      <c r="BD59" s="37"/>
      <c r="BE59" s="37"/>
      <c r="BF59" s="37"/>
      <c r="BG59" s="37"/>
      <c r="BH59" s="37"/>
      <c r="BI59" s="37"/>
      <c r="BJ59" s="37"/>
      <c r="BK59" s="37"/>
      <c r="BL59" s="37"/>
    </row>
    <row r="60" spans="21:85" ht="13.5" thickBot="1">
      <c r="U60" s="348"/>
      <c r="V60" s="224">
        <v>4000</v>
      </c>
      <c r="W60" s="205">
        <v>14.7</v>
      </c>
      <c r="X60" s="48">
        <v>14.7</v>
      </c>
      <c r="Y60" s="48">
        <v>14.7</v>
      </c>
      <c r="Z60" s="48">
        <v>14.7</v>
      </c>
      <c r="AA60" s="48">
        <v>14.7</v>
      </c>
      <c r="AB60" s="48">
        <v>14.7</v>
      </c>
      <c r="AC60" s="48">
        <v>14.7</v>
      </c>
      <c r="AD60" s="48">
        <v>14.7</v>
      </c>
      <c r="AE60" s="48">
        <v>13.937799999999999</v>
      </c>
      <c r="AF60" s="48">
        <v>13.3447</v>
      </c>
      <c r="AG60" s="48">
        <v>11.908899999999999</v>
      </c>
      <c r="AH60" s="48">
        <v>10.939500000000001</v>
      </c>
      <c r="AI60" s="48">
        <v>10.3956</v>
      </c>
      <c r="AJ60" s="48">
        <v>9.8513099999999998</v>
      </c>
      <c r="AK60" s="48">
        <v>9.7492199999999993</v>
      </c>
      <c r="AL60" s="48">
        <v>9.6492299999999993</v>
      </c>
      <c r="AM60" s="48">
        <v>9.4552800000000001</v>
      </c>
      <c r="AN60" s="48">
        <v>9.2689699999999995</v>
      </c>
      <c r="AO60" s="48">
        <v>9.2689699999999995</v>
      </c>
      <c r="AP60" s="56">
        <v>9.2689699999999995</v>
      </c>
      <c r="AU60" s="37"/>
      <c r="AV60" s="37"/>
      <c r="AW60" s="37"/>
      <c r="AX60" s="37"/>
      <c r="AY60" s="37"/>
      <c r="AZ60" s="37"/>
      <c r="BA60" s="37"/>
      <c r="BB60" s="37"/>
      <c r="BC60" s="37"/>
      <c r="BD60" s="37"/>
      <c r="BE60" s="37"/>
      <c r="BF60" s="37"/>
      <c r="BG60" s="37"/>
      <c r="BH60" s="37"/>
      <c r="BI60" s="37"/>
      <c r="BJ60" s="37"/>
      <c r="BK60" s="37"/>
      <c r="BL60" s="37"/>
      <c r="BM60" s="37"/>
    </row>
    <row r="61" spans="21:85" ht="13.5" thickBot="1">
      <c r="U61" s="348"/>
      <c r="V61" s="224">
        <v>4500</v>
      </c>
      <c r="W61" s="205">
        <v>14.7</v>
      </c>
      <c r="X61" s="48">
        <v>14.7</v>
      </c>
      <c r="Y61" s="48">
        <v>14.7</v>
      </c>
      <c r="Z61" s="48">
        <v>14.7</v>
      </c>
      <c r="AA61" s="48">
        <v>14.7</v>
      </c>
      <c r="AB61" s="48">
        <v>14.7</v>
      </c>
      <c r="AC61" s="48">
        <v>14.0418</v>
      </c>
      <c r="AD61" s="48">
        <v>13.5367</v>
      </c>
      <c r="AE61" s="48">
        <v>13.157999999999999</v>
      </c>
      <c r="AF61" s="48">
        <v>12.298</v>
      </c>
      <c r="AG61" s="48">
        <v>11.403600000000001</v>
      </c>
      <c r="AH61" s="48">
        <v>10.690899999999999</v>
      </c>
      <c r="AI61" s="48">
        <v>10.282</v>
      </c>
      <c r="AJ61" s="48">
        <v>9.9555600000000002</v>
      </c>
      <c r="AK61" s="48">
        <v>9.8513099999999998</v>
      </c>
      <c r="AL61" s="48">
        <v>9.6492299999999993</v>
      </c>
      <c r="AM61" s="48">
        <v>9.4552800000000001</v>
      </c>
      <c r="AN61" s="48">
        <v>9.2689699999999995</v>
      </c>
      <c r="AO61" s="48">
        <v>9.2689699999999995</v>
      </c>
      <c r="AP61" s="56">
        <v>9.2689699999999995</v>
      </c>
      <c r="AU61" s="37"/>
      <c r="AV61" s="37"/>
      <c r="AW61" s="37"/>
      <c r="AX61" s="37"/>
      <c r="AY61" s="37"/>
      <c r="AZ61" s="37"/>
      <c r="BA61" s="37"/>
      <c r="BB61" s="37"/>
      <c r="BC61" s="37"/>
      <c r="BD61" s="37"/>
      <c r="BE61" s="37"/>
      <c r="BF61" s="37"/>
      <c r="BG61" s="37"/>
      <c r="BH61" s="37"/>
      <c r="BI61" s="37"/>
      <c r="BJ61" s="37"/>
      <c r="BK61" s="37"/>
      <c r="BL61" s="37"/>
      <c r="BM61" s="37"/>
    </row>
    <row r="62" spans="21:85" ht="13.5" thickBot="1">
      <c r="U62" s="348"/>
      <c r="V62" s="224">
        <v>5000</v>
      </c>
      <c r="W62" s="205">
        <v>14.7</v>
      </c>
      <c r="X62" s="48">
        <v>14.7</v>
      </c>
      <c r="Y62" s="48">
        <v>14.7</v>
      </c>
      <c r="Z62" s="48">
        <v>14.7</v>
      </c>
      <c r="AA62" s="48">
        <v>14.7</v>
      </c>
      <c r="AB62" s="48">
        <v>14.473800000000001</v>
      </c>
      <c r="AC62" s="48">
        <v>14.0418</v>
      </c>
      <c r="AD62" s="48">
        <v>13.157999999999999</v>
      </c>
      <c r="AE62" s="48">
        <v>12.298</v>
      </c>
      <c r="AF62" s="48">
        <v>11.614800000000001</v>
      </c>
      <c r="AG62" s="48">
        <v>11.133699999999999</v>
      </c>
      <c r="AH62" s="48">
        <v>10.752000000000001</v>
      </c>
      <c r="AI62" s="48">
        <v>10.116099999999999</v>
      </c>
      <c r="AJ62" s="48">
        <v>9.6492299999999993</v>
      </c>
      <c r="AK62" s="48">
        <v>9.5512700000000006</v>
      </c>
      <c r="AL62" s="48">
        <v>9.4552800000000001</v>
      </c>
      <c r="AM62" s="48">
        <v>9.2689699999999995</v>
      </c>
      <c r="AN62" s="48">
        <v>9.0898599999999998</v>
      </c>
      <c r="AO62" s="48">
        <v>9.0898599999999998</v>
      </c>
      <c r="AP62" s="56">
        <v>9.0898599999999998</v>
      </c>
      <c r="AU62" s="37"/>
      <c r="AV62" s="37"/>
      <c r="AW62" s="37"/>
      <c r="AX62" s="37"/>
      <c r="AY62" s="37"/>
      <c r="AZ62" s="37"/>
      <c r="BA62" s="37"/>
      <c r="BB62" s="37"/>
      <c r="BC62" s="37"/>
      <c r="BD62" s="37"/>
      <c r="BE62" s="37"/>
      <c r="BF62" s="37"/>
      <c r="BG62" s="37"/>
      <c r="BH62" s="37"/>
      <c r="BI62" s="37"/>
      <c r="BJ62" s="37"/>
      <c r="BK62" s="37"/>
      <c r="BL62" s="37"/>
      <c r="BM62" s="37"/>
    </row>
    <row r="63" spans="21:85" ht="13.5" thickBot="1">
      <c r="U63" s="348"/>
      <c r="V63" s="224">
        <v>5500</v>
      </c>
      <c r="W63" s="205">
        <v>14.7</v>
      </c>
      <c r="X63" s="48">
        <v>14.7</v>
      </c>
      <c r="Y63" s="48">
        <v>14.7</v>
      </c>
      <c r="Z63" s="48">
        <v>14.7</v>
      </c>
      <c r="AA63" s="48">
        <v>14.3634</v>
      </c>
      <c r="AB63" s="48">
        <v>13.8353</v>
      </c>
      <c r="AC63" s="48">
        <v>13.3447</v>
      </c>
      <c r="AD63" s="48">
        <v>12.3789</v>
      </c>
      <c r="AE63" s="48">
        <v>11.614800000000001</v>
      </c>
      <c r="AF63" s="48">
        <v>11.267099999999999</v>
      </c>
      <c r="AG63" s="48">
        <v>10.876300000000001</v>
      </c>
      <c r="AH63" s="48">
        <v>10.116099999999999</v>
      </c>
      <c r="AI63" s="48">
        <v>9.7492199999999993</v>
      </c>
      <c r="AJ63" s="48">
        <v>9.4079999999999995</v>
      </c>
      <c r="AK63" s="48">
        <v>9.3148499999999999</v>
      </c>
      <c r="AL63" s="48">
        <v>9.2235300000000002</v>
      </c>
      <c r="AM63" s="48">
        <v>9.0461500000000008</v>
      </c>
      <c r="AN63" s="48">
        <v>8.87547</v>
      </c>
      <c r="AO63" s="48">
        <v>8.87547</v>
      </c>
      <c r="AP63" s="56">
        <v>8.87547</v>
      </c>
      <c r="AU63" s="37"/>
      <c r="AV63" s="37"/>
      <c r="AW63" s="37"/>
      <c r="AX63" s="37"/>
      <c r="AY63" s="37"/>
      <c r="AZ63" s="37"/>
      <c r="BA63" s="37"/>
      <c r="BB63" s="37"/>
      <c r="BC63" s="37"/>
      <c r="BD63" s="37"/>
      <c r="BE63" s="37"/>
      <c r="BF63" s="37"/>
      <c r="BG63" s="37"/>
      <c r="BH63" s="37"/>
      <c r="BI63" s="37"/>
      <c r="BJ63" s="37"/>
      <c r="BK63" s="37"/>
      <c r="BL63" s="37"/>
      <c r="BM63" s="37"/>
    </row>
    <row r="64" spans="21:85" ht="13.5" thickBot="1">
      <c r="U64" s="348"/>
      <c r="V64" s="224">
        <v>6000</v>
      </c>
      <c r="W64" s="205">
        <v>14.2545</v>
      </c>
      <c r="X64" s="48">
        <v>14.2545</v>
      </c>
      <c r="Y64" s="48">
        <v>14.2545</v>
      </c>
      <c r="Z64" s="48">
        <v>14.2545</v>
      </c>
      <c r="AA64" s="48">
        <v>13.734299999999999</v>
      </c>
      <c r="AB64" s="48">
        <v>13.066700000000001</v>
      </c>
      <c r="AC64" s="48">
        <v>12.2182</v>
      </c>
      <c r="AD64" s="48">
        <v>11.2</v>
      </c>
      <c r="AE64" s="48">
        <v>11.003500000000001</v>
      </c>
      <c r="AF64" s="48">
        <v>10.690899999999999</v>
      </c>
      <c r="AG64" s="48">
        <v>10.511699999999999</v>
      </c>
      <c r="AH64" s="48">
        <v>10.0085</v>
      </c>
      <c r="AI64" s="48">
        <v>9.6989699999999992</v>
      </c>
      <c r="AJ64" s="48">
        <v>9.3148499999999999</v>
      </c>
      <c r="AK64" s="48">
        <v>9.0898599999999998</v>
      </c>
      <c r="AL64" s="48">
        <v>8.87547</v>
      </c>
      <c r="AM64" s="48">
        <v>8.7111099999999997</v>
      </c>
      <c r="AN64" s="48">
        <v>8.6709700000000005</v>
      </c>
      <c r="AO64" s="48">
        <v>8.6709700000000005</v>
      </c>
      <c r="AP64" s="56">
        <v>8.6709700000000005</v>
      </c>
      <c r="AU64" s="37"/>
      <c r="AV64" s="37"/>
      <c r="AW64" s="37"/>
      <c r="AX64" s="37"/>
      <c r="AY64" s="37"/>
      <c r="AZ64" s="37"/>
      <c r="BA64" s="37"/>
      <c r="BB64" s="37"/>
      <c r="BC64" s="37"/>
      <c r="BD64" s="37"/>
      <c r="BE64" s="37"/>
      <c r="BF64" s="37"/>
      <c r="BG64" s="37"/>
      <c r="BH64" s="37"/>
      <c r="BI64" s="37"/>
      <c r="BJ64" s="37"/>
      <c r="BK64" s="37"/>
      <c r="BL64" s="37"/>
      <c r="BM64" s="37"/>
    </row>
    <row r="65" spans="20:65" ht="13.5" thickBot="1">
      <c r="U65" s="348"/>
      <c r="V65" s="224">
        <v>6500</v>
      </c>
      <c r="W65" s="205">
        <v>14.0418</v>
      </c>
      <c r="X65" s="48">
        <v>14.0418</v>
      </c>
      <c r="Y65" s="48">
        <v>14.0418</v>
      </c>
      <c r="Z65" s="48">
        <v>13.3447</v>
      </c>
      <c r="AA65" s="48">
        <v>12.887700000000001</v>
      </c>
      <c r="AB65" s="48">
        <v>12.2182</v>
      </c>
      <c r="AC65" s="48">
        <v>11.403600000000001</v>
      </c>
      <c r="AD65" s="48">
        <v>10.752000000000001</v>
      </c>
      <c r="AE65" s="48">
        <v>10.690899999999999</v>
      </c>
      <c r="AF65" s="48">
        <v>10.5708</v>
      </c>
      <c r="AG65" s="48">
        <v>10.226100000000001</v>
      </c>
      <c r="AH65" s="48">
        <v>9.8000000000000007</v>
      </c>
      <c r="AI65" s="48">
        <v>9.4552800000000001</v>
      </c>
      <c r="AJ65" s="48">
        <v>9.1339799999999993</v>
      </c>
      <c r="AK65" s="48">
        <v>9.0461500000000008</v>
      </c>
      <c r="AL65" s="48">
        <v>8.87547</v>
      </c>
      <c r="AM65" s="48">
        <v>8.7111099999999997</v>
      </c>
      <c r="AN65" s="48">
        <v>8.6709700000000005</v>
      </c>
      <c r="AO65" s="48">
        <v>8.6709700000000005</v>
      </c>
      <c r="AP65" s="56">
        <v>8.6709700000000005</v>
      </c>
      <c r="AU65" s="37"/>
      <c r="AV65" s="37"/>
      <c r="AW65" s="37"/>
      <c r="AX65" s="37"/>
      <c r="AY65" s="37"/>
      <c r="AZ65" s="37"/>
      <c r="BA65" s="37"/>
      <c r="BB65" s="37"/>
      <c r="BC65" s="37"/>
      <c r="BD65" s="37"/>
      <c r="BE65" s="37"/>
      <c r="BF65" s="37"/>
      <c r="BG65" s="37"/>
      <c r="BH65" s="37"/>
      <c r="BI65" s="37"/>
      <c r="BJ65" s="37"/>
      <c r="BK65" s="37"/>
      <c r="BL65" s="37"/>
      <c r="BM65" s="37"/>
    </row>
    <row r="66" spans="20:65" ht="13.5" thickBot="1">
      <c r="U66" s="348"/>
      <c r="V66" s="224">
        <v>7000</v>
      </c>
      <c r="W66" s="205">
        <v>13.8353</v>
      </c>
      <c r="X66" s="48">
        <v>13.8353</v>
      </c>
      <c r="Y66" s="48">
        <v>13.8353</v>
      </c>
      <c r="Z66" s="48">
        <v>13.066700000000001</v>
      </c>
      <c r="AA66" s="48">
        <v>12.544</v>
      </c>
      <c r="AB66" s="48">
        <v>11.614800000000001</v>
      </c>
      <c r="AC66" s="48">
        <v>10.876300000000001</v>
      </c>
      <c r="AD66" s="48">
        <v>10.5708</v>
      </c>
      <c r="AE66" s="48">
        <v>10.4533</v>
      </c>
      <c r="AF66" s="48">
        <v>10.3956</v>
      </c>
      <c r="AG66" s="48">
        <v>10.061999999999999</v>
      </c>
      <c r="AH66" s="48">
        <v>9.6989699999999992</v>
      </c>
      <c r="AI66" s="48">
        <v>9.3611900000000006</v>
      </c>
      <c r="AJ66" s="48">
        <v>8.87547</v>
      </c>
      <c r="AK66" s="48">
        <v>8.6709700000000005</v>
      </c>
      <c r="AL66" s="48">
        <v>8.6709700000000005</v>
      </c>
      <c r="AM66" s="48">
        <v>8.6709700000000005</v>
      </c>
      <c r="AN66" s="48">
        <v>8.6709700000000005</v>
      </c>
      <c r="AO66" s="48">
        <v>8.6709700000000005</v>
      </c>
      <c r="AP66" s="56">
        <v>8.6709700000000005</v>
      </c>
      <c r="AU66" s="37"/>
      <c r="AV66" s="37"/>
      <c r="AW66" s="37"/>
      <c r="AX66" s="37"/>
      <c r="AY66" s="37"/>
      <c r="AZ66" s="37"/>
      <c r="BA66" s="37"/>
      <c r="BB66" s="37"/>
      <c r="BC66" s="37"/>
      <c r="BD66" s="37"/>
      <c r="BE66" s="37"/>
      <c r="BF66" s="37"/>
      <c r="BG66" s="37"/>
      <c r="BH66" s="37"/>
      <c r="BI66" s="37"/>
      <c r="BJ66" s="37"/>
      <c r="BK66" s="37"/>
      <c r="BL66" s="37"/>
      <c r="BM66" s="37"/>
    </row>
    <row r="67" spans="20:65" ht="13.5" thickBot="1">
      <c r="U67" s="348"/>
      <c r="V67" s="226">
        <v>7500</v>
      </c>
      <c r="W67" s="209">
        <v>13.8353</v>
      </c>
      <c r="X67" s="62">
        <v>13.8353</v>
      </c>
      <c r="Y67" s="62">
        <v>13.8353</v>
      </c>
      <c r="Z67" s="62">
        <v>13.066700000000001</v>
      </c>
      <c r="AA67" s="62">
        <v>12.544</v>
      </c>
      <c r="AB67" s="62">
        <v>11.614800000000001</v>
      </c>
      <c r="AC67" s="62">
        <v>10.876300000000001</v>
      </c>
      <c r="AD67" s="62">
        <v>10.5708</v>
      </c>
      <c r="AE67" s="62">
        <v>10.4533</v>
      </c>
      <c r="AF67" s="62">
        <v>10.3956</v>
      </c>
      <c r="AG67" s="62">
        <v>10.061999999999999</v>
      </c>
      <c r="AH67" s="62">
        <v>9.6989699999999992</v>
      </c>
      <c r="AI67" s="62">
        <v>9.3611900000000006</v>
      </c>
      <c r="AJ67" s="62">
        <v>8.87547</v>
      </c>
      <c r="AK67" s="62">
        <v>8.6709700000000005</v>
      </c>
      <c r="AL67" s="62">
        <v>8.6709700000000005</v>
      </c>
      <c r="AM67" s="62">
        <v>8.6709700000000005</v>
      </c>
      <c r="AN67" s="62">
        <v>8.6709700000000005</v>
      </c>
      <c r="AO67" s="62">
        <v>8.6709700000000005</v>
      </c>
      <c r="AP67" s="63">
        <v>8.6709700000000005</v>
      </c>
      <c r="AU67" s="37"/>
      <c r="AV67" s="37"/>
      <c r="AW67" s="37"/>
      <c r="AX67" s="37"/>
      <c r="AY67" s="37"/>
      <c r="AZ67" s="37"/>
      <c r="BA67" s="37"/>
      <c r="BB67" s="37"/>
      <c r="BC67" s="37"/>
      <c r="BD67" s="37"/>
      <c r="BE67" s="37"/>
      <c r="BF67" s="37"/>
      <c r="BG67" s="37"/>
      <c r="BH67" s="37"/>
      <c r="BI67" s="37"/>
      <c r="BJ67" s="37"/>
      <c r="BK67" s="37"/>
      <c r="BL67" s="37"/>
      <c r="BM67" s="37"/>
    </row>
    <row r="68" spans="20:65">
      <c r="AD68" s="9"/>
      <c r="AE68" s="9"/>
      <c r="AU68" s="37"/>
      <c r="AV68" s="37"/>
      <c r="AW68" s="37"/>
      <c r="AX68" s="37"/>
      <c r="AY68" s="37"/>
      <c r="AZ68" s="37"/>
      <c r="BA68" s="37"/>
      <c r="BB68" s="37"/>
      <c r="BC68" s="37"/>
      <c r="BD68" s="37"/>
      <c r="BE68" s="37"/>
      <c r="BF68" s="37"/>
      <c r="BG68" s="37"/>
      <c r="BH68" s="37"/>
      <c r="BI68" s="37"/>
      <c r="BJ68" s="37"/>
      <c r="BK68" s="37"/>
      <c r="BL68" s="37"/>
      <c r="BM68" s="37"/>
    </row>
    <row r="69" spans="20:65">
      <c r="AD69" s="9"/>
      <c r="AE69" s="9"/>
      <c r="AU69" s="37"/>
      <c r="AV69" s="37"/>
      <c r="AW69" s="37"/>
      <c r="AX69" s="37"/>
      <c r="AY69" s="37"/>
      <c r="AZ69" s="37"/>
      <c r="BA69" s="37"/>
      <c r="BB69" s="37"/>
      <c r="BC69" s="37"/>
      <c r="BD69" s="37"/>
      <c r="BE69" s="37"/>
      <c r="BF69" s="37"/>
      <c r="BG69" s="37"/>
      <c r="BH69" s="37"/>
      <c r="BI69" s="37"/>
      <c r="BJ69" s="37"/>
      <c r="BK69" s="37"/>
      <c r="BL69" s="37"/>
      <c r="BM69" s="37"/>
    </row>
    <row r="70" spans="20:65">
      <c r="AD70" s="9"/>
      <c r="AE70" s="9"/>
      <c r="AU70" s="37"/>
      <c r="AV70" s="37"/>
      <c r="AW70" s="37"/>
      <c r="AX70" s="37"/>
      <c r="AY70" s="37"/>
      <c r="AZ70" s="37"/>
      <c r="BA70" s="37"/>
      <c r="BB70" s="37"/>
      <c r="BC70" s="37"/>
      <c r="BD70" s="37"/>
      <c r="BE70" s="37"/>
      <c r="BF70" s="37"/>
      <c r="BG70" s="37"/>
      <c r="BH70" s="37"/>
      <c r="BI70" s="37"/>
      <c r="BJ70" s="37"/>
      <c r="BK70" s="37"/>
      <c r="BL70" s="37"/>
      <c r="BM70" s="37"/>
    </row>
    <row r="71" spans="20:65">
      <c r="AD71" s="9"/>
      <c r="AE71" s="9"/>
      <c r="AU71" s="37"/>
      <c r="AV71" s="37"/>
      <c r="AW71" s="37"/>
      <c r="AX71" s="37"/>
      <c r="AY71" s="37"/>
      <c r="AZ71" s="37"/>
      <c r="BA71" s="37"/>
      <c r="BB71" s="37"/>
      <c r="BC71" s="37"/>
      <c r="BD71" s="37"/>
      <c r="BE71" s="37"/>
      <c r="BF71" s="37"/>
      <c r="BG71" s="37"/>
      <c r="BH71" s="37"/>
      <c r="BI71" s="37"/>
      <c r="BJ71" s="37"/>
      <c r="BK71" s="37"/>
      <c r="BL71" s="37"/>
      <c r="BM71" s="37"/>
    </row>
    <row r="72" spans="20:65">
      <c r="AD72" s="9"/>
      <c r="AE72" s="9"/>
      <c r="AU72" s="37"/>
      <c r="AV72" s="37"/>
      <c r="AW72" s="37"/>
      <c r="AX72" s="37"/>
      <c r="AY72" s="37"/>
      <c r="AZ72" s="37"/>
      <c r="BA72" s="37"/>
      <c r="BB72" s="37"/>
      <c r="BC72" s="37"/>
      <c r="BD72" s="37"/>
      <c r="BE72" s="37"/>
      <c r="BF72" s="37"/>
      <c r="BG72" s="37"/>
      <c r="BH72" s="37"/>
      <c r="BI72" s="37"/>
      <c r="BJ72" s="37"/>
      <c r="BK72" s="37"/>
      <c r="BL72" s="37"/>
      <c r="BM72" s="37"/>
    </row>
    <row r="73" spans="20:65" ht="18.75" thickBot="1">
      <c r="T73" s="287"/>
      <c r="U73" s="287"/>
      <c r="V73" s="287"/>
      <c r="W73" s="287"/>
      <c r="X73" s="287"/>
      <c r="Y73" s="287"/>
      <c r="Z73" s="287"/>
      <c r="AA73" s="287"/>
      <c r="AB73" s="287"/>
      <c r="AC73" s="287"/>
      <c r="AD73" s="287"/>
      <c r="AE73" s="287"/>
      <c r="AF73" s="287"/>
      <c r="AG73" s="287"/>
      <c r="AH73" s="287"/>
      <c r="AI73" s="287"/>
      <c r="AJ73" s="287"/>
      <c r="AK73" s="287"/>
      <c r="AL73" s="287"/>
      <c r="AM73" s="287"/>
      <c r="AN73" s="287"/>
      <c r="AO73" s="287"/>
      <c r="AP73" s="287"/>
      <c r="AQ73" s="287"/>
      <c r="BD73" s="37"/>
      <c r="BE73" s="37"/>
      <c r="BF73" s="37"/>
      <c r="BG73" s="37"/>
      <c r="BH73" s="37"/>
      <c r="BI73" s="37"/>
      <c r="BJ73" s="37"/>
      <c r="BK73" s="37"/>
      <c r="BL73" s="37"/>
      <c r="BM73" s="37"/>
    </row>
    <row r="74" spans="20:65" ht="18.75" thickBot="1">
      <c r="T74" s="99"/>
      <c r="U74" s="278">
        <v>4</v>
      </c>
      <c r="V74" s="279"/>
      <c r="W74" s="304" t="s">
        <v>19</v>
      </c>
      <c r="X74" s="305"/>
      <c r="Y74" s="305"/>
      <c r="Z74" s="305"/>
      <c r="AA74" s="305"/>
      <c r="AB74" s="305"/>
      <c r="AC74" s="305"/>
      <c r="AD74" s="305"/>
      <c r="AE74" s="305"/>
      <c r="AF74" s="305"/>
      <c r="AG74" s="305"/>
      <c r="AH74" s="305"/>
      <c r="AI74" s="305"/>
      <c r="AJ74" s="305"/>
      <c r="AK74" s="305"/>
      <c r="AL74" s="305"/>
      <c r="AM74" s="305"/>
      <c r="AN74" s="305"/>
      <c r="AO74" s="305"/>
      <c r="AP74" s="306"/>
      <c r="AQ74" s="99"/>
      <c r="AU74" s="37"/>
      <c r="AV74" s="37"/>
      <c r="AW74" s="37"/>
      <c r="BD74" s="37"/>
      <c r="BE74" s="37"/>
      <c r="BF74" s="37"/>
      <c r="BG74" s="37"/>
      <c r="BH74" s="37"/>
      <c r="BI74" s="37"/>
      <c r="BJ74" s="37"/>
      <c r="BK74" s="37"/>
      <c r="BL74" s="37"/>
      <c r="BM74" s="37"/>
    </row>
    <row r="75" spans="20:65" ht="16.5" thickBot="1">
      <c r="T75" s="99"/>
      <c r="U75" s="280"/>
      <c r="V75" s="281"/>
      <c r="W75" s="284" t="str">
        <f>W27</f>
        <v>Load Value</v>
      </c>
      <c r="X75" s="360"/>
      <c r="Y75" s="360"/>
      <c r="Z75" s="360"/>
      <c r="AA75" s="360"/>
      <c r="AB75" s="360"/>
      <c r="AC75" s="360"/>
      <c r="AD75" s="360"/>
      <c r="AE75" s="360"/>
      <c r="AF75" s="360"/>
      <c r="AG75" s="360"/>
      <c r="AH75" s="360"/>
      <c r="AI75" s="360"/>
      <c r="AJ75" s="360"/>
      <c r="AK75" s="360"/>
      <c r="AL75" s="360"/>
      <c r="AM75" s="360"/>
      <c r="AN75" s="360"/>
      <c r="AO75" s="360"/>
      <c r="AP75" s="361"/>
      <c r="AQ75" s="99"/>
    </row>
    <row r="76" spans="20:65" ht="13.5" thickBot="1">
      <c r="T76" s="99"/>
      <c r="U76" s="282"/>
      <c r="V76" s="283"/>
      <c r="W76" s="42">
        <f>W28</f>
        <v>10</v>
      </c>
      <c r="X76" s="43">
        <f t="shared" ref="X76:AP76" si="60">X28</f>
        <v>20</v>
      </c>
      <c r="Y76" s="43">
        <f t="shared" si="60"/>
        <v>30</v>
      </c>
      <c r="Z76" s="43">
        <f t="shared" si="60"/>
        <v>40</v>
      </c>
      <c r="AA76" s="44">
        <f t="shared" si="60"/>
        <v>50</v>
      </c>
      <c r="AB76" s="44">
        <f t="shared" si="60"/>
        <v>60</v>
      </c>
      <c r="AC76" s="44">
        <f t="shared" si="60"/>
        <v>70</v>
      </c>
      <c r="AD76" s="44">
        <f t="shared" si="60"/>
        <v>80</v>
      </c>
      <c r="AE76" s="44">
        <f t="shared" si="60"/>
        <v>90</v>
      </c>
      <c r="AF76" s="44">
        <f t="shared" si="60"/>
        <v>100</v>
      </c>
      <c r="AG76" s="44">
        <f t="shared" si="60"/>
        <v>120</v>
      </c>
      <c r="AH76" s="44">
        <f t="shared" si="60"/>
        <v>140</v>
      </c>
      <c r="AI76" s="45">
        <f t="shared" si="60"/>
        <v>160</v>
      </c>
      <c r="AJ76" s="45">
        <f t="shared" si="60"/>
        <v>180</v>
      </c>
      <c r="AK76" s="45">
        <f t="shared" si="60"/>
        <v>200</v>
      </c>
      <c r="AL76" s="45">
        <f t="shared" si="60"/>
        <v>220</v>
      </c>
      <c r="AM76" s="45">
        <f t="shared" si="60"/>
        <v>240</v>
      </c>
      <c r="AN76" s="46">
        <f t="shared" si="60"/>
        <v>260</v>
      </c>
      <c r="AO76" s="45">
        <f t="shared" si="60"/>
        <v>280</v>
      </c>
      <c r="AP76" s="46">
        <f t="shared" si="60"/>
        <v>300</v>
      </c>
      <c r="AQ76" s="99"/>
    </row>
    <row r="77" spans="20:65">
      <c r="T77" s="99"/>
      <c r="U77" s="301" t="str">
        <f>U29</f>
        <v>RPM</v>
      </c>
      <c r="V77" s="47">
        <f>V29</f>
        <v>500</v>
      </c>
      <c r="W77" s="94">
        <v>1</v>
      </c>
      <c r="X77" s="94">
        <v>1</v>
      </c>
      <c r="Y77" s="94">
        <v>1</v>
      </c>
      <c r="Z77" s="94">
        <v>1</v>
      </c>
      <c r="AA77" s="94">
        <v>1</v>
      </c>
      <c r="AB77" s="94">
        <v>1</v>
      </c>
      <c r="AC77" s="94">
        <v>0</v>
      </c>
      <c r="AD77" s="94">
        <v>0</v>
      </c>
      <c r="AE77" s="94">
        <v>0</v>
      </c>
      <c r="AF77" s="94">
        <v>0</v>
      </c>
      <c r="AG77" s="94">
        <v>0</v>
      </c>
      <c r="AH77" s="94">
        <v>0</v>
      </c>
      <c r="AI77" s="94">
        <v>0</v>
      </c>
      <c r="AJ77" s="94">
        <v>0</v>
      </c>
      <c r="AK77" s="94">
        <v>0</v>
      </c>
      <c r="AL77" s="94">
        <v>0</v>
      </c>
      <c r="AM77" s="94">
        <v>0</v>
      </c>
      <c r="AN77" s="94">
        <v>0</v>
      </c>
      <c r="AO77" s="94">
        <v>0</v>
      </c>
      <c r="AP77" s="95">
        <v>0</v>
      </c>
      <c r="AQ77" s="99"/>
    </row>
    <row r="78" spans="20:65">
      <c r="T78" s="99"/>
      <c r="U78" s="302"/>
      <c r="V78" s="49">
        <f t="shared" ref="V78:V91" si="61">V30</f>
        <v>1000</v>
      </c>
      <c r="W78" s="94">
        <f>1</f>
        <v>1</v>
      </c>
      <c r="X78" s="94">
        <f>1</f>
        <v>1</v>
      </c>
      <c r="Y78" s="94">
        <f>1</f>
        <v>1</v>
      </c>
      <c r="Z78" s="94">
        <f>1</f>
        <v>1</v>
      </c>
      <c r="AA78" s="94">
        <f>1</f>
        <v>1</v>
      </c>
      <c r="AB78" s="94">
        <f>1</f>
        <v>1</v>
      </c>
      <c r="AC78" s="94">
        <v>0</v>
      </c>
      <c r="AD78" s="94">
        <v>0</v>
      </c>
      <c r="AE78" s="94">
        <v>0</v>
      </c>
      <c r="AF78" s="94">
        <v>0</v>
      </c>
      <c r="AG78" s="94">
        <v>0</v>
      </c>
      <c r="AH78" s="94">
        <v>0</v>
      </c>
      <c r="AI78" s="94">
        <v>0</v>
      </c>
      <c r="AJ78" s="94">
        <v>0</v>
      </c>
      <c r="AK78" s="94">
        <v>0</v>
      </c>
      <c r="AL78" s="94">
        <v>0</v>
      </c>
      <c r="AM78" s="94">
        <v>0</v>
      </c>
      <c r="AN78" s="94">
        <v>0</v>
      </c>
      <c r="AO78" s="94">
        <v>0</v>
      </c>
      <c r="AP78" s="95">
        <v>0</v>
      </c>
      <c r="AQ78" s="99"/>
    </row>
    <row r="79" spans="20:65">
      <c r="T79" s="99"/>
      <c r="U79" s="302"/>
      <c r="V79" s="50">
        <f t="shared" si="61"/>
        <v>1500</v>
      </c>
      <c r="W79" s="94">
        <f>1</f>
        <v>1</v>
      </c>
      <c r="X79" s="94">
        <f>1</f>
        <v>1</v>
      </c>
      <c r="Y79" s="94">
        <f>1</f>
        <v>1</v>
      </c>
      <c r="Z79" s="94">
        <f>1</f>
        <v>1</v>
      </c>
      <c r="AA79" s="94">
        <f>1</f>
        <v>1</v>
      </c>
      <c r="AB79" s="94">
        <f>1</f>
        <v>1</v>
      </c>
      <c r="AC79" s="94">
        <v>0</v>
      </c>
      <c r="AD79" s="94">
        <v>0</v>
      </c>
      <c r="AE79" s="94">
        <v>0</v>
      </c>
      <c r="AF79" s="94">
        <v>0</v>
      </c>
      <c r="AG79" s="94">
        <v>0</v>
      </c>
      <c r="AH79" s="94">
        <v>0</v>
      </c>
      <c r="AI79" s="94">
        <v>0</v>
      </c>
      <c r="AJ79" s="94">
        <v>0</v>
      </c>
      <c r="AK79" s="94">
        <v>0</v>
      </c>
      <c r="AL79" s="94">
        <v>0</v>
      </c>
      <c r="AM79" s="94">
        <v>0</v>
      </c>
      <c r="AN79" s="94">
        <v>0</v>
      </c>
      <c r="AO79" s="94">
        <v>0</v>
      </c>
      <c r="AP79" s="95">
        <v>0</v>
      </c>
      <c r="AQ79" s="99"/>
    </row>
    <row r="80" spans="20:65">
      <c r="T80" s="99"/>
      <c r="U80" s="302"/>
      <c r="V80" s="50">
        <f t="shared" si="61"/>
        <v>2000</v>
      </c>
      <c r="W80" s="94">
        <f>1</f>
        <v>1</v>
      </c>
      <c r="X80" s="94">
        <f>1</f>
        <v>1</v>
      </c>
      <c r="Y80" s="94">
        <f>1</f>
        <v>1</v>
      </c>
      <c r="Z80" s="94">
        <f>1</f>
        <v>1</v>
      </c>
      <c r="AA80" s="94">
        <f>1</f>
        <v>1</v>
      </c>
      <c r="AB80" s="94">
        <f>1</f>
        <v>1</v>
      </c>
      <c r="AC80" s="94">
        <v>0</v>
      </c>
      <c r="AD80" s="94">
        <v>0</v>
      </c>
      <c r="AE80" s="94">
        <v>0</v>
      </c>
      <c r="AF80" s="94">
        <v>0</v>
      </c>
      <c r="AG80" s="94">
        <v>0</v>
      </c>
      <c r="AH80" s="94">
        <v>0</v>
      </c>
      <c r="AI80" s="94">
        <v>0</v>
      </c>
      <c r="AJ80" s="94">
        <v>0</v>
      </c>
      <c r="AK80" s="94">
        <v>0</v>
      </c>
      <c r="AL80" s="94">
        <v>0</v>
      </c>
      <c r="AM80" s="94">
        <v>0</v>
      </c>
      <c r="AN80" s="94">
        <v>0</v>
      </c>
      <c r="AO80" s="94">
        <v>0</v>
      </c>
      <c r="AP80" s="95">
        <v>0</v>
      </c>
      <c r="AQ80" s="99"/>
    </row>
    <row r="81" spans="20:65">
      <c r="T81" s="99"/>
      <c r="U81" s="302"/>
      <c r="V81" s="50">
        <f t="shared" si="61"/>
        <v>2500</v>
      </c>
      <c r="W81" s="94">
        <f>1</f>
        <v>1</v>
      </c>
      <c r="X81" s="94">
        <f>1</f>
        <v>1</v>
      </c>
      <c r="Y81" s="94">
        <f>1</f>
        <v>1</v>
      </c>
      <c r="Z81" s="94">
        <f>1</f>
        <v>1</v>
      </c>
      <c r="AA81" s="94">
        <f>1</f>
        <v>1</v>
      </c>
      <c r="AB81" s="94">
        <f>1</f>
        <v>1</v>
      </c>
      <c r="AC81" s="94">
        <v>0</v>
      </c>
      <c r="AD81" s="94">
        <v>0</v>
      </c>
      <c r="AE81" s="94">
        <v>0</v>
      </c>
      <c r="AF81" s="94">
        <v>0</v>
      </c>
      <c r="AG81" s="94">
        <v>0</v>
      </c>
      <c r="AH81" s="94">
        <v>0</v>
      </c>
      <c r="AI81" s="94">
        <v>0</v>
      </c>
      <c r="AJ81" s="94">
        <v>0</v>
      </c>
      <c r="AK81" s="94">
        <v>0</v>
      </c>
      <c r="AL81" s="94">
        <v>0</v>
      </c>
      <c r="AM81" s="94">
        <v>0</v>
      </c>
      <c r="AN81" s="94">
        <v>0</v>
      </c>
      <c r="AO81" s="94">
        <v>0</v>
      </c>
      <c r="AP81" s="95">
        <v>0</v>
      </c>
      <c r="AQ81" s="99"/>
    </row>
    <row r="82" spans="20:65" ht="15" customHeight="1">
      <c r="T82" s="99"/>
      <c r="U82" s="302"/>
      <c r="V82" s="51">
        <f t="shared" si="61"/>
        <v>3000</v>
      </c>
      <c r="W82" s="94">
        <f>1</f>
        <v>1</v>
      </c>
      <c r="X82" s="94">
        <f>1</f>
        <v>1</v>
      </c>
      <c r="Y82" s="94">
        <f>1</f>
        <v>1</v>
      </c>
      <c r="Z82" s="94">
        <f>1</f>
        <v>1</v>
      </c>
      <c r="AA82" s="94">
        <f>1</f>
        <v>1</v>
      </c>
      <c r="AB82" s="94">
        <f>1</f>
        <v>1</v>
      </c>
      <c r="AC82" s="94">
        <v>0</v>
      </c>
      <c r="AD82" s="94">
        <v>0</v>
      </c>
      <c r="AE82" s="94">
        <v>0</v>
      </c>
      <c r="AF82" s="94">
        <v>0</v>
      </c>
      <c r="AG82" s="94">
        <v>0</v>
      </c>
      <c r="AH82" s="94">
        <v>0</v>
      </c>
      <c r="AI82" s="94">
        <v>0</v>
      </c>
      <c r="AJ82" s="94">
        <v>0</v>
      </c>
      <c r="AK82" s="94">
        <v>0</v>
      </c>
      <c r="AL82" s="94">
        <v>0</v>
      </c>
      <c r="AM82" s="94">
        <v>0</v>
      </c>
      <c r="AN82" s="94">
        <v>0</v>
      </c>
      <c r="AO82" s="94">
        <v>0</v>
      </c>
      <c r="AP82" s="95">
        <v>0</v>
      </c>
      <c r="AQ82" s="99"/>
    </row>
    <row r="83" spans="20:65">
      <c r="T83" s="99"/>
      <c r="U83" s="302"/>
      <c r="V83" s="51">
        <f t="shared" si="61"/>
        <v>3500</v>
      </c>
      <c r="W83" s="94">
        <f>1</f>
        <v>1</v>
      </c>
      <c r="X83" s="94">
        <f>1</f>
        <v>1</v>
      </c>
      <c r="Y83" s="94">
        <f>1</f>
        <v>1</v>
      </c>
      <c r="Z83" s="94">
        <f>1</f>
        <v>1</v>
      </c>
      <c r="AA83" s="94">
        <f>1</f>
        <v>1</v>
      </c>
      <c r="AB83" s="94">
        <f>1</f>
        <v>1</v>
      </c>
      <c r="AC83" s="94">
        <v>0</v>
      </c>
      <c r="AD83" s="94">
        <v>0</v>
      </c>
      <c r="AE83" s="94">
        <v>0</v>
      </c>
      <c r="AF83" s="94">
        <v>0</v>
      </c>
      <c r="AG83" s="94">
        <v>0</v>
      </c>
      <c r="AH83" s="94">
        <v>0</v>
      </c>
      <c r="AI83" s="94">
        <v>0</v>
      </c>
      <c r="AJ83" s="94">
        <v>0</v>
      </c>
      <c r="AK83" s="94">
        <v>0</v>
      </c>
      <c r="AL83" s="94">
        <v>0</v>
      </c>
      <c r="AM83" s="94">
        <v>0</v>
      </c>
      <c r="AN83" s="94">
        <v>0</v>
      </c>
      <c r="AO83" s="94">
        <v>0</v>
      </c>
      <c r="AP83" s="95">
        <v>0</v>
      </c>
      <c r="AQ83" s="99"/>
    </row>
    <row r="84" spans="20:65">
      <c r="T84" s="99"/>
      <c r="U84" s="302"/>
      <c r="V84" s="51">
        <f t="shared" si="61"/>
        <v>4000</v>
      </c>
      <c r="W84" s="94">
        <f>1</f>
        <v>1</v>
      </c>
      <c r="X84" s="94">
        <f>1</f>
        <v>1</v>
      </c>
      <c r="Y84" s="94">
        <f>1</f>
        <v>1</v>
      </c>
      <c r="Z84" s="94">
        <f>1</f>
        <v>1</v>
      </c>
      <c r="AA84" s="94">
        <f>1</f>
        <v>1</v>
      </c>
      <c r="AB84" s="94">
        <f>1</f>
        <v>1</v>
      </c>
      <c r="AC84" s="94">
        <v>0</v>
      </c>
      <c r="AD84" s="94">
        <v>0</v>
      </c>
      <c r="AE84" s="94">
        <v>0</v>
      </c>
      <c r="AF84" s="94">
        <v>0</v>
      </c>
      <c r="AG84" s="94">
        <v>0</v>
      </c>
      <c r="AH84" s="94">
        <v>0</v>
      </c>
      <c r="AI84" s="94">
        <v>0</v>
      </c>
      <c r="AJ84" s="94">
        <v>0</v>
      </c>
      <c r="AK84" s="94">
        <v>0</v>
      </c>
      <c r="AL84" s="94">
        <v>0</v>
      </c>
      <c r="AM84" s="94">
        <v>0</v>
      </c>
      <c r="AN84" s="94">
        <v>0</v>
      </c>
      <c r="AO84" s="94">
        <v>0</v>
      </c>
      <c r="AP84" s="95">
        <v>0</v>
      </c>
      <c r="AQ84" s="99"/>
    </row>
    <row r="85" spans="20:65">
      <c r="T85" s="99"/>
      <c r="U85" s="302"/>
      <c r="V85" s="51">
        <f t="shared" si="61"/>
        <v>4500</v>
      </c>
      <c r="W85" s="94">
        <f>1</f>
        <v>1</v>
      </c>
      <c r="X85" s="94">
        <f>1</f>
        <v>1</v>
      </c>
      <c r="Y85" s="94">
        <f>1</f>
        <v>1</v>
      </c>
      <c r="Z85" s="94">
        <f>1</f>
        <v>1</v>
      </c>
      <c r="AA85" s="94">
        <f>1</f>
        <v>1</v>
      </c>
      <c r="AB85" s="94">
        <f>1</f>
        <v>1</v>
      </c>
      <c r="AC85" s="94">
        <v>0</v>
      </c>
      <c r="AD85" s="94">
        <v>0</v>
      </c>
      <c r="AE85" s="94">
        <v>0</v>
      </c>
      <c r="AF85" s="94">
        <v>0</v>
      </c>
      <c r="AG85" s="94">
        <v>0</v>
      </c>
      <c r="AH85" s="94">
        <v>0</v>
      </c>
      <c r="AI85" s="94">
        <v>0</v>
      </c>
      <c r="AJ85" s="94">
        <v>0</v>
      </c>
      <c r="AK85" s="94">
        <v>0</v>
      </c>
      <c r="AL85" s="94">
        <v>0</v>
      </c>
      <c r="AM85" s="94">
        <v>0</v>
      </c>
      <c r="AN85" s="94">
        <v>0</v>
      </c>
      <c r="AO85" s="94">
        <v>0</v>
      </c>
      <c r="AP85" s="95">
        <v>0</v>
      </c>
      <c r="AQ85" s="99"/>
    </row>
    <row r="86" spans="20:65">
      <c r="T86" s="99"/>
      <c r="U86" s="302"/>
      <c r="V86" s="51">
        <f t="shared" si="61"/>
        <v>5000</v>
      </c>
      <c r="W86" s="94">
        <f>1</f>
        <v>1</v>
      </c>
      <c r="X86" s="94">
        <f>1</f>
        <v>1</v>
      </c>
      <c r="Y86" s="94">
        <f>1</f>
        <v>1</v>
      </c>
      <c r="Z86" s="94">
        <f>1</f>
        <v>1</v>
      </c>
      <c r="AA86" s="94">
        <f>1</f>
        <v>1</v>
      </c>
      <c r="AB86" s="94">
        <v>0</v>
      </c>
      <c r="AC86" s="94">
        <v>0</v>
      </c>
      <c r="AD86" s="94">
        <v>0</v>
      </c>
      <c r="AE86" s="94">
        <v>0</v>
      </c>
      <c r="AF86" s="94">
        <v>0</v>
      </c>
      <c r="AG86" s="94">
        <v>0</v>
      </c>
      <c r="AH86" s="94">
        <v>0</v>
      </c>
      <c r="AI86" s="94">
        <v>0</v>
      </c>
      <c r="AJ86" s="94">
        <v>0</v>
      </c>
      <c r="AK86" s="94">
        <v>0</v>
      </c>
      <c r="AL86" s="94">
        <v>0</v>
      </c>
      <c r="AM86" s="94">
        <v>0</v>
      </c>
      <c r="AN86" s="94">
        <v>0</v>
      </c>
      <c r="AO86" s="94">
        <v>0</v>
      </c>
      <c r="AP86" s="95">
        <v>0</v>
      </c>
      <c r="AQ86" s="99"/>
    </row>
    <row r="87" spans="20:65">
      <c r="T87" s="99"/>
      <c r="U87" s="302"/>
      <c r="V87" s="51">
        <f t="shared" si="61"/>
        <v>5500</v>
      </c>
      <c r="W87" s="94">
        <f>1</f>
        <v>1</v>
      </c>
      <c r="X87" s="94">
        <f>1</f>
        <v>1</v>
      </c>
      <c r="Y87" s="94">
        <f>1</f>
        <v>1</v>
      </c>
      <c r="Z87" s="94">
        <f>1</f>
        <v>1</v>
      </c>
      <c r="AA87" s="94">
        <v>0</v>
      </c>
      <c r="AB87" s="94">
        <v>0</v>
      </c>
      <c r="AC87" s="94">
        <v>0</v>
      </c>
      <c r="AD87" s="94">
        <v>0</v>
      </c>
      <c r="AE87" s="94">
        <v>0</v>
      </c>
      <c r="AF87" s="94">
        <v>0</v>
      </c>
      <c r="AG87" s="94">
        <v>0</v>
      </c>
      <c r="AH87" s="94">
        <v>0</v>
      </c>
      <c r="AI87" s="94">
        <v>0</v>
      </c>
      <c r="AJ87" s="94">
        <v>0</v>
      </c>
      <c r="AK87" s="94">
        <v>0</v>
      </c>
      <c r="AL87" s="94">
        <v>0</v>
      </c>
      <c r="AM87" s="94">
        <v>0</v>
      </c>
      <c r="AN87" s="94">
        <v>0</v>
      </c>
      <c r="AO87" s="94">
        <v>0</v>
      </c>
      <c r="AP87" s="95">
        <v>0</v>
      </c>
      <c r="AQ87" s="99"/>
      <c r="AT87" s="38"/>
      <c r="AU87" s="39"/>
      <c r="BL87" s="40"/>
      <c r="BM87" s="37"/>
    </row>
    <row r="88" spans="20:65" ht="13.5" customHeight="1">
      <c r="T88" s="99"/>
      <c r="U88" s="302"/>
      <c r="V88" s="51">
        <f t="shared" si="61"/>
        <v>6000</v>
      </c>
      <c r="W88" s="94">
        <v>0</v>
      </c>
      <c r="X88" s="94">
        <v>0</v>
      </c>
      <c r="Y88" s="94">
        <v>0</v>
      </c>
      <c r="Z88" s="94">
        <v>0</v>
      </c>
      <c r="AA88" s="94">
        <v>0</v>
      </c>
      <c r="AB88" s="94">
        <v>0</v>
      </c>
      <c r="AC88" s="94">
        <v>0</v>
      </c>
      <c r="AD88" s="94">
        <v>0</v>
      </c>
      <c r="AE88" s="94">
        <v>0</v>
      </c>
      <c r="AF88" s="94">
        <v>0</v>
      </c>
      <c r="AG88" s="94">
        <v>0</v>
      </c>
      <c r="AH88" s="94">
        <v>0</v>
      </c>
      <c r="AI88" s="94">
        <v>0</v>
      </c>
      <c r="AJ88" s="94">
        <v>0</v>
      </c>
      <c r="AK88" s="94">
        <v>0</v>
      </c>
      <c r="AL88" s="94">
        <v>0</v>
      </c>
      <c r="AM88" s="94">
        <v>0</v>
      </c>
      <c r="AN88" s="94">
        <v>0</v>
      </c>
      <c r="AO88" s="94">
        <v>0</v>
      </c>
      <c r="AP88" s="95">
        <v>0</v>
      </c>
      <c r="AQ88" s="99"/>
      <c r="AT88" s="38"/>
      <c r="AU88" s="39"/>
      <c r="BL88" s="40"/>
      <c r="BM88" s="37"/>
    </row>
    <row r="89" spans="20:65">
      <c r="T89" s="99"/>
      <c r="U89" s="302"/>
      <c r="V89" s="51">
        <f t="shared" si="61"/>
        <v>6500</v>
      </c>
      <c r="W89" s="94">
        <v>0</v>
      </c>
      <c r="X89" s="94">
        <v>0</v>
      </c>
      <c r="Y89" s="94">
        <v>0</v>
      </c>
      <c r="Z89" s="94">
        <v>0</v>
      </c>
      <c r="AA89" s="94">
        <v>0</v>
      </c>
      <c r="AB89" s="94">
        <v>0</v>
      </c>
      <c r="AC89" s="94">
        <v>0</v>
      </c>
      <c r="AD89" s="94">
        <v>0</v>
      </c>
      <c r="AE89" s="94">
        <v>0</v>
      </c>
      <c r="AF89" s="94">
        <v>0</v>
      </c>
      <c r="AG89" s="94">
        <v>0</v>
      </c>
      <c r="AH89" s="94">
        <v>0</v>
      </c>
      <c r="AI89" s="94">
        <v>0</v>
      </c>
      <c r="AJ89" s="94">
        <v>0</v>
      </c>
      <c r="AK89" s="94">
        <v>0</v>
      </c>
      <c r="AL89" s="94">
        <v>0</v>
      </c>
      <c r="AM89" s="94">
        <v>0</v>
      </c>
      <c r="AN89" s="94">
        <v>0</v>
      </c>
      <c r="AO89" s="94">
        <v>0</v>
      </c>
      <c r="AP89" s="95">
        <v>0</v>
      </c>
      <c r="AQ89" s="99"/>
      <c r="AT89" s="38"/>
      <c r="AU89" s="39"/>
      <c r="BL89" s="40"/>
      <c r="BM89" s="37"/>
    </row>
    <row r="90" spans="20:65" ht="18.75" customHeight="1">
      <c r="T90" s="99"/>
      <c r="U90" s="302"/>
      <c r="V90" s="51">
        <f t="shared" si="61"/>
        <v>7000</v>
      </c>
      <c r="W90" s="94">
        <v>0</v>
      </c>
      <c r="X90" s="94">
        <v>0</v>
      </c>
      <c r="Y90" s="94">
        <v>0</v>
      </c>
      <c r="Z90" s="94">
        <v>0</v>
      </c>
      <c r="AA90" s="94">
        <v>0</v>
      </c>
      <c r="AB90" s="94">
        <v>0</v>
      </c>
      <c r="AC90" s="94">
        <v>0</v>
      </c>
      <c r="AD90" s="94">
        <v>0</v>
      </c>
      <c r="AE90" s="94">
        <v>0</v>
      </c>
      <c r="AF90" s="94">
        <v>0</v>
      </c>
      <c r="AG90" s="94">
        <v>0</v>
      </c>
      <c r="AH90" s="94">
        <v>0</v>
      </c>
      <c r="AI90" s="94">
        <v>0</v>
      </c>
      <c r="AJ90" s="94">
        <v>0</v>
      </c>
      <c r="AK90" s="94">
        <v>0</v>
      </c>
      <c r="AL90" s="94">
        <v>0</v>
      </c>
      <c r="AM90" s="94">
        <v>0</v>
      </c>
      <c r="AN90" s="94">
        <v>0</v>
      </c>
      <c r="AO90" s="94">
        <v>0</v>
      </c>
      <c r="AP90" s="95">
        <v>0</v>
      </c>
      <c r="AQ90" s="99"/>
      <c r="AR90" s="100"/>
      <c r="AT90" s="38"/>
      <c r="AU90" s="39"/>
      <c r="BL90" s="40"/>
      <c r="BM90" s="37"/>
    </row>
    <row r="91" spans="20:65" ht="12.75" customHeight="1" thickBot="1">
      <c r="T91" s="99"/>
      <c r="U91" s="303"/>
      <c r="V91" s="57">
        <f t="shared" si="61"/>
        <v>7500</v>
      </c>
      <c r="W91" s="94">
        <v>0</v>
      </c>
      <c r="X91" s="94">
        <v>0</v>
      </c>
      <c r="Y91" s="94">
        <v>0</v>
      </c>
      <c r="Z91" s="94">
        <v>0</v>
      </c>
      <c r="AA91" s="94">
        <v>0</v>
      </c>
      <c r="AB91" s="94">
        <v>0</v>
      </c>
      <c r="AC91" s="94">
        <v>0</v>
      </c>
      <c r="AD91" s="94">
        <v>0</v>
      </c>
      <c r="AE91" s="94">
        <v>0</v>
      </c>
      <c r="AF91" s="94">
        <v>0</v>
      </c>
      <c r="AG91" s="94">
        <v>0</v>
      </c>
      <c r="AH91" s="94">
        <v>0</v>
      </c>
      <c r="AI91" s="94">
        <v>0</v>
      </c>
      <c r="AJ91" s="94">
        <v>0</v>
      </c>
      <c r="AK91" s="94">
        <v>0</v>
      </c>
      <c r="AL91" s="94">
        <v>0</v>
      </c>
      <c r="AM91" s="94">
        <v>0</v>
      </c>
      <c r="AN91" s="94">
        <v>0</v>
      </c>
      <c r="AO91" s="94">
        <v>0</v>
      </c>
      <c r="AP91" s="95">
        <v>0</v>
      </c>
      <c r="AQ91" s="99"/>
      <c r="AR91" s="100"/>
      <c r="AT91" s="38"/>
      <c r="AU91" s="39"/>
      <c r="BL91" s="40"/>
      <c r="BM91" s="37"/>
    </row>
    <row r="92" spans="20:65" ht="12.75" customHeight="1">
      <c r="T92" s="99"/>
      <c r="U92" s="99"/>
      <c r="V92" s="99"/>
      <c r="W92" s="99"/>
      <c r="X92" s="99"/>
      <c r="Y92" s="99"/>
      <c r="Z92" s="99"/>
      <c r="AA92" s="99"/>
      <c r="AB92" s="99"/>
      <c r="AC92" s="99"/>
      <c r="AD92" s="99"/>
      <c r="AE92" s="99"/>
      <c r="AF92" s="99"/>
      <c r="AG92" s="99"/>
      <c r="AH92" s="99"/>
      <c r="AI92" s="99"/>
      <c r="AJ92" s="99"/>
      <c r="AK92" s="99"/>
      <c r="AL92" s="99"/>
      <c r="AM92" s="99"/>
      <c r="AN92" s="99"/>
      <c r="AO92" s="99"/>
      <c r="AP92" s="99"/>
      <c r="AQ92" s="99"/>
      <c r="AR92" s="100"/>
      <c r="AT92" s="38"/>
      <c r="AU92" s="39"/>
      <c r="BL92" s="40"/>
      <c r="BM92" s="37"/>
    </row>
    <row r="93" spans="20:65" ht="12.75" customHeight="1">
      <c r="AT93" s="38"/>
      <c r="AU93" s="39"/>
      <c r="BL93" s="40"/>
      <c r="BM93" s="37"/>
    </row>
    <row r="94" spans="20:65" ht="12.75" customHeight="1">
      <c r="T94" s="325" t="s">
        <v>26</v>
      </c>
      <c r="U94" s="325"/>
      <c r="V94" s="325"/>
      <c r="W94" s="325"/>
      <c r="X94" s="325"/>
      <c r="Y94" s="325"/>
      <c r="Z94" s="325"/>
      <c r="AA94" s="325"/>
      <c r="AB94" s="325"/>
      <c r="AC94" s="325"/>
      <c r="AD94" s="325"/>
      <c r="AE94" s="325"/>
      <c r="AF94" s="325"/>
      <c r="AG94" s="325"/>
      <c r="AH94" s="325"/>
      <c r="AI94" s="325"/>
      <c r="AJ94" s="325"/>
      <c r="AK94" s="325"/>
      <c r="AL94" s="325"/>
      <c r="AM94" s="325"/>
      <c r="AN94" s="325"/>
      <c r="AO94" s="325"/>
      <c r="AP94" s="325"/>
      <c r="AQ94" s="325"/>
      <c r="AT94" s="38"/>
      <c r="AU94" s="39"/>
      <c r="BL94" s="40"/>
      <c r="BM94" s="37"/>
    </row>
    <row r="95" spans="20:65" ht="12.75" customHeight="1">
      <c r="T95" s="325"/>
      <c r="U95" s="325"/>
      <c r="V95" s="325"/>
      <c r="W95" s="325"/>
      <c r="X95" s="325"/>
      <c r="Y95" s="325"/>
      <c r="Z95" s="325"/>
      <c r="AA95" s="325"/>
      <c r="AB95" s="325"/>
      <c r="AC95" s="325"/>
      <c r="AD95" s="325"/>
      <c r="AE95" s="325"/>
      <c r="AF95" s="325"/>
      <c r="AG95" s="325"/>
      <c r="AH95" s="325"/>
      <c r="AI95" s="325"/>
      <c r="AJ95" s="325"/>
      <c r="AK95" s="325"/>
      <c r="AL95" s="325"/>
      <c r="AM95" s="325"/>
      <c r="AN95" s="325"/>
      <c r="AO95" s="325"/>
      <c r="AP95" s="325"/>
      <c r="AQ95" s="325"/>
      <c r="AT95" s="38"/>
      <c r="AU95" s="39"/>
      <c r="BL95" s="40"/>
      <c r="BM95" s="37"/>
    </row>
    <row r="96" spans="20:65" ht="12.75" customHeight="1" thickBot="1">
      <c r="T96" s="325"/>
      <c r="U96" s="325"/>
      <c r="V96" s="325"/>
      <c r="W96" s="325"/>
      <c r="X96" s="325"/>
      <c r="Y96" s="325"/>
      <c r="Z96" s="325"/>
      <c r="AA96" s="325"/>
      <c r="AB96" s="325"/>
      <c r="AC96" s="325"/>
      <c r="AD96" s="325"/>
      <c r="AE96" s="325"/>
      <c r="AF96" s="325"/>
      <c r="AG96" s="325"/>
      <c r="AH96" s="325"/>
      <c r="AI96" s="325"/>
      <c r="AJ96" s="325"/>
      <c r="AK96" s="325"/>
      <c r="AL96" s="325"/>
      <c r="AM96" s="325"/>
      <c r="AN96" s="325"/>
      <c r="AO96" s="325"/>
      <c r="AP96" s="325"/>
      <c r="AQ96" s="325"/>
      <c r="AT96" s="38"/>
      <c r="AU96" s="39"/>
      <c r="BL96" s="40"/>
      <c r="BM96" s="37"/>
    </row>
    <row r="97" spans="20:65" ht="12.75" customHeight="1" thickBot="1">
      <c r="T97" s="64"/>
      <c r="U97" s="65"/>
      <c r="V97" s="65"/>
      <c r="W97" s="304" t="s">
        <v>25</v>
      </c>
      <c r="X97" s="305"/>
      <c r="Y97" s="305"/>
      <c r="Z97" s="305"/>
      <c r="AA97" s="305"/>
      <c r="AB97" s="305"/>
      <c r="AC97" s="305"/>
      <c r="AD97" s="305"/>
      <c r="AE97" s="305"/>
      <c r="AF97" s="305"/>
      <c r="AG97" s="305"/>
      <c r="AH97" s="305"/>
      <c r="AI97" s="305"/>
      <c r="AJ97" s="305"/>
      <c r="AK97" s="305"/>
      <c r="AL97" s="305"/>
      <c r="AM97" s="305"/>
      <c r="AN97" s="305"/>
      <c r="AO97" s="305"/>
      <c r="AP97" s="306"/>
      <c r="AQ97" s="64"/>
      <c r="AT97" s="38"/>
      <c r="AU97" s="39"/>
      <c r="BL97" s="40"/>
      <c r="BM97" s="37"/>
    </row>
    <row r="98" spans="20:65" ht="12.75" customHeight="1" thickBot="1">
      <c r="T98" s="64"/>
      <c r="U98" s="65"/>
      <c r="V98" s="65"/>
      <c r="W98" s="284" t="s">
        <v>0</v>
      </c>
      <c r="X98" s="360"/>
      <c r="Y98" s="360"/>
      <c r="Z98" s="360"/>
      <c r="AA98" s="360"/>
      <c r="AB98" s="360"/>
      <c r="AC98" s="360"/>
      <c r="AD98" s="360"/>
      <c r="AE98" s="360"/>
      <c r="AF98" s="360"/>
      <c r="AG98" s="360"/>
      <c r="AH98" s="360"/>
      <c r="AI98" s="360"/>
      <c r="AJ98" s="360"/>
      <c r="AK98" s="360"/>
      <c r="AL98" s="360"/>
      <c r="AM98" s="360"/>
      <c r="AN98" s="360"/>
      <c r="AO98" s="360"/>
      <c r="AP98" s="361"/>
      <c r="AQ98" s="64"/>
      <c r="AT98" s="38"/>
      <c r="AU98" s="39"/>
      <c r="BL98" s="40"/>
      <c r="BM98" s="37"/>
    </row>
    <row r="99" spans="20:65" ht="13.5" thickBot="1">
      <c r="T99" s="64"/>
      <c r="U99" s="65"/>
      <c r="V99" s="65"/>
      <c r="W99" s="42">
        <f t="shared" ref="W99:AN99" si="62">W28</f>
        <v>10</v>
      </c>
      <c r="X99" s="43">
        <f t="shared" si="62"/>
        <v>20</v>
      </c>
      <c r="Y99" s="43">
        <f t="shared" si="62"/>
        <v>30</v>
      </c>
      <c r="Z99" s="43">
        <f t="shared" si="62"/>
        <v>40</v>
      </c>
      <c r="AA99" s="44">
        <f t="shared" si="62"/>
        <v>50</v>
      </c>
      <c r="AB99" s="44">
        <f t="shared" si="62"/>
        <v>60</v>
      </c>
      <c r="AC99" s="44">
        <f t="shared" si="62"/>
        <v>70</v>
      </c>
      <c r="AD99" s="44">
        <f t="shared" si="62"/>
        <v>80</v>
      </c>
      <c r="AE99" s="44">
        <f t="shared" si="62"/>
        <v>90</v>
      </c>
      <c r="AF99" s="44">
        <f t="shared" si="62"/>
        <v>100</v>
      </c>
      <c r="AG99" s="44">
        <f t="shared" si="62"/>
        <v>120</v>
      </c>
      <c r="AH99" s="44">
        <f t="shared" si="62"/>
        <v>140</v>
      </c>
      <c r="AI99" s="45">
        <f t="shared" si="62"/>
        <v>160</v>
      </c>
      <c r="AJ99" s="45">
        <f t="shared" si="62"/>
        <v>180</v>
      </c>
      <c r="AK99" s="45">
        <f t="shared" si="62"/>
        <v>200</v>
      </c>
      <c r="AL99" s="45">
        <f t="shared" si="62"/>
        <v>220</v>
      </c>
      <c r="AM99" s="45">
        <f t="shared" si="62"/>
        <v>240</v>
      </c>
      <c r="AN99" s="46">
        <f t="shared" si="62"/>
        <v>260</v>
      </c>
      <c r="AO99" s="46">
        <f>AO28</f>
        <v>280</v>
      </c>
      <c r="AP99" s="46">
        <f>AP28</f>
        <v>300</v>
      </c>
      <c r="AQ99" s="64"/>
      <c r="AT99" s="38"/>
      <c r="AU99" s="39"/>
      <c r="BL99" s="40"/>
      <c r="BM99" s="37"/>
    </row>
    <row r="100" spans="20:65">
      <c r="T100" s="64"/>
      <c r="U100" s="301" t="s">
        <v>1</v>
      </c>
      <c r="V100" s="47">
        <f t="shared" ref="V100:V114" si="63">V29</f>
        <v>500</v>
      </c>
      <c r="W100" s="90">
        <f t="shared" ref="W100:AL100" si="64">ROUND(14.7*128/W29,0)</f>
        <v>141</v>
      </c>
      <c r="X100" s="91">
        <f t="shared" si="64"/>
        <v>141</v>
      </c>
      <c r="Y100" s="91">
        <f t="shared" si="64"/>
        <v>141</v>
      </c>
      <c r="Z100" s="91">
        <f t="shared" si="64"/>
        <v>141</v>
      </c>
      <c r="AA100" s="91">
        <f t="shared" si="64"/>
        <v>141</v>
      </c>
      <c r="AB100" s="91">
        <f t="shared" si="64"/>
        <v>141</v>
      </c>
      <c r="AC100" s="91">
        <f t="shared" si="64"/>
        <v>141</v>
      </c>
      <c r="AD100" s="91">
        <f t="shared" si="64"/>
        <v>141</v>
      </c>
      <c r="AE100" s="91">
        <f t="shared" si="64"/>
        <v>150</v>
      </c>
      <c r="AF100" s="91">
        <f t="shared" si="64"/>
        <v>150</v>
      </c>
      <c r="AG100" s="91">
        <f t="shared" si="64"/>
        <v>153</v>
      </c>
      <c r="AH100" s="91">
        <f t="shared" si="64"/>
        <v>156</v>
      </c>
      <c r="AI100" s="91">
        <f t="shared" si="64"/>
        <v>159</v>
      </c>
      <c r="AJ100" s="91">
        <f t="shared" si="64"/>
        <v>162</v>
      </c>
      <c r="AK100" s="91">
        <f t="shared" si="64"/>
        <v>165</v>
      </c>
      <c r="AL100" s="91">
        <f t="shared" si="64"/>
        <v>168</v>
      </c>
      <c r="AM100" s="91">
        <f t="shared" ref="AM100:AP114" si="65">ROUND(14.7*128/AM29,0)</f>
        <v>171</v>
      </c>
      <c r="AN100" s="91">
        <f t="shared" si="65"/>
        <v>174</v>
      </c>
      <c r="AO100" s="91">
        <f t="shared" si="65"/>
        <v>174</v>
      </c>
      <c r="AP100" s="92">
        <f t="shared" si="65"/>
        <v>174</v>
      </c>
      <c r="AQ100" s="64"/>
      <c r="AT100" s="38"/>
      <c r="AU100" s="39"/>
      <c r="BL100" s="40"/>
      <c r="BM100" s="37"/>
    </row>
    <row r="101" spans="20:65">
      <c r="T101" s="64"/>
      <c r="U101" s="302">
        <v>0</v>
      </c>
      <c r="V101" s="49">
        <f t="shared" si="63"/>
        <v>1000</v>
      </c>
      <c r="W101" s="93">
        <f t="shared" ref="W101:AL101" si="66">ROUND(14.7*128/W30,0)</f>
        <v>128</v>
      </c>
      <c r="X101" s="94">
        <f t="shared" si="66"/>
        <v>128</v>
      </c>
      <c r="Y101" s="94">
        <f t="shared" si="66"/>
        <v>128</v>
      </c>
      <c r="Z101" s="94">
        <f t="shared" si="66"/>
        <v>128</v>
      </c>
      <c r="AA101" s="94">
        <f t="shared" si="66"/>
        <v>128</v>
      </c>
      <c r="AB101" s="94">
        <f t="shared" si="66"/>
        <v>128</v>
      </c>
      <c r="AC101" s="94">
        <f t="shared" si="66"/>
        <v>128</v>
      </c>
      <c r="AD101" s="94">
        <f t="shared" si="66"/>
        <v>128</v>
      </c>
      <c r="AE101" s="94">
        <f t="shared" si="66"/>
        <v>140</v>
      </c>
      <c r="AF101" s="94">
        <f t="shared" si="66"/>
        <v>140</v>
      </c>
      <c r="AG101" s="94">
        <f t="shared" si="66"/>
        <v>143</v>
      </c>
      <c r="AH101" s="94">
        <f t="shared" si="66"/>
        <v>147</v>
      </c>
      <c r="AI101" s="94">
        <f t="shared" si="66"/>
        <v>150</v>
      </c>
      <c r="AJ101" s="94">
        <f t="shared" si="66"/>
        <v>153</v>
      </c>
      <c r="AK101" s="94">
        <f t="shared" si="66"/>
        <v>156</v>
      </c>
      <c r="AL101" s="94">
        <f t="shared" si="66"/>
        <v>159</v>
      </c>
      <c r="AM101" s="94">
        <f t="shared" si="65"/>
        <v>162</v>
      </c>
      <c r="AN101" s="94">
        <f t="shared" si="65"/>
        <v>164</v>
      </c>
      <c r="AO101" s="94">
        <f t="shared" si="65"/>
        <v>164</v>
      </c>
      <c r="AP101" s="95">
        <f t="shared" si="65"/>
        <v>164</v>
      </c>
      <c r="AQ101" s="64"/>
      <c r="AT101" s="38"/>
      <c r="AU101" s="39"/>
      <c r="BL101" s="40"/>
      <c r="BM101" s="37"/>
    </row>
    <row r="102" spans="20:65">
      <c r="T102" s="64"/>
      <c r="U102" s="302">
        <v>0</v>
      </c>
      <c r="V102" s="50">
        <f t="shared" si="63"/>
        <v>1500</v>
      </c>
      <c r="W102" s="93">
        <f t="shared" ref="W102:AL102" si="67">ROUND(14.7*128/W31,0)</f>
        <v>128</v>
      </c>
      <c r="X102" s="94">
        <f t="shared" si="67"/>
        <v>128</v>
      </c>
      <c r="Y102" s="94">
        <f t="shared" si="67"/>
        <v>128</v>
      </c>
      <c r="Z102" s="94">
        <f t="shared" si="67"/>
        <v>128</v>
      </c>
      <c r="AA102" s="94">
        <f t="shared" si="67"/>
        <v>128</v>
      </c>
      <c r="AB102" s="94">
        <f t="shared" si="67"/>
        <v>128</v>
      </c>
      <c r="AC102" s="94">
        <f t="shared" si="67"/>
        <v>128</v>
      </c>
      <c r="AD102" s="94">
        <f t="shared" si="67"/>
        <v>128</v>
      </c>
      <c r="AE102" s="94">
        <f t="shared" si="67"/>
        <v>132</v>
      </c>
      <c r="AF102" s="94">
        <f t="shared" si="67"/>
        <v>136</v>
      </c>
      <c r="AG102" s="94">
        <f t="shared" si="67"/>
        <v>143</v>
      </c>
      <c r="AH102" s="94">
        <f t="shared" si="67"/>
        <v>145</v>
      </c>
      <c r="AI102" s="94">
        <f t="shared" si="67"/>
        <v>147</v>
      </c>
      <c r="AJ102" s="94">
        <f t="shared" si="67"/>
        <v>150</v>
      </c>
      <c r="AK102" s="94">
        <f t="shared" si="67"/>
        <v>153</v>
      </c>
      <c r="AL102" s="94">
        <f t="shared" si="67"/>
        <v>156</v>
      </c>
      <c r="AM102" s="94">
        <f t="shared" si="65"/>
        <v>159</v>
      </c>
      <c r="AN102" s="94">
        <f t="shared" si="65"/>
        <v>162</v>
      </c>
      <c r="AO102" s="94">
        <f t="shared" si="65"/>
        <v>162</v>
      </c>
      <c r="AP102" s="95">
        <f t="shared" si="65"/>
        <v>162</v>
      </c>
      <c r="AQ102" s="64"/>
      <c r="AT102" s="38"/>
      <c r="AU102" s="39"/>
      <c r="BL102" s="40"/>
      <c r="BM102" s="37"/>
    </row>
    <row r="103" spans="20:65">
      <c r="T103" s="64"/>
      <c r="U103" s="302">
        <v>0</v>
      </c>
      <c r="V103" s="50">
        <f t="shared" si="63"/>
        <v>2000</v>
      </c>
      <c r="W103" s="93">
        <f t="shared" ref="W103:AL103" si="68">ROUND(14.7*128/W32,0)</f>
        <v>128</v>
      </c>
      <c r="X103" s="94">
        <f t="shared" si="68"/>
        <v>128</v>
      </c>
      <c r="Y103" s="94">
        <f t="shared" si="68"/>
        <v>128</v>
      </c>
      <c r="Z103" s="94">
        <f t="shared" si="68"/>
        <v>128</v>
      </c>
      <c r="AA103" s="94">
        <f t="shared" si="68"/>
        <v>128</v>
      </c>
      <c r="AB103" s="94">
        <f t="shared" si="68"/>
        <v>128</v>
      </c>
      <c r="AC103" s="94">
        <f t="shared" si="68"/>
        <v>128</v>
      </c>
      <c r="AD103" s="94">
        <f t="shared" si="68"/>
        <v>128</v>
      </c>
      <c r="AE103" s="94">
        <f t="shared" si="68"/>
        <v>132</v>
      </c>
      <c r="AF103" s="94">
        <f t="shared" si="68"/>
        <v>136</v>
      </c>
      <c r="AG103" s="94">
        <f t="shared" si="68"/>
        <v>140</v>
      </c>
      <c r="AH103" s="94">
        <f t="shared" si="68"/>
        <v>144</v>
      </c>
      <c r="AI103" s="94">
        <f t="shared" si="68"/>
        <v>147</v>
      </c>
      <c r="AJ103" s="94">
        <f t="shared" si="68"/>
        <v>149</v>
      </c>
      <c r="AK103" s="94">
        <f t="shared" si="68"/>
        <v>152</v>
      </c>
      <c r="AL103" s="94">
        <f t="shared" si="68"/>
        <v>155</v>
      </c>
      <c r="AM103" s="94">
        <f t="shared" si="65"/>
        <v>158</v>
      </c>
      <c r="AN103" s="94">
        <f t="shared" si="65"/>
        <v>161</v>
      </c>
      <c r="AO103" s="94">
        <f t="shared" si="65"/>
        <v>161</v>
      </c>
      <c r="AP103" s="95">
        <f t="shared" si="65"/>
        <v>161</v>
      </c>
      <c r="AQ103" s="64"/>
      <c r="AT103" s="38"/>
      <c r="AU103" s="39"/>
      <c r="BL103" s="40"/>
      <c r="BM103" s="37"/>
    </row>
    <row r="104" spans="20:65">
      <c r="T104" s="64"/>
      <c r="U104" s="302">
        <v>0</v>
      </c>
      <c r="V104" s="50">
        <f t="shared" si="63"/>
        <v>2500</v>
      </c>
      <c r="W104" s="93">
        <f t="shared" ref="W104:AL104" si="69">ROUND(14.7*128/W33,0)</f>
        <v>128</v>
      </c>
      <c r="X104" s="94">
        <f t="shared" si="69"/>
        <v>128</v>
      </c>
      <c r="Y104" s="94">
        <f t="shared" si="69"/>
        <v>128</v>
      </c>
      <c r="Z104" s="94">
        <f t="shared" si="69"/>
        <v>128</v>
      </c>
      <c r="AA104" s="94">
        <f t="shared" si="69"/>
        <v>128</v>
      </c>
      <c r="AB104" s="94">
        <f t="shared" si="69"/>
        <v>128</v>
      </c>
      <c r="AC104" s="94">
        <f t="shared" si="69"/>
        <v>128</v>
      </c>
      <c r="AD104" s="94">
        <f t="shared" si="69"/>
        <v>128</v>
      </c>
      <c r="AE104" s="94">
        <f t="shared" si="69"/>
        <v>131</v>
      </c>
      <c r="AF104" s="94">
        <f t="shared" si="69"/>
        <v>133</v>
      </c>
      <c r="AG104" s="94">
        <f t="shared" si="69"/>
        <v>136</v>
      </c>
      <c r="AH104" s="94">
        <f t="shared" si="69"/>
        <v>140</v>
      </c>
      <c r="AI104" s="94">
        <f t="shared" si="69"/>
        <v>143</v>
      </c>
      <c r="AJ104" s="94">
        <f t="shared" si="69"/>
        <v>145</v>
      </c>
      <c r="AK104" s="94">
        <f t="shared" si="69"/>
        <v>148</v>
      </c>
      <c r="AL104" s="94">
        <f t="shared" si="69"/>
        <v>151</v>
      </c>
      <c r="AM104" s="94">
        <f t="shared" si="65"/>
        <v>154</v>
      </c>
      <c r="AN104" s="94">
        <f t="shared" si="65"/>
        <v>157</v>
      </c>
      <c r="AO104" s="94">
        <f t="shared" si="65"/>
        <v>157</v>
      </c>
      <c r="AP104" s="95">
        <f t="shared" si="65"/>
        <v>157</v>
      </c>
      <c r="AQ104" s="64"/>
      <c r="AT104" s="38"/>
      <c r="AU104" s="39"/>
      <c r="BL104" s="40"/>
      <c r="BM104" s="37"/>
    </row>
    <row r="105" spans="20:65">
      <c r="T105" s="64"/>
      <c r="U105" s="302">
        <v>0</v>
      </c>
      <c r="V105" s="51">
        <f t="shared" si="63"/>
        <v>3000</v>
      </c>
      <c r="W105" s="93">
        <f t="shared" ref="W105:AL105" si="70">ROUND(14.7*128/W34,0)</f>
        <v>128</v>
      </c>
      <c r="X105" s="94">
        <f t="shared" si="70"/>
        <v>128</v>
      </c>
      <c r="Y105" s="94">
        <f t="shared" si="70"/>
        <v>128</v>
      </c>
      <c r="Z105" s="94">
        <f t="shared" si="70"/>
        <v>128</v>
      </c>
      <c r="AA105" s="94">
        <f t="shared" si="70"/>
        <v>128</v>
      </c>
      <c r="AB105" s="94">
        <f t="shared" si="70"/>
        <v>128</v>
      </c>
      <c r="AC105" s="94">
        <f t="shared" si="70"/>
        <v>128</v>
      </c>
      <c r="AD105" s="94">
        <f t="shared" si="70"/>
        <v>128</v>
      </c>
      <c r="AE105" s="94">
        <f t="shared" si="70"/>
        <v>131</v>
      </c>
      <c r="AF105" s="94">
        <f t="shared" si="70"/>
        <v>133</v>
      </c>
      <c r="AG105" s="94">
        <f t="shared" si="70"/>
        <v>134</v>
      </c>
      <c r="AH105" s="94">
        <f t="shared" si="70"/>
        <v>142</v>
      </c>
      <c r="AI105" s="94">
        <f t="shared" si="70"/>
        <v>160</v>
      </c>
      <c r="AJ105" s="94">
        <f t="shared" si="70"/>
        <v>166</v>
      </c>
      <c r="AK105" s="94">
        <f t="shared" si="70"/>
        <v>170</v>
      </c>
      <c r="AL105" s="94">
        <f t="shared" si="70"/>
        <v>172</v>
      </c>
      <c r="AM105" s="94">
        <f t="shared" si="65"/>
        <v>175</v>
      </c>
      <c r="AN105" s="94">
        <f t="shared" si="65"/>
        <v>178</v>
      </c>
      <c r="AO105" s="94">
        <f t="shared" si="65"/>
        <v>178</v>
      </c>
      <c r="AP105" s="95">
        <f t="shared" si="65"/>
        <v>178</v>
      </c>
      <c r="AQ105" s="64"/>
      <c r="AT105" s="38"/>
      <c r="AU105" s="39"/>
      <c r="BL105" s="40"/>
      <c r="BM105" s="37"/>
    </row>
    <row r="106" spans="20:65">
      <c r="T106" s="64"/>
      <c r="U106" s="302">
        <v>0</v>
      </c>
      <c r="V106" s="51">
        <f t="shared" si="63"/>
        <v>3500</v>
      </c>
      <c r="W106" s="93">
        <f t="shared" ref="W106:AL106" si="71">ROUND(14.7*128/W35,0)</f>
        <v>128</v>
      </c>
      <c r="X106" s="94">
        <f t="shared" si="71"/>
        <v>128</v>
      </c>
      <c r="Y106" s="94">
        <f t="shared" si="71"/>
        <v>128</v>
      </c>
      <c r="Z106" s="94">
        <f t="shared" si="71"/>
        <v>128</v>
      </c>
      <c r="AA106" s="94">
        <f t="shared" si="71"/>
        <v>128</v>
      </c>
      <c r="AB106" s="94">
        <f t="shared" si="71"/>
        <v>128</v>
      </c>
      <c r="AC106" s="94">
        <f t="shared" si="71"/>
        <v>128</v>
      </c>
      <c r="AD106" s="94">
        <f t="shared" si="71"/>
        <v>128</v>
      </c>
      <c r="AE106" s="94">
        <f t="shared" si="71"/>
        <v>131</v>
      </c>
      <c r="AF106" s="94">
        <f t="shared" si="71"/>
        <v>133</v>
      </c>
      <c r="AG106" s="94">
        <f t="shared" si="71"/>
        <v>140</v>
      </c>
      <c r="AH106" s="94">
        <f t="shared" si="71"/>
        <v>154</v>
      </c>
      <c r="AI106" s="94">
        <f t="shared" si="71"/>
        <v>164</v>
      </c>
      <c r="AJ106" s="94">
        <f t="shared" si="71"/>
        <v>173</v>
      </c>
      <c r="AK106" s="94">
        <f t="shared" si="71"/>
        <v>174</v>
      </c>
      <c r="AL106" s="94">
        <f t="shared" si="71"/>
        <v>175</v>
      </c>
      <c r="AM106" s="94">
        <f t="shared" si="65"/>
        <v>178</v>
      </c>
      <c r="AN106" s="94">
        <f t="shared" si="65"/>
        <v>179</v>
      </c>
      <c r="AO106" s="94">
        <f t="shared" si="65"/>
        <v>179</v>
      </c>
      <c r="AP106" s="95">
        <f t="shared" si="65"/>
        <v>179</v>
      </c>
      <c r="AQ106" s="64"/>
      <c r="AT106" s="38"/>
      <c r="AU106" s="39"/>
      <c r="BL106" s="40"/>
      <c r="BM106" s="37"/>
    </row>
    <row r="107" spans="20:65">
      <c r="T107" s="64"/>
      <c r="U107" s="302">
        <v>0</v>
      </c>
      <c r="V107" s="51">
        <f t="shared" si="63"/>
        <v>4000</v>
      </c>
      <c r="W107" s="93">
        <f t="shared" ref="W107:AL107" si="72">ROUND(14.7*128/W36,0)</f>
        <v>128</v>
      </c>
      <c r="X107" s="94">
        <f t="shared" si="72"/>
        <v>128</v>
      </c>
      <c r="Y107" s="94">
        <f t="shared" si="72"/>
        <v>128</v>
      </c>
      <c r="Z107" s="94">
        <f t="shared" si="72"/>
        <v>128</v>
      </c>
      <c r="AA107" s="94">
        <f t="shared" si="72"/>
        <v>128</v>
      </c>
      <c r="AB107" s="94">
        <f t="shared" si="72"/>
        <v>128</v>
      </c>
      <c r="AC107" s="94">
        <f t="shared" si="72"/>
        <v>128</v>
      </c>
      <c r="AD107" s="94">
        <f t="shared" si="72"/>
        <v>128</v>
      </c>
      <c r="AE107" s="94">
        <f t="shared" si="72"/>
        <v>133</v>
      </c>
      <c r="AF107" s="94">
        <f t="shared" si="72"/>
        <v>138</v>
      </c>
      <c r="AG107" s="94">
        <f t="shared" si="72"/>
        <v>151</v>
      </c>
      <c r="AH107" s="94">
        <f t="shared" si="72"/>
        <v>162</v>
      </c>
      <c r="AI107" s="94">
        <f t="shared" si="72"/>
        <v>168</v>
      </c>
      <c r="AJ107" s="94">
        <f t="shared" si="72"/>
        <v>175</v>
      </c>
      <c r="AK107" s="94">
        <f t="shared" si="72"/>
        <v>177</v>
      </c>
      <c r="AL107" s="94">
        <f t="shared" si="72"/>
        <v>178</v>
      </c>
      <c r="AM107" s="94">
        <f t="shared" si="65"/>
        <v>181</v>
      </c>
      <c r="AN107" s="94">
        <f t="shared" si="65"/>
        <v>184</v>
      </c>
      <c r="AO107" s="94">
        <f t="shared" si="65"/>
        <v>184</v>
      </c>
      <c r="AP107" s="95">
        <f t="shared" si="65"/>
        <v>184</v>
      </c>
      <c r="AQ107" s="64"/>
      <c r="AT107" s="38"/>
      <c r="AU107" s="39"/>
      <c r="BL107" s="40"/>
      <c r="BM107" s="37"/>
    </row>
    <row r="108" spans="20:65">
      <c r="T108" s="64"/>
      <c r="U108" s="302">
        <v>0</v>
      </c>
      <c r="V108" s="51">
        <f t="shared" si="63"/>
        <v>4500</v>
      </c>
      <c r="W108" s="93">
        <f t="shared" ref="W108:AL108" si="73">ROUND(14.7*128/W37,0)</f>
        <v>128</v>
      </c>
      <c r="X108" s="94">
        <f t="shared" si="73"/>
        <v>128</v>
      </c>
      <c r="Y108" s="94">
        <f t="shared" si="73"/>
        <v>128</v>
      </c>
      <c r="Z108" s="94">
        <f t="shared" si="73"/>
        <v>128</v>
      </c>
      <c r="AA108" s="94">
        <f t="shared" si="73"/>
        <v>128</v>
      </c>
      <c r="AB108" s="94">
        <f t="shared" si="73"/>
        <v>128</v>
      </c>
      <c r="AC108" s="94">
        <f t="shared" si="73"/>
        <v>133</v>
      </c>
      <c r="AD108" s="94">
        <f t="shared" si="73"/>
        <v>137</v>
      </c>
      <c r="AE108" s="94">
        <f t="shared" si="73"/>
        <v>140</v>
      </c>
      <c r="AF108" s="94">
        <f t="shared" si="73"/>
        <v>147</v>
      </c>
      <c r="AG108" s="94">
        <f t="shared" si="73"/>
        <v>156</v>
      </c>
      <c r="AH108" s="94">
        <f t="shared" si="73"/>
        <v>164</v>
      </c>
      <c r="AI108" s="94">
        <f t="shared" si="73"/>
        <v>170</v>
      </c>
      <c r="AJ108" s="94">
        <f t="shared" si="73"/>
        <v>174</v>
      </c>
      <c r="AK108" s="94">
        <f t="shared" si="73"/>
        <v>175</v>
      </c>
      <c r="AL108" s="94">
        <f t="shared" si="73"/>
        <v>178</v>
      </c>
      <c r="AM108" s="94">
        <f t="shared" si="65"/>
        <v>181</v>
      </c>
      <c r="AN108" s="94">
        <f t="shared" si="65"/>
        <v>184</v>
      </c>
      <c r="AO108" s="94">
        <f t="shared" si="65"/>
        <v>184</v>
      </c>
      <c r="AP108" s="95">
        <f t="shared" si="65"/>
        <v>184</v>
      </c>
      <c r="AQ108" s="64"/>
      <c r="AT108" s="38"/>
      <c r="AU108" s="39"/>
      <c r="BL108" s="40"/>
      <c r="BM108" s="37"/>
    </row>
    <row r="109" spans="20:65">
      <c r="T109" s="64"/>
      <c r="U109" s="302">
        <v>0</v>
      </c>
      <c r="V109" s="51">
        <f t="shared" si="63"/>
        <v>5000</v>
      </c>
      <c r="W109" s="93">
        <f t="shared" ref="W109:AL109" si="74">ROUND(14.7*128/W38,0)</f>
        <v>128</v>
      </c>
      <c r="X109" s="94">
        <f t="shared" si="74"/>
        <v>128</v>
      </c>
      <c r="Y109" s="94">
        <f t="shared" si="74"/>
        <v>128</v>
      </c>
      <c r="Z109" s="94">
        <f t="shared" si="74"/>
        <v>128</v>
      </c>
      <c r="AA109" s="94">
        <f t="shared" si="74"/>
        <v>128</v>
      </c>
      <c r="AB109" s="94">
        <f t="shared" si="74"/>
        <v>130</v>
      </c>
      <c r="AC109" s="94">
        <f t="shared" si="74"/>
        <v>133</v>
      </c>
      <c r="AD109" s="94">
        <f t="shared" si="74"/>
        <v>140</v>
      </c>
      <c r="AE109" s="94">
        <f t="shared" si="74"/>
        <v>147</v>
      </c>
      <c r="AF109" s="94">
        <f t="shared" si="74"/>
        <v>154</v>
      </c>
      <c r="AG109" s="94">
        <f t="shared" si="74"/>
        <v>159</v>
      </c>
      <c r="AH109" s="94">
        <f t="shared" si="74"/>
        <v>164</v>
      </c>
      <c r="AI109" s="94">
        <f t="shared" si="74"/>
        <v>172</v>
      </c>
      <c r="AJ109" s="94">
        <f t="shared" si="74"/>
        <v>178</v>
      </c>
      <c r="AK109" s="94">
        <f t="shared" si="74"/>
        <v>180</v>
      </c>
      <c r="AL109" s="94">
        <f t="shared" si="74"/>
        <v>181</v>
      </c>
      <c r="AM109" s="94">
        <f t="shared" si="65"/>
        <v>184</v>
      </c>
      <c r="AN109" s="94">
        <f t="shared" si="65"/>
        <v>187</v>
      </c>
      <c r="AO109" s="94">
        <f t="shared" si="65"/>
        <v>187</v>
      </c>
      <c r="AP109" s="95">
        <f t="shared" si="65"/>
        <v>187</v>
      </c>
      <c r="AQ109" s="64"/>
      <c r="AT109" s="38"/>
      <c r="AU109" s="39"/>
      <c r="BL109" s="40"/>
      <c r="BM109" s="37"/>
    </row>
    <row r="110" spans="20:65">
      <c r="T110" s="64"/>
      <c r="U110" s="302">
        <v>0</v>
      </c>
      <c r="V110" s="51">
        <f t="shared" si="63"/>
        <v>5500</v>
      </c>
      <c r="W110" s="93">
        <f t="shared" ref="W110:AL110" si="75">ROUND(14.7*128/W39,0)</f>
        <v>128</v>
      </c>
      <c r="X110" s="94">
        <f t="shared" si="75"/>
        <v>128</v>
      </c>
      <c r="Y110" s="94">
        <f t="shared" si="75"/>
        <v>128</v>
      </c>
      <c r="Z110" s="94">
        <f t="shared" si="75"/>
        <v>128</v>
      </c>
      <c r="AA110" s="94">
        <f t="shared" si="75"/>
        <v>130</v>
      </c>
      <c r="AB110" s="94">
        <f t="shared" si="75"/>
        <v>134</v>
      </c>
      <c r="AC110" s="94">
        <f t="shared" si="75"/>
        <v>138</v>
      </c>
      <c r="AD110" s="94">
        <f t="shared" si="75"/>
        <v>147</v>
      </c>
      <c r="AE110" s="94">
        <f t="shared" si="75"/>
        <v>154</v>
      </c>
      <c r="AF110" s="94">
        <f t="shared" si="75"/>
        <v>158</v>
      </c>
      <c r="AG110" s="94">
        <f t="shared" si="75"/>
        <v>162</v>
      </c>
      <c r="AH110" s="94">
        <f t="shared" si="75"/>
        <v>172</v>
      </c>
      <c r="AI110" s="94">
        <f t="shared" si="75"/>
        <v>177</v>
      </c>
      <c r="AJ110" s="94">
        <f t="shared" si="75"/>
        <v>182</v>
      </c>
      <c r="AK110" s="94">
        <f t="shared" si="75"/>
        <v>185</v>
      </c>
      <c r="AL110" s="94">
        <f t="shared" si="75"/>
        <v>187</v>
      </c>
      <c r="AM110" s="94">
        <f t="shared" si="65"/>
        <v>190</v>
      </c>
      <c r="AN110" s="94">
        <f t="shared" si="65"/>
        <v>192</v>
      </c>
      <c r="AO110" s="94">
        <f t="shared" si="65"/>
        <v>192</v>
      </c>
      <c r="AP110" s="95">
        <f t="shared" si="65"/>
        <v>192</v>
      </c>
      <c r="AQ110" s="64"/>
      <c r="AT110" s="38"/>
      <c r="AU110" s="39"/>
      <c r="BL110" s="40"/>
      <c r="BM110" s="37"/>
    </row>
    <row r="111" spans="20:65">
      <c r="T111" s="64"/>
      <c r="U111" s="302">
        <v>0</v>
      </c>
      <c r="V111" s="51">
        <f t="shared" si="63"/>
        <v>6000</v>
      </c>
      <c r="W111" s="93">
        <f t="shared" ref="W111:AL111" si="76">ROUND(14.7*128/W40,0)</f>
        <v>131</v>
      </c>
      <c r="X111" s="94">
        <f t="shared" si="76"/>
        <v>131</v>
      </c>
      <c r="Y111" s="94">
        <f t="shared" si="76"/>
        <v>131</v>
      </c>
      <c r="Z111" s="94">
        <f t="shared" si="76"/>
        <v>131</v>
      </c>
      <c r="AA111" s="94">
        <f t="shared" si="76"/>
        <v>135</v>
      </c>
      <c r="AB111" s="94">
        <f t="shared" si="76"/>
        <v>140</v>
      </c>
      <c r="AC111" s="94">
        <f t="shared" si="76"/>
        <v>148</v>
      </c>
      <c r="AD111" s="94">
        <f t="shared" si="76"/>
        <v>159</v>
      </c>
      <c r="AE111" s="94">
        <f t="shared" si="76"/>
        <v>161</v>
      </c>
      <c r="AF111" s="94">
        <f t="shared" si="76"/>
        <v>164</v>
      </c>
      <c r="AG111" s="94">
        <f t="shared" si="76"/>
        <v>167</v>
      </c>
      <c r="AH111" s="94">
        <f t="shared" si="76"/>
        <v>173</v>
      </c>
      <c r="AI111" s="94">
        <f t="shared" si="76"/>
        <v>178</v>
      </c>
      <c r="AJ111" s="94">
        <f t="shared" si="76"/>
        <v>183</v>
      </c>
      <c r="AK111" s="94">
        <f t="shared" si="76"/>
        <v>189</v>
      </c>
      <c r="AL111" s="94">
        <f t="shared" si="76"/>
        <v>192</v>
      </c>
      <c r="AM111" s="94">
        <f t="shared" si="65"/>
        <v>195</v>
      </c>
      <c r="AN111" s="94">
        <f t="shared" si="65"/>
        <v>196</v>
      </c>
      <c r="AO111" s="94">
        <f t="shared" si="65"/>
        <v>196</v>
      </c>
      <c r="AP111" s="95">
        <f t="shared" si="65"/>
        <v>196</v>
      </c>
      <c r="AQ111" s="64"/>
      <c r="AT111" s="38"/>
      <c r="AU111" s="39"/>
      <c r="BL111" s="40"/>
      <c r="BM111" s="37"/>
    </row>
    <row r="112" spans="20:65">
      <c r="T112" s="64"/>
      <c r="U112" s="302">
        <v>0</v>
      </c>
      <c r="V112" s="51">
        <f t="shared" si="63"/>
        <v>6500</v>
      </c>
      <c r="W112" s="93">
        <f t="shared" ref="W112:AL112" si="77">ROUND(14.7*128/W41,0)</f>
        <v>133</v>
      </c>
      <c r="X112" s="94">
        <f t="shared" si="77"/>
        <v>133</v>
      </c>
      <c r="Y112" s="94">
        <f t="shared" si="77"/>
        <v>133</v>
      </c>
      <c r="Z112" s="94">
        <f t="shared" si="77"/>
        <v>138</v>
      </c>
      <c r="AA112" s="94">
        <f t="shared" si="77"/>
        <v>142</v>
      </c>
      <c r="AB112" s="94">
        <f t="shared" si="77"/>
        <v>148</v>
      </c>
      <c r="AC112" s="94">
        <f t="shared" si="77"/>
        <v>156</v>
      </c>
      <c r="AD112" s="94">
        <f t="shared" si="77"/>
        <v>164</v>
      </c>
      <c r="AE112" s="94">
        <f t="shared" si="77"/>
        <v>164</v>
      </c>
      <c r="AF112" s="94">
        <f t="shared" si="77"/>
        <v>166</v>
      </c>
      <c r="AG112" s="94">
        <f t="shared" si="77"/>
        <v>170</v>
      </c>
      <c r="AH112" s="94">
        <f t="shared" si="77"/>
        <v>176</v>
      </c>
      <c r="AI112" s="94">
        <f t="shared" si="77"/>
        <v>181</v>
      </c>
      <c r="AJ112" s="94">
        <f t="shared" si="77"/>
        <v>186</v>
      </c>
      <c r="AK112" s="94">
        <f t="shared" si="77"/>
        <v>190</v>
      </c>
      <c r="AL112" s="94">
        <f t="shared" si="77"/>
        <v>192</v>
      </c>
      <c r="AM112" s="94">
        <f t="shared" si="65"/>
        <v>195</v>
      </c>
      <c r="AN112" s="94">
        <f t="shared" si="65"/>
        <v>196</v>
      </c>
      <c r="AO112" s="94">
        <f t="shared" si="65"/>
        <v>196</v>
      </c>
      <c r="AP112" s="95">
        <f t="shared" si="65"/>
        <v>196</v>
      </c>
      <c r="AQ112" s="64"/>
      <c r="AT112" s="38"/>
      <c r="AU112" s="39"/>
      <c r="BL112" s="40"/>
      <c r="BM112" s="37"/>
    </row>
    <row r="113" spans="20:65">
      <c r="T113" s="64"/>
      <c r="U113" s="302">
        <v>0</v>
      </c>
      <c r="V113" s="51">
        <f t="shared" si="63"/>
        <v>7000</v>
      </c>
      <c r="W113" s="93">
        <f t="shared" ref="W113:AL113" si="78">ROUND(14.7*128/W42,0)</f>
        <v>134</v>
      </c>
      <c r="X113" s="94">
        <f t="shared" si="78"/>
        <v>134</v>
      </c>
      <c r="Y113" s="94">
        <f t="shared" si="78"/>
        <v>134</v>
      </c>
      <c r="Z113" s="94">
        <f t="shared" si="78"/>
        <v>140</v>
      </c>
      <c r="AA113" s="94">
        <f t="shared" si="78"/>
        <v>145</v>
      </c>
      <c r="AB113" s="94">
        <f t="shared" si="78"/>
        <v>154</v>
      </c>
      <c r="AC113" s="94">
        <f t="shared" si="78"/>
        <v>162</v>
      </c>
      <c r="AD113" s="94">
        <f t="shared" si="78"/>
        <v>166</v>
      </c>
      <c r="AE113" s="94">
        <f t="shared" si="78"/>
        <v>167</v>
      </c>
      <c r="AF113" s="94">
        <f t="shared" si="78"/>
        <v>168</v>
      </c>
      <c r="AG113" s="94">
        <f t="shared" si="78"/>
        <v>172</v>
      </c>
      <c r="AH113" s="94">
        <f t="shared" si="78"/>
        <v>178</v>
      </c>
      <c r="AI113" s="94">
        <f t="shared" si="78"/>
        <v>183</v>
      </c>
      <c r="AJ113" s="94">
        <f t="shared" si="78"/>
        <v>190</v>
      </c>
      <c r="AK113" s="94">
        <f t="shared" si="78"/>
        <v>196</v>
      </c>
      <c r="AL113" s="94">
        <f t="shared" si="78"/>
        <v>196</v>
      </c>
      <c r="AM113" s="94">
        <f t="shared" si="65"/>
        <v>196</v>
      </c>
      <c r="AN113" s="94">
        <f t="shared" si="65"/>
        <v>196</v>
      </c>
      <c r="AO113" s="94">
        <f t="shared" si="65"/>
        <v>196</v>
      </c>
      <c r="AP113" s="95">
        <f t="shared" si="65"/>
        <v>196</v>
      </c>
      <c r="AQ113" s="64"/>
      <c r="AT113" s="38"/>
      <c r="AU113" s="39"/>
      <c r="BL113" s="40"/>
      <c r="BM113" s="37"/>
    </row>
    <row r="114" spans="20:65" ht="13.5" thickBot="1">
      <c r="T114" s="64"/>
      <c r="U114" s="303">
        <v>0</v>
      </c>
      <c r="V114" s="57">
        <f t="shared" si="63"/>
        <v>7500</v>
      </c>
      <c r="W114" s="96">
        <f t="shared" ref="W114:AL114" si="79">ROUND(14.7*128/W43,0)</f>
        <v>134</v>
      </c>
      <c r="X114" s="97">
        <f t="shared" si="79"/>
        <v>134</v>
      </c>
      <c r="Y114" s="97">
        <f t="shared" si="79"/>
        <v>134</v>
      </c>
      <c r="Z114" s="97">
        <f t="shared" si="79"/>
        <v>140</v>
      </c>
      <c r="AA114" s="97">
        <f t="shared" si="79"/>
        <v>145</v>
      </c>
      <c r="AB114" s="97">
        <f t="shared" si="79"/>
        <v>154</v>
      </c>
      <c r="AC114" s="97">
        <f t="shared" si="79"/>
        <v>162</v>
      </c>
      <c r="AD114" s="97">
        <f t="shared" si="79"/>
        <v>166</v>
      </c>
      <c r="AE114" s="97">
        <f t="shared" si="79"/>
        <v>167</v>
      </c>
      <c r="AF114" s="97">
        <f t="shared" si="79"/>
        <v>168</v>
      </c>
      <c r="AG114" s="97">
        <f t="shared" si="79"/>
        <v>172</v>
      </c>
      <c r="AH114" s="97">
        <f t="shared" si="79"/>
        <v>178</v>
      </c>
      <c r="AI114" s="97">
        <f t="shared" si="79"/>
        <v>183</v>
      </c>
      <c r="AJ114" s="97">
        <f t="shared" si="79"/>
        <v>190</v>
      </c>
      <c r="AK114" s="97">
        <f t="shared" si="79"/>
        <v>196</v>
      </c>
      <c r="AL114" s="97">
        <f t="shared" si="79"/>
        <v>196</v>
      </c>
      <c r="AM114" s="97">
        <f t="shared" si="65"/>
        <v>196</v>
      </c>
      <c r="AN114" s="97">
        <f t="shared" si="65"/>
        <v>196</v>
      </c>
      <c r="AO114" s="97">
        <f t="shared" si="65"/>
        <v>196</v>
      </c>
      <c r="AP114" s="98">
        <f t="shared" si="65"/>
        <v>196</v>
      </c>
      <c r="AQ114" s="64"/>
      <c r="AT114" s="38"/>
      <c r="AU114" s="39"/>
      <c r="BL114" s="40"/>
      <c r="BM114" s="37"/>
    </row>
    <row r="115" spans="20:65" ht="12" customHeight="1">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U115" s="37"/>
      <c r="AV115" s="37"/>
      <c r="AW115" s="37"/>
      <c r="AX115" s="37"/>
      <c r="AY115" s="37"/>
      <c r="AZ115" s="37"/>
      <c r="BA115" s="37"/>
      <c r="BB115" s="37"/>
      <c r="BC115" s="37"/>
      <c r="BD115" s="37"/>
      <c r="BE115" s="37"/>
      <c r="BF115" s="37"/>
      <c r="BG115" s="37"/>
      <c r="BH115" s="37"/>
      <c r="BI115" s="37"/>
      <c r="BJ115" s="37"/>
      <c r="BK115" s="37"/>
      <c r="BL115" s="37"/>
      <c r="BM115" s="37"/>
    </row>
    <row r="116" spans="20:65" ht="12" customHeight="1">
      <c r="AU116" s="37"/>
      <c r="AV116" s="37"/>
      <c r="AW116" s="37"/>
      <c r="AX116" s="37"/>
      <c r="AY116" s="37"/>
      <c r="AZ116" s="37"/>
      <c r="BA116" s="37"/>
      <c r="BB116" s="37"/>
      <c r="BC116" s="37"/>
      <c r="BD116" s="37"/>
      <c r="BE116" s="37"/>
      <c r="BF116" s="37"/>
      <c r="BG116" s="37"/>
      <c r="BH116" s="37"/>
      <c r="BI116" s="37"/>
      <c r="BJ116" s="37"/>
      <c r="BK116" s="37"/>
      <c r="BL116" s="37"/>
      <c r="BM116" s="37"/>
    </row>
  </sheetData>
  <mergeCells count="48">
    <mergeCell ref="BM39:CG39"/>
    <mergeCell ref="W50:AP50"/>
    <mergeCell ref="W74:AP74"/>
    <mergeCell ref="W98:AP98"/>
    <mergeCell ref="W97:AP97"/>
    <mergeCell ref="AR32:BI32"/>
    <mergeCell ref="W75:AP75"/>
    <mergeCell ref="AJ23:AK23"/>
    <mergeCell ref="AH23:AI23"/>
    <mergeCell ref="AM23:AN23"/>
    <mergeCell ref="W27:AP27"/>
    <mergeCell ref="W26:AP26"/>
    <mergeCell ref="Y24:Z24"/>
    <mergeCell ref="BM12:CG12"/>
    <mergeCell ref="AR1:BK1"/>
    <mergeCell ref="T94:AQ96"/>
    <mergeCell ref="U6:U20"/>
    <mergeCell ref="U1:V1"/>
    <mergeCell ref="AA21:AA22"/>
    <mergeCell ref="AD2:AE2"/>
    <mergeCell ref="Z1:AA1"/>
    <mergeCell ref="AJ22:AK22"/>
    <mergeCell ref="AM22:AN22"/>
    <mergeCell ref="AD1:AE1"/>
    <mergeCell ref="AH22:AI22"/>
    <mergeCell ref="Y21:Z21"/>
    <mergeCell ref="W4:AP4"/>
    <mergeCell ref="W3:AP3"/>
    <mergeCell ref="W1:Y1"/>
    <mergeCell ref="U100:U114"/>
    <mergeCell ref="U2:V2"/>
    <mergeCell ref="T73:AQ73"/>
    <mergeCell ref="U77:U91"/>
    <mergeCell ref="W51:AP51"/>
    <mergeCell ref="U25:AA25"/>
    <mergeCell ref="V23:X24"/>
    <mergeCell ref="Y23:Z23"/>
    <mergeCell ref="AA23:AA24"/>
    <mergeCell ref="U3:V5"/>
    <mergeCell ref="U26:V28"/>
    <mergeCell ref="U50:V52"/>
    <mergeCell ref="U74:V76"/>
    <mergeCell ref="U53:U67"/>
    <mergeCell ref="U29:U43"/>
    <mergeCell ref="Z2:AA2"/>
    <mergeCell ref="Y22:Z22"/>
    <mergeCell ref="W2:Y2"/>
    <mergeCell ref="V21:X22"/>
  </mergeCells>
  <phoneticPr fontId="1" type="noConversion"/>
  <conditionalFormatting sqref="W29:AP43">
    <cfRule type="cellIs" dxfId="85" priority="1" stopIfTrue="1" operator="greaterThan">
      <formula>W53</formula>
    </cfRule>
    <cfRule type="cellIs" dxfId="84" priority="2" stopIfTrue="1" operator="lessThan">
      <formula>W53</formula>
    </cfRule>
  </conditionalFormatting>
  <conditionalFormatting sqref="W6:AP20">
    <cfRule type="cellIs" dxfId="83" priority="3" stopIfTrue="1" operator="greaterThan">
      <formula>W29*1.005</formula>
    </cfRule>
    <cfRule type="cellIs" dxfId="82" priority="4" stopIfTrue="1" operator="lessThan">
      <formula>W29*0.995</formula>
    </cfRule>
  </conditionalFormatting>
  <conditionalFormatting sqref="AA21:AA24">
    <cfRule type="cellIs" dxfId="81" priority="5" stopIfTrue="1" operator="lessThan">
      <formula>0</formula>
    </cfRule>
    <cfRule type="cellIs" dxfId="80" priority="6" stopIfTrue="1" operator="greaterThan">
      <formula>0</formula>
    </cfRule>
  </conditionalFormatting>
  <conditionalFormatting sqref="W77:AP91">
    <cfRule type="cellIs" dxfId="79" priority="7" stopIfTrue="1" operator="equal">
      <formula>1</formula>
    </cfRule>
  </conditionalFormatting>
  <conditionalFormatting sqref="BN14:CG28 BN41:CG55">
    <cfRule type="cellIs" dxfId="78" priority="8" stopIfTrue="1" operator="greaterThanOrEqual">
      <formula>0.0001</formula>
    </cfRule>
    <cfRule type="cellIs" dxfId="77" priority="9" stopIfTrue="1" operator="lessThanOrEqual">
      <formula>-0.0001</formula>
    </cfRule>
    <cfRule type="cellIs" dxfId="76" priority="10" stopIfTrue="1" operator="between">
      <formula>-0.0001</formula>
      <formula>0.0001</formula>
    </cfRule>
  </conditionalFormatting>
  <printOptions horizontalCentered="1"/>
  <pageMargins left="0.3" right="0.3" top="1.5" bottom="0.3" header="0.5" footer="0.5"/>
  <pageSetup paperSize="17" scale="110" orientation="landscape" horizontalDpi="200" verticalDpi="200" r:id="rId1"/>
  <headerFooter alignWithMargins="0"/>
  <drawing r:id="rId2"/>
  <legacyDrawing r:id="rId3"/>
  <controls>
    <control shapeId="10269" r:id="rId4" name="SpinButton6"/>
    <control shapeId="10268" r:id="rId5" name="SpinButton5"/>
    <control shapeId="10266" r:id="rId6" name="SpinButton4"/>
    <control shapeId="10265" r:id="rId7" name="SpinButton3"/>
    <control shapeId="10259" r:id="rId8" name="CheckBox1"/>
    <control shapeId="10258" r:id="rId9" name="SpinButton2"/>
    <control shapeId="10257" r:id="rId10" name="SpinButton1"/>
  </controls>
</worksheet>
</file>

<file path=xl/worksheets/sheet6.xml><?xml version="1.0" encoding="utf-8"?>
<worksheet xmlns="http://schemas.openxmlformats.org/spreadsheetml/2006/main" xmlns:r="http://schemas.openxmlformats.org/officeDocument/2006/relationships">
  <sheetPr codeName="Sheet8"/>
  <dimension ref="A1:DE162"/>
  <sheetViews>
    <sheetView topLeftCell="F1" zoomScale="60" zoomScaleNormal="60" workbookViewId="0">
      <selection activeCell="W6" sqref="W6:AZ30"/>
    </sheetView>
  </sheetViews>
  <sheetFormatPr defaultColWidth="9.140625" defaultRowHeight="12.75"/>
  <cols>
    <col min="1" max="20" width="6.140625" style="37" customWidth="1"/>
    <col min="21" max="21" width="7.28515625" style="37" bestFit="1" customWidth="1"/>
    <col min="22" max="22" width="7" style="37" bestFit="1" customWidth="1"/>
    <col min="23" max="35" width="5.85546875" style="37" bestFit="1" customWidth="1"/>
    <col min="36" max="36" width="5.85546875" style="37" customWidth="1"/>
    <col min="37" max="38" width="5.85546875" style="37" bestFit="1" customWidth="1"/>
    <col min="39" max="39" width="5.85546875" style="37" customWidth="1"/>
    <col min="40" max="52" width="5.85546875" style="37" bestFit="1" customWidth="1"/>
    <col min="53" max="55" width="6.140625" style="37" customWidth="1"/>
    <col min="56" max="56" width="6.140625" style="38" customWidth="1"/>
    <col min="57" max="77" width="6.140625" style="39" customWidth="1"/>
    <col min="78" max="78" width="7" style="40" bestFit="1" customWidth="1"/>
    <col min="79" max="108" width="7" style="37" bestFit="1" customWidth="1"/>
    <col min="109" max="256" width="6.140625" style="37" customWidth="1"/>
    <col min="257" max="16384" width="9.140625" style="37"/>
  </cols>
  <sheetData>
    <row r="1" spans="1:108" ht="18" customHeight="1" thickBot="1">
      <c r="A1" s="75"/>
      <c r="B1" s="75"/>
      <c r="C1" s="75"/>
      <c r="D1" s="75"/>
      <c r="U1" s="359" t="s">
        <v>11</v>
      </c>
      <c r="V1" s="359"/>
      <c r="W1" s="296" t="s">
        <v>14</v>
      </c>
      <c r="X1" s="297"/>
      <c r="Y1" s="297"/>
      <c r="Z1" s="328" t="s">
        <v>12</v>
      </c>
      <c r="AA1" s="328"/>
      <c r="AB1" s="80">
        <v>15</v>
      </c>
      <c r="AC1" s="81"/>
      <c r="AD1" s="333" t="s">
        <v>13</v>
      </c>
      <c r="AE1" s="333"/>
      <c r="AF1" s="82">
        <v>15</v>
      </c>
      <c r="AG1" s="83"/>
      <c r="AH1" s="85"/>
      <c r="AI1" s="85"/>
      <c r="AJ1" s="85"/>
      <c r="AK1" s="84"/>
      <c r="AM1" s="88"/>
      <c r="AN1" s="78"/>
      <c r="AO1" s="78"/>
      <c r="AP1" s="78"/>
      <c r="AQ1" s="78"/>
      <c r="AR1" s="78"/>
      <c r="AS1" s="78"/>
      <c r="AT1" s="78"/>
      <c r="AU1" s="78"/>
      <c r="AV1" s="78"/>
      <c r="AW1" s="78"/>
      <c r="AX1" s="78"/>
      <c r="AY1" s="78"/>
      <c r="AZ1" s="78"/>
      <c r="BB1" s="304" t="s">
        <v>9</v>
      </c>
      <c r="BC1" s="305"/>
      <c r="BD1" s="305"/>
      <c r="BE1" s="305"/>
      <c r="BF1" s="305"/>
      <c r="BG1" s="305"/>
      <c r="BH1" s="305"/>
      <c r="BI1" s="305"/>
      <c r="BJ1" s="305"/>
      <c r="BK1" s="305"/>
      <c r="BL1" s="305"/>
      <c r="BM1" s="305"/>
      <c r="BN1" s="305"/>
      <c r="BO1" s="305"/>
      <c r="BP1" s="305"/>
      <c r="BQ1" s="305"/>
      <c r="BR1" s="305"/>
      <c r="BS1" s="305"/>
      <c r="BT1" s="305"/>
      <c r="BU1" s="305"/>
      <c r="BV1" s="305"/>
      <c r="BW1" s="305"/>
      <c r="BX1" s="306"/>
    </row>
    <row r="2" spans="1:108" ht="20.25" customHeight="1" thickBot="1">
      <c r="U2" s="351" t="s">
        <v>10</v>
      </c>
      <c r="V2" s="351"/>
      <c r="W2" s="299" t="s">
        <v>15</v>
      </c>
      <c r="X2" s="300"/>
      <c r="Y2" s="300"/>
      <c r="Z2" s="298">
        <f>-AB1</f>
        <v>-15</v>
      </c>
      <c r="AA2" s="298"/>
      <c r="AB2" s="86"/>
      <c r="AC2" s="86"/>
      <c r="AD2" s="320">
        <f>AF1</f>
        <v>15</v>
      </c>
      <c r="AE2" s="320"/>
      <c r="AF2" s="87"/>
      <c r="AH2" s="86"/>
      <c r="AI2" s="89" t="b">
        <v>0</v>
      </c>
      <c r="AJ2" s="85"/>
      <c r="AK2" s="86"/>
      <c r="AL2" s="88"/>
      <c r="AM2" s="88"/>
    </row>
    <row r="3" spans="1:108" ht="15" customHeight="1">
      <c r="A3" s="36"/>
      <c r="U3" s="278">
        <v>1</v>
      </c>
      <c r="V3" s="279"/>
      <c r="W3" s="288" t="s">
        <v>22</v>
      </c>
      <c r="X3" s="289"/>
      <c r="Y3" s="289"/>
      <c r="Z3" s="289"/>
      <c r="AA3" s="289"/>
      <c r="AB3" s="289"/>
      <c r="AC3" s="289"/>
      <c r="AD3" s="289"/>
      <c r="AE3" s="289"/>
      <c r="AF3" s="289"/>
      <c r="AG3" s="289"/>
      <c r="AH3" s="289"/>
      <c r="AI3" s="289"/>
      <c r="AJ3" s="289"/>
      <c r="AK3" s="289"/>
      <c r="AL3" s="289"/>
      <c r="AM3" s="289"/>
      <c r="AN3" s="289"/>
      <c r="AO3" s="289"/>
      <c r="AP3" s="289"/>
      <c r="AQ3" s="289"/>
      <c r="AR3" s="289"/>
      <c r="AS3" s="289"/>
      <c r="AT3" s="289"/>
      <c r="AU3" s="289"/>
      <c r="AV3" s="289"/>
      <c r="AW3" s="289"/>
      <c r="AX3" s="289"/>
      <c r="AY3" s="289"/>
      <c r="AZ3" s="290"/>
    </row>
    <row r="4" spans="1:108" ht="15" customHeight="1" thickBot="1">
      <c r="A4" s="36"/>
      <c r="U4" s="280"/>
      <c r="V4" s="281"/>
      <c r="W4" s="291" t="s">
        <v>0</v>
      </c>
      <c r="X4" s="292"/>
      <c r="Y4" s="292"/>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c r="AZ4" s="293"/>
    </row>
    <row r="5" spans="1:108" ht="15" customHeight="1" thickBot="1">
      <c r="A5" s="36"/>
      <c r="U5" s="282"/>
      <c r="V5" s="283"/>
      <c r="W5" s="175">
        <v>10</v>
      </c>
      <c r="X5" s="176">
        <v>20</v>
      </c>
      <c r="Y5" s="176">
        <v>30</v>
      </c>
      <c r="Z5" s="176">
        <v>40</v>
      </c>
      <c r="AA5" s="177">
        <v>50</v>
      </c>
      <c r="AB5" s="177">
        <v>60</v>
      </c>
      <c r="AC5" s="177">
        <v>70</v>
      </c>
      <c r="AD5" s="177">
        <v>80</v>
      </c>
      <c r="AE5" s="177">
        <v>90</v>
      </c>
      <c r="AF5" s="177">
        <v>100</v>
      </c>
      <c r="AG5" s="177">
        <v>120</v>
      </c>
      <c r="AH5" s="177">
        <v>140</v>
      </c>
      <c r="AI5" s="173">
        <v>150</v>
      </c>
      <c r="AJ5" s="173">
        <v>160</v>
      </c>
      <c r="AK5" s="173">
        <v>170</v>
      </c>
      <c r="AL5" s="173">
        <v>180</v>
      </c>
      <c r="AM5" s="173">
        <v>190</v>
      </c>
      <c r="AN5" s="173">
        <v>200</v>
      </c>
      <c r="AO5" s="173">
        <v>210</v>
      </c>
      <c r="AP5" s="173">
        <v>220</v>
      </c>
      <c r="AQ5" s="173">
        <v>230</v>
      </c>
      <c r="AR5" s="173">
        <v>240</v>
      </c>
      <c r="AS5" s="173">
        <v>250</v>
      </c>
      <c r="AT5" s="173">
        <v>260</v>
      </c>
      <c r="AU5" s="173">
        <v>270</v>
      </c>
      <c r="AV5" s="173">
        <v>280</v>
      </c>
      <c r="AW5" s="173">
        <v>290</v>
      </c>
      <c r="AX5" s="173">
        <v>300</v>
      </c>
      <c r="AY5" s="173">
        <v>310</v>
      </c>
      <c r="AZ5" s="174">
        <v>320</v>
      </c>
      <c r="BA5" s="86"/>
    </row>
    <row r="6" spans="1:108" ht="15" customHeight="1">
      <c r="A6" s="36"/>
      <c r="U6" s="301" t="s">
        <v>1</v>
      </c>
      <c r="V6" s="178">
        <v>500</v>
      </c>
      <c r="W6" s="204">
        <f>14.7*128/IF(AND($AI$2,W103),MIN($AL$32,MAX($AL$33,$AA$31+W136)),MIN($AL$32,MAX($AL$33,($AA$31+MAX(W136+$Z$2,MIN(W136+$AD$2,ROUND(AVERAGE(W136,W136,W136,W136,W136:X137),0)))))))</f>
        <v>14.7</v>
      </c>
      <c r="X6" s="202">
        <f t="shared" ref="X6:AZ6" si="0">14.7*128/IF(AND($AI$2,X103),MIN($AL$32,MAX($AL$33,$AA$31+X136)),MIN($AL$32,MAX($AL$33,($AA$31+MAX(X136+$Z$2,MIN(X136+$AD$2,ROUND(AVERAGE(X136,X136,X136,X136,X136:Y137),0)))))))</f>
        <v>14.7</v>
      </c>
      <c r="Y6" s="202">
        <f t="shared" si="0"/>
        <v>14.7</v>
      </c>
      <c r="Z6" s="202">
        <f t="shared" si="0"/>
        <v>14.7</v>
      </c>
      <c r="AA6" s="202">
        <f t="shared" si="0"/>
        <v>14.7</v>
      </c>
      <c r="AB6" s="202">
        <f t="shared" si="0"/>
        <v>14.7</v>
      </c>
      <c r="AC6" s="202">
        <f t="shared" si="0"/>
        <v>14.7</v>
      </c>
      <c r="AD6" s="202">
        <f t="shared" si="0"/>
        <v>14.586046511627906</v>
      </c>
      <c r="AE6" s="202">
        <f t="shared" si="0"/>
        <v>14.147368421052631</v>
      </c>
      <c r="AF6" s="202">
        <f t="shared" si="0"/>
        <v>13.536690647482013</v>
      </c>
      <c r="AG6" s="202">
        <f t="shared" si="0"/>
        <v>13.250704225352113</v>
      </c>
      <c r="AH6" s="202">
        <f t="shared" si="0"/>
        <v>13.066666666666666</v>
      </c>
      <c r="AI6" s="202">
        <f t="shared" si="0"/>
        <v>12.799999999999999</v>
      </c>
      <c r="AJ6" s="202">
        <f t="shared" si="0"/>
        <v>12.543999999999999</v>
      </c>
      <c r="AK6" s="202">
        <f t="shared" si="0"/>
        <v>12.378947368421052</v>
      </c>
      <c r="AL6" s="202">
        <f t="shared" si="0"/>
        <v>12.298039215686273</v>
      </c>
      <c r="AM6" s="202">
        <f t="shared" si="0"/>
        <v>12.218181818181817</v>
      </c>
      <c r="AN6" s="202">
        <f t="shared" si="0"/>
        <v>12.218181818181817</v>
      </c>
      <c r="AO6" s="202">
        <f t="shared" si="0"/>
        <v>12.139354838709677</v>
      </c>
      <c r="AP6" s="202">
        <f t="shared" si="0"/>
        <v>12.139354838709677</v>
      </c>
      <c r="AQ6" s="202">
        <f t="shared" si="0"/>
        <v>12.139354838709677</v>
      </c>
      <c r="AR6" s="202">
        <f t="shared" si="0"/>
        <v>12.139354838709677</v>
      </c>
      <c r="AS6" s="202">
        <f t="shared" si="0"/>
        <v>12.139354838709677</v>
      </c>
      <c r="AT6" s="202">
        <f t="shared" si="0"/>
        <v>12.139354838709677</v>
      </c>
      <c r="AU6" s="202">
        <f t="shared" si="0"/>
        <v>12.139354838709677</v>
      </c>
      <c r="AV6" s="202">
        <f t="shared" si="0"/>
        <v>12.139354838709677</v>
      </c>
      <c r="AW6" s="202">
        <f t="shared" si="0"/>
        <v>12.139354838709677</v>
      </c>
      <c r="AX6" s="202">
        <f t="shared" si="0"/>
        <v>12.139354838709677</v>
      </c>
      <c r="AY6" s="202">
        <f t="shared" si="0"/>
        <v>12.139354838709677</v>
      </c>
      <c r="AZ6" s="203">
        <f t="shared" si="0"/>
        <v>12.139354838709677</v>
      </c>
    </row>
    <row r="7" spans="1:108" ht="15" customHeight="1">
      <c r="A7" s="36"/>
      <c r="U7" s="302"/>
      <c r="V7" s="179">
        <v>1000</v>
      </c>
      <c r="W7" s="205">
        <f t="shared" ref="W7:AZ7" si="1">14.7*128/IF(AND($AI$2,W104),MIN($AL$32,MAX($AL$33,$AA$31+W137)),MIN($AL$32,MAX($AL$33,($AA$31+MAX(W137+$Z$2,MIN(W137+$AD$2,ROUND(AVERAGE(W137,W137,W137,W137,W137:X138),0)))))))</f>
        <v>14.7</v>
      </c>
      <c r="X7" s="48">
        <f t="shared" si="1"/>
        <v>14.7</v>
      </c>
      <c r="Y7" s="48">
        <f t="shared" si="1"/>
        <v>14.7</v>
      </c>
      <c r="Z7" s="48">
        <f t="shared" si="1"/>
        <v>14.7</v>
      </c>
      <c r="AA7" s="48">
        <f t="shared" si="1"/>
        <v>14.7</v>
      </c>
      <c r="AB7" s="48">
        <f t="shared" si="1"/>
        <v>14.7</v>
      </c>
      <c r="AC7" s="48">
        <f t="shared" si="1"/>
        <v>14.7</v>
      </c>
      <c r="AD7" s="48">
        <f t="shared" si="1"/>
        <v>14.586046511627906</v>
      </c>
      <c r="AE7" s="48">
        <f t="shared" si="1"/>
        <v>14.147368421052631</v>
      </c>
      <c r="AF7" s="48">
        <f t="shared" si="1"/>
        <v>13.536690647482013</v>
      </c>
      <c r="AG7" s="48">
        <f t="shared" si="1"/>
        <v>13.250704225352113</v>
      </c>
      <c r="AH7" s="48">
        <f t="shared" si="1"/>
        <v>12.887671232876711</v>
      </c>
      <c r="AI7" s="48">
        <f t="shared" si="1"/>
        <v>12.628187919463087</v>
      </c>
      <c r="AJ7" s="48">
        <f t="shared" si="1"/>
        <v>12.378947368421052</v>
      </c>
      <c r="AK7" s="48">
        <f t="shared" si="1"/>
        <v>12.218181818181817</v>
      </c>
      <c r="AL7" s="48">
        <f t="shared" si="1"/>
        <v>12.139354838709677</v>
      </c>
      <c r="AM7" s="48">
        <f t="shared" si="1"/>
        <v>12.139354838709677</v>
      </c>
      <c r="AN7" s="48">
        <f t="shared" si="1"/>
        <v>12.061538461538461</v>
      </c>
      <c r="AO7" s="48">
        <f t="shared" si="1"/>
        <v>12.061538461538461</v>
      </c>
      <c r="AP7" s="48">
        <f t="shared" si="1"/>
        <v>11.984713375796177</v>
      </c>
      <c r="AQ7" s="48">
        <f t="shared" si="1"/>
        <v>11.984713375796177</v>
      </c>
      <c r="AR7" s="48">
        <f t="shared" si="1"/>
        <v>11.984713375796177</v>
      </c>
      <c r="AS7" s="48">
        <f t="shared" si="1"/>
        <v>11.984713375796177</v>
      </c>
      <c r="AT7" s="48">
        <f t="shared" si="1"/>
        <v>11.984713375796177</v>
      </c>
      <c r="AU7" s="48">
        <f t="shared" si="1"/>
        <v>11.984713375796177</v>
      </c>
      <c r="AV7" s="48">
        <f t="shared" si="1"/>
        <v>11.984713375796177</v>
      </c>
      <c r="AW7" s="48">
        <f t="shared" si="1"/>
        <v>11.984713375796177</v>
      </c>
      <c r="AX7" s="48">
        <f t="shared" si="1"/>
        <v>11.984713375796177</v>
      </c>
      <c r="AY7" s="48">
        <f t="shared" si="1"/>
        <v>11.984713375796177</v>
      </c>
      <c r="AZ7" s="56">
        <f t="shared" si="1"/>
        <v>11.984713375796177</v>
      </c>
    </row>
    <row r="8" spans="1:108" ht="15" customHeight="1">
      <c r="A8" s="36"/>
      <c r="U8" s="302"/>
      <c r="V8" s="180">
        <v>1250</v>
      </c>
      <c r="W8" s="205">
        <f t="shared" ref="W8:AZ8" si="2">14.7*128/IF(AND($AI$2,W105),MIN($AL$32,MAX($AL$33,$AA$31+W138)),MIN($AL$32,MAX($AL$33,($AA$31+MAX(W138+$Z$2,MIN(W138+$AD$2,ROUND(AVERAGE(W138,W138,W138,W138,W138:X139),0)))))))</f>
        <v>14.7</v>
      </c>
      <c r="X8" s="48">
        <f t="shared" si="2"/>
        <v>14.7</v>
      </c>
      <c r="Y8" s="48">
        <f t="shared" si="2"/>
        <v>14.7</v>
      </c>
      <c r="Z8" s="48">
        <f t="shared" si="2"/>
        <v>14.7</v>
      </c>
      <c r="AA8" s="48">
        <f t="shared" si="2"/>
        <v>14.7</v>
      </c>
      <c r="AB8" s="48">
        <f t="shared" si="2"/>
        <v>14.7</v>
      </c>
      <c r="AC8" s="48">
        <f t="shared" si="2"/>
        <v>14.7</v>
      </c>
      <c r="AD8" s="48">
        <f t="shared" si="2"/>
        <v>14.586046511627906</v>
      </c>
      <c r="AE8" s="48">
        <f t="shared" si="2"/>
        <v>14.147368421052631</v>
      </c>
      <c r="AF8" s="48">
        <f t="shared" si="2"/>
        <v>13.536690647482013</v>
      </c>
      <c r="AG8" s="48">
        <f t="shared" si="2"/>
        <v>13.066666666666666</v>
      </c>
      <c r="AH8" s="48">
        <f t="shared" si="2"/>
        <v>12.628187919463087</v>
      </c>
      <c r="AI8" s="48">
        <f t="shared" si="2"/>
        <v>12.378947368421052</v>
      </c>
      <c r="AJ8" s="48">
        <f t="shared" si="2"/>
        <v>12.061538461538461</v>
      </c>
      <c r="AK8" s="48">
        <f t="shared" si="2"/>
        <v>11.90886075949367</v>
      </c>
      <c r="AL8" s="48">
        <f t="shared" si="2"/>
        <v>11.833962264150943</v>
      </c>
      <c r="AM8" s="48">
        <f t="shared" si="2"/>
        <v>11.76</v>
      </c>
      <c r="AN8" s="48">
        <f t="shared" si="2"/>
        <v>11.76</v>
      </c>
      <c r="AO8" s="48">
        <f t="shared" si="2"/>
        <v>11.68695652173913</v>
      </c>
      <c r="AP8" s="48">
        <f t="shared" si="2"/>
        <v>11.68695652173913</v>
      </c>
      <c r="AQ8" s="48">
        <f t="shared" si="2"/>
        <v>11.68695652173913</v>
      </c>
      <c r="AR8" s="48">
        <f t="shared" si="2"/>
        <v>11.68695652173913</v>
      </c>
      <c r="AS8" s="48">
        <f t="shared" si="2"/>
        <v>11.68695652173913</v>
      </c>
      <c r="AT8" s="48">
        <f t="shared" si="2"/>
        <v>11.68695652173913</v>
      </c>
      <c r="AU8" s="48">
        <f t="shared" si="2"/>
        <v>11.68695652173913</v>
      </c>
      <c r="AV8" s="48">
        <f t="shared" si="2"/>
        <v>11.68695652173913</v>
      </c>
      <c r="AW8" s="48">
        <f t="shared" si="2"/>
        <v>11.68695652173913</v>
      </c>
      <c r="AX8" s="48">
        <f t="shared" si="2"/>
        <v>11.68695652173913</v>
      </c>
      <c r="AY8" s="48">
        <f t="shared" si="2"/>
        <v>11.68695652173913</v>
      </c>
      <c r="AZ8" s="56">
        <f t="shared" si="2"/>
        <v>11.68695652173913</v>
      </c>
    </row>
    <row r="9" spans="1:108" ht="15" customHeight="1">
      <c r="A9" s="36"/>
      <c r="U9" s="302"/>
      <c r="V9" s="180">
        <v>1500</v>
      </c>
      <c r="W9" s="205">
        <f t="shared" ref="W9:AZ9" si="3">14.7*128/IF(AND($AI$2,W106),MIN($AL$32,MAX($AL$33,$AA$31+W139)),MIN($AL$32,MAX($AL$33,($AA$31+MAX(W139+$Z$2,MIN(W139+$AD$2,ROUND(AVERAGE(W139,W139,W139,W139,W139:X140),0)))))))</f>
        <v>14.7</v>
      </c>
      <c r="X9" s="48">
        <f t="shared" si="3"/>
        <v>14.7</v>
      </c>
      <c r="Y9" s="48">
        <f t="shared" si="3"/>
        <v>14.7</v>
      </c>
      <c r="Z9" s="48">
        <f t="shared" si="3"/>
        <v>14.7</v>
      </c>
      <c r="AA9" s="48">
        <f t="shared" si="3"/>
        <v>14.7</v>
      </c>
      <c r="AB9" s="48">
        <f t="shared" si="3"/>
        <v>14.7</v>
      </c>
      <c r="AC9" s="48">
        <f t="shared" si="3"/>
        <v>14.7</v>
      </c>
      <c r="AD9" s="48">
        <f t="shared" si="3"/>
        <v>14.586046511627906</v>
      </c>
      <c r="AE9" s="48">
        <f t="shared" si="3"/>
        <v>14.147368421052631</v>
      </c>
      <c r="AF9" s="48">
        <f t="shared" si="3"/>
        <v>13.536690647482013</v>
      </c>
      <c r="AG9" s="48">
        <f t="shared" si="3"/>
        <v>12.887671232876711</v>
      </c>
      <c r="AH9" s="48">
        <f t="shared" si="3"/>
        <v>12.378947368421052</v>
      </c>
      <c r="AI9" s="48">
        <f t="shared" si="3"/>
        <v>11.984713375796177</v>
      </c>
      <c r="AJ9" s="48">
        <f t="shared" si="3"/>
        <v>11.76</v>
      </c>
      <c r="AK9" s="48">
        <f t="shared" si="3"/>
        <v>11.614814814814814</v>
      </c>
      <c r="AL9" s="48">
        <f t="shared" si="3"/>
        <v>11.473170731707317</v>
      </c>
      <c r="AM9" s="48">
        <f t="shared" si="3"/>
        <v>11.473170731707317</v>
      </c>
      <c r="AN9" s="48">
        <f t="shared" si="3"/>
        <v>11.403636363636362</v>
      </c>
      <c r="AO9" s="48">
        <f t="shared" si="3"/>
        <v>11.403636363636362</v>
      </c>
      <c r="AP9" s="48">
        <f t="shared" si="3"/>
        <v>11.334939759036144</v>
      </c>
      <c r="AQ9" s="48">
        <f t="shared" si="3"/>
        <v>11.334939759036144</v>
      </c>
      <c r="AR9" s="48">
        <f t="shared" si="3"/>
        <v>11.334939759036144</v>
      </c>
      <c r="AS9" s="48">
        <f t="shared" si="3"/>
        <v>11.334939759036144</v>
      </c>
      <c r="AT9" s="48">
        <f t="shared" si="3"/>
        <v>11.334939759036144</v>
      </c>
      <c r="AU9" s="48">
        <f t="shared" si="3"/>
        <v>11.334939759036144</v>
      </c>
      <c r="AV9" s="48">
        <f t="shared" si="3"/>
        <v>11.334939759036144</v>
      </c>
      <c r="AW9" s="48">
        <f t="shared" si="3"/>
        <v>11.334939759036144</v>
      </c>
      <c r="AX9" s="48">
        <f t="shared" si="3"/>
        <v>11.334939759036144</v>
      </c>
      <c r="AY9" s="48">
        <f t="shared" si="3"/>
        <v>11.334939759036144</v>
      </c>
      <c r="AZ9" s="56">
        <f t="shared" si="3"/>
        <v>11.334939759036144</v>
      </c>
    </row>
    <row r="10" spans="1:108" ht="15" customHeight="1">
      <c r="A10" s="36"/>
      <c r="U10" s="302"/>
      <c r="V10" s="180">
        <v>2000</v>
      </c>
      <c r="W10" s="205">
        <f t="shared" ref="W10:AZ10" si="4">14.7*128/IF(AND($AI$2,W107),MIN($AL$32,MAX($AL$33,$AA$31+W140)),MIN($AL$32,MAX($AL$33,($AA$31+MAX(W140+$Z$2,MIN(W140+$AD$2,ROUND(AVERAGE(W140,W140,W140,W140,W140:X141),0)))))))</f>
        <v>14.7</v>
      </c>
      <c r="X10" s="48">
        <f t="shared" si="4"/>
        <v>14.7</v>
      </c>
      <c r="Y10" s="48">
        <f t="shared" si="4"/>
        <v>14.7</v>
      </c>
      <c r="Z10" s="48">
        <f t="shared" si="4"/>
        <v>14.7</v>
      </c>
      <c r="AA10" s="48">
        <f t="shared" si="4"/>
        <v>14.7</v>
      </c>
      <c r="AB10" s="48">
        <f t="shared" si="4"/>
        <v>14.7</v>
      </c>
      <c r="AC10" s="48">
        <f t="shared" si="4"/>
        <v>14.7</v>
      </c>
      <c r="AD10" s="48">
        <f t="shared" si="4"/>
        <v>14.586046511627906</v>
      </c>
      <c r="AE10" s="48">
        <f t="shared" si="4"/>
        <v>14.041791044776119</v>
      </c>
      <c r="AF10" s="48">
        <f t="shared" si="4"/>
        <v>13.44</v>
      </c>
      <c r="AG10" s="48">
        <f t="shared" si="4"/>
        <v>12.713513513513513</v>
      </c>
      <c r="AH10" s="48">
        <f t="shared" si="4"/>
        <v>12.218181818181817</v>
      </c>
      <c r="AI10" s="48">
        <f t="shared" si="4"/>
        <v>11.833962264150943</v>
      </c>
      <c r="AJ10" s="48">
        <f t="shared" si="4"/>
        <v>11.543558282208588</v>
      </c>
      <c r="AK10" s="48">
        <f t="shared" si="4"/>
        <v>11.403636363636362</v>
      </c>
      <c r="AL10" s="48">
        <f t="shared" si="4"/>
        <v>11.267065868263472</v>
      </c>
      <c r="AM10" s="48">
        <f t="shared" si="4"/>
        <v>11.2</v>
      </c>
      <c r="AN10" s="48">
        <f t="shared" si="4"/>
        <v>11.2</v>
      </c>
      <c r="AO10" s="48">
        <f t="shared" si="4"/>
        <v>11.133727810650887</v>
      </c>
      <c r="AP10" s="48">
        <f t="shared" si="4"/>
        <v>11.133727810650887</v>
      </c>
      <c r="AQ10" s="48">
        <f t="shared" si="4"/>
        <v>11.133727810650887</v>
      </c>
      <c r="AR10" s="48">
        <f t="shared" si="4"/>
        <v>11.133727810650887</v>
      </c>
      <c r="AS10" s="48">
        <f t="shared" si="4"/>
        <v>11.133727810650887</v>
      </c>
      <c r="AT10" s="48">
        <f t="shared" si="4"/>
        <v>11.133727810650887</v>
      </c>
      <c r="AU10" s="48">
        <f t="shared" si="4"/>
        <v>11.133727810650887</v>
      </c>
      <c r="AV10" s="48">
        <f t="shared" si="4"/>
        <v>11.133727810650887</v>
      </c>
      <c r="AW10" s="48">
        <f t="shared" si="4"/>
        <v>11.133727810650887</v>
      </c>
      <c r="AX10" s="48">
        <f t="shared" si="4"/>
        <v>11.133727810650887</v>
      </c>
      <c r="AY10" s="48">
        <f t="shared" si="4"/>
        <v>11.133727810650887</v>
      </c>
      <c r="AZ10" s="56">
        <f t="shared" si="4"/>
        <v>11.133727810650887</v>
      </c>
    </row>
    <row r="11" spans="1:108" ht="15" customHeight="1" thickBot="1">
      <c r="A11" s="36"/>
      <c r="U11" s="302"/>
      <c r="V11" s="181">
        <v>2500</v>
      </c>
      <c r="W11" s="205">
        <f t="shared" ref="W11:AZ11" si="5">14.7*128/IF(AND($AI$2,W108),MIN($AL$32,MAX($AL$33,$AA$31+W141)),MIN($AL$32,MAX($AL$33,($AA$31+MAX(W141+$Z$2,MIN(W141+$AD$2,ROUND(AVERAGE(W141,W141,W141,W141,W141:X142),0)))))))</f>
        <v>14.7</v>
      </c>
      <c r="X11" s="48">
        <f t="shared" si="5"/>
        <v>14.7</v>
      </c>
      <c r="Y11" s="48">
        <f t="shared" si="5"/>
        <v>14.7</v>
      </c>
      <c r="Z11" s="48">
        <f t="shared" si="5"/>
        <v>14.7</v>
      </c>
      <c r="AA11" s="48">
        <f t="shared" si="5"/>
        <v>14.7</v>
      </c>
      <c r="AB11" s="48">
        <f t="shared" si="5"/>
        <v>14.7</v>
      </c>
      <c r="AC11" s="48">
        <f t="shared" si="5"/>
        <v>14.7</v>
      </c>
      <c r="AD11" s="48">
        <f t="shared" si="5"/>
        <v>14.586046511627906</v>
      </c>
      <c r="AE11" s="48">
        <f t="shared" si="5"/>
        <v>14.041791044776119</v>
      </c>
      <c r="AF11" s="48">
        <f t="shared" si="5"/>
        <v>13.34468085106383</v>
      </c>
      <c r="AG11" s="48">
        <f t="shared" si="5"/>
        <v>12.628187919463087</v>
      </c>
      <c r="AH11" s="48">
        <f t="shared" si="5"/>
        <v>12.061538461538461</v>
      </c>
      <c r="AI11" s="48">
        <f t="shared" si="5"/>
        <v>11.68695652173913</v>
      </c>
      <c r="AJ11" s="48">
        <f t="shared" si="5"/>
        <v>11.403636363636362</v>
      </c>
      <c r="AK11" s="48">
        <f t="shared" si="5"/>
        <v>11.2</v>
      </c>
      <c r="AL11" s="48">
        <f t="shared" si="5"/>
        <v>11.068235294117647</v>
      </c>
      <c r="AM11" s="48">
        <f t="shared" si="5"/>
        <v>11.003508771929823</v>
      </c>
      <c r="AN11" s="48">
        <f t="shared" si="5"/>
        <v>10.939534883720929</v>
      </c>
      <c r="AO11" s="48">
        <f t="shared" si="5"/>
        <v>10.939534883720929</v>
      </c>
      <c r="AP11" s="48">
        <f t="shared" si="5"/>
        <v>10.876300578034682</v>
      </c>
      <c r="AQ11" s="48">
        <f t="shared" si="5"/>
        <v>10.876300578034682</v>
      </c>
      <c r="AR11" s="48">
        <f t="shared" si="5"/>
        <v>10.876300578034682</v>
      </c>
      <c r="AS11" s="48">
        <f t="shared" si="5"/>
        <v>10.876300578034682</v>
      </c>
      <c r="AT11" s="48">
        <f t="shared" si="5"/>
        <v>10.876300578034682</v>
      </c>
      <c r="AU11" s="48">
        <f t="shared" si="5"/>
        <v>10.876300578034682</v>
      </c>
      <c r="AV11" s="48">
        <f t="shared" si="5"/>
        <v>10.876300578034682</v>
      </c>
      <c r="AW11" s="48">
        <f t="shared" si="5"/>
        <v>10.876300578034682</v>
      </c>
      <c r="AX11" s="48">
        <f t="shared" si="5"/>
        <v>10.876300578034682</v>
      </c>
      <c r="AY11" s="48">
        <f t="shared" si="5"/>
        <v>10.876300578034682</v>
      </c>
      <c r="AZ11" s="56">
        <f t="shared" si="5"/>
        <v>10.876300578034682</v>
      </c>
    </row>
    <row r="12" spans="1:108" ht="15" customHeight="1" thickBot="1">
      <c r="A12" s="36"/>
      <c r="U12" s="302"/>
      <c r="V12" s="181">
        <v>2750</v>
      </c>
      <c r="W12" s="205">
        <f t="shared" ref="W12:AZ12" si="6">14.7*128/IF(AND($AI$2,W109),MIN($AL$32,MAX($AL$33,$AA$31+W142)),MIN($AL$32,MAX($AL$33,($AA$31+MAX(W142+$Z$2,MIN(W142+$AD$2,ROUND(AVERAGE(W142,W142,W142,W142,W142:X143),0)))))))</f>
        <v>14.7</v>
      </c>
      <c r="X12" s="48">
        <f t="shared" si="6"/>
        <v>14.7</v>
      </c>
      <c r="Y12" s="48">
        <f t="shared" si="6"/>
        <v>14.7</v>
      </c>
      <c r="Z12" s="48">
        <f t="shared" si="6"/>
        <v>14.7</v>
      </c>
      <c r="AA12" s="48">
        <f t="shared" si="6"/>
        <v>14.7</v>
      </c>
      <c r="AB12" s="48">
        <f t="shared" si="6"/>
        <v>14.7</v>
      </c>
      <c r="AC12" s="48">
        <f t="shared" si="6"/>
        <v>14.7</v>
      </c>
      <c r="AD12" s="48">
        <f t="shared" si="6"/>
        <v>14.586046511627906</v>
      </c>
      <c r="AE12" s="48">
        <f t="shared" si="6"/>
        <v>13.937777777777777</v>
      </c>
      <c r="AF12" s="48">
        <f t="shared" si="6"/>
        <v>13.250704225352113</v>
      </c>
      <c r="AG12" s="48">
        <f t="shared" si="6"/>
        <v>12.460927152317881</v>
      </c>
      <c r="AH12" s="48">
        <f t="shared" si="6"/>
        <v>11.90886075949367</v>
      </c>
      <c r="AI12" s="48">
        <f t="shared" si="6"/>
        <v>11.543558282208588</v>
      </c>
      <c r="AJ12" s="48">
        <f t="shared" si="6"/>
        <v>11.2</v>
      </c>
      <c r="AK12" s="48">
        <f t="shared" si="6"/>
        <v>11.068235294117647</v>
      </c>
      <c r="AL12" s="48">
        <f t="shared" si="6"/>
        <v>10.876300578034682</v>
      </c>
      <c r="AM12" s="48">
        <f t="shared" si="6"/>
        <v>10.876300578034682</v>
      </c>
      <c r="AN12" s="48">
        <f t="shared" si="6"/>
        <v>10.813793103448276</v>
      </c>
      <c r="AO12" s="48">
        <f t="shared" si="6"/>
        <v>10.751999999999999</v>
      </c>
      <c r="AP12" s="48">
        <f t="shared" si="6"/>
        <v>10.69090909090909</v>
      </c>
      <c r="AQ12" s="48">
        <f t="shared" si="6"/>
        <v>10.69090909090909</v>
      </c>
      <c r="AR12" s="48">
        <f t="shared" si="6"/>
        <v>10.69090909090909</v>
      </c>
      <c r="AS12" s="48">
        <f t="shared" si="6"/>
        <v>10.69090909090909</v>
      </c>
      <c r="AT12" s="48">
        <f t="shared" si="6"/>
        <v>10.69090909090909</v>
      </c>
      <c r="AU12" s="48">
        <f t="shared" si="6"/>
        <v>10.69090909090909</v>
      </c>
      <c r="AV12" s="48">
        <f t="shared" si="6"/>
        <v>10.69090909090909</v>
      </c>
      <c r="AW12" s="48">
        <f t="shared" si="6"/>
        <v>10.69090909090909</v>
      </c>
      <c r="AX12" s="48">
        <f t="shared" si="6"/>
        <v>10.69090909090909</v>
      </c>
      <c r="AY12" s="48">
        <f t="shared" si="6"/>
        <v>10.69090909090909</v>
      </c>
      <c r="AZ12" s="56">
        <f t="shared" si="6"/>
        <v>10.69090909090909</v>
      </c>
      <c r="BZ12" s="338" t="s">
        <v>6</v>
      </c>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c r="DA12" s="339"/>
      <c r="DB12" s="339"/>
      <c r="DC12" s="339"/>
      <c r="DD12" s="340"/>
    </row>
    <row r="13" spans="1:108" ht="15" customHeight="1" thickBot="1">
      <c r="A13" s="36"/>
      <c r="U13" s="302"/>
      <c r="V13" s="181">
        <v>3000</v>
      </c>
      <c r="W13" s="205">
        <f t="shared" ref="W13:AZ13" si="7">14.7*128/IF(AND($AI$2,W110),MIN($AL$32,MAX($AL$33,$AA$31+W143)),MIN($AL$32,MAX($AL$33,($AA$31+MAX(W143+$Z$2,MIN(W143+$AD$2,ROUND(AVERAGE(W143,W143,W143,W143,W143:X144),0)))))))</f>
        <v>14.7</v>
      </c>
      <c r="X13" s="48">
        <f t="shared" si="7"/>
        <v>14.7</v>
      </c>
      <c r="Y13" s="48">
        <f t="shared" si="7"/>
        <v>14.7</v>
      </c>
      <c r="Z13" s="48">
        <f t="shared" si="7"/>
        <v>14.7</v>
      </c>
      <c r="AA13" s="48">
        <f t="shared" si="7"/>
        <v>14.7</v>
      </c>
      <c r="AB13" s="48">
        <f t="shared" si="7"/>
        <v>14.7</v>
      </c>
      <c r="AC13" s="48">
        <f t="shared" si="7"/>
        <v>14.7</v>
      </c>
      <c r="AD13" s="48">
        <f t="shared" si="7"/>
        <v>14.586046511627906</v>
      </c>
      <c r="AE13" s="48">
        <f t="shared" si="7"/>
        <v>13.937777777777777</v>
      </c>
      <c r="AF13" s="48">
        <f t="shared" si="7"/>
        <v>13.158041958041958</v>
      </c>
      <c r="AG13" s="48">
        <f t="shared" si="7"/>
        <v>12.298039215686273</v>
      </c>
      <c r="AH13" s="48">
        <f t="shared" si="7"/>
        <v>11.76</v>
      </c>
      <c r="AI13" s="48">
        <f t="shared" si="7"/>
        <v>11.334939759036144</v>
      </c>
      <c r="AJ13" s="48">
        <f t="shared" si="7"/>
        <v>11.133727810650887</v>
      </c>
      <c r="AK13" s="48">
        <f t="shared" si="7"/>
        <v>10.939534883720929</v>
      </c>
      <c r="AL13" s="48">
        <f t="shared" si="7"/>
        <v>10.751999999999999</v>
      </c>
      <c r="AM13" s="48">
        <f t="shared" si="7"/>
        <v>10.751999999999999</v>
      </c>
      <c r="AN13" s="48">
        <f t="shared" si="7"/>
        <v>10.751999999999999</v>
      </c>
      <c r="AO13" s="48">
        <f t="shared" si="7"/>
        <v>10.570786516853932</v>
      </c>
      <c r="AP13" s="48">
        <f t="shared" si="7"/>
        <v>10.570786516853932</v>
      </c>
      <c r="AQ13" s="48">
        <f t="shared" si="7"/>
        <v>10.511731843575419</v>
      </c>
      <c r="AR13" s="48">
        <f t="shared" si="7"/>
        <v>10.511731843575419</v>
      </c>
      <c r="AS13" s="48">
        <f t="shared" si="7"/>
        <v>10.511731843575419</v>
      </c>
      <c r="AT13" s="48">
        <f t="shared" si="7"/>
        <v>10.511731843575419</v>
      </c>
      <c r="AU13" s="48">
        <f t="shared" si="7"/>
        <v>10.511731843575419</v>
      </c>
      <c r="AV13" s="48">
        <f t="shared" si="7"/>
        <v>10.511731843575419</v>
      </c>
      <c r="AW13" s="48">
        <f t="shared" si="7"/>
        <v>10.511731843575419</v>
      </c>
      <c r="AX13" s="48">
        <f t="shared" si="7"/>
        <v>10.511731843575419</v>
      </c>
      <c r="AY13" s="48">
        <f t="shared" si="7"/>
        <v>10.511731843575419</v>
      </c>
      <c r="AZ13" s="56">
        <f t="shared" si="7"/>
        <v>10.570786516853932</v>
      </c>
      <c r="BZ13" s="201"/>
      <c r="CA13" s="175">
        <v>10</v>
      </c>
      <c r="CB13" s="176">
        <v>20</v>
      </c>
      <c r="CC13" s="176">
        <v>30</v>
      </c>
      <c r="CD13" s="176">
        <v>40</v>
      </c>
      <c r="CE13" s="177">
        <v>50</v>
      </c>
      <c r="CF13" s="177">
        <v>60</v>
      </c>
      <c r="CG13" s="177">
        <v>70</v>
      </c>
      <c r="CH13" s="177">
        <v>80</v>
      </c>
      <c r="CI13" s="177">
        <v>90</v>
      </c>
      <c r="CJ13" s="177">
        <v>100</v>
      </c>
      <c r="CK13" s="177">
        <v>120</v>
      </c>
      <c r="CL13" s="177">
        <v>140</v>
      </c>
      <c r="CM13" s="173">
        <v>160</v>
      </c>
      <c r="CN13" s="173">
        <v>180</v>
      </c>
      <c r="CO13" s="173">
        <v>200</v>
      </c>
      <c r="CP13" s="173">
        <v>210</v>
      </c>
      <c r="CQ13" s="173">
        <v>220</v>
      </c>
      <c r="CR13" s="173">
        <v>230</v>
      </c>
      <c r="CS13" s="173">
        <v>240</v>
      </c>
      <c r="CT13" s="173">
        <v>250</v>
      </c>
      <c r="CU13" s="173">
        <v>260</v>
      </c>
      <c r="CV13" s="173">
        <v>270</v>
      </c>
      <c r="CW13" s="173">
        <v>280</v>
      </c>
      <c r="CX13" s="173">
        <v>290</v>
      </c>
      <c r="CY13" s="173">
        <v>300</v>
      </c>
      <c r="CZ13" s="173">
        <v>310</v>
      </c>
      <c r="DA13" s="173">
        <v>320</v>
      </c>
      <c r="DB13" s="173">
        <v>330</v>
      </c>
      <c r="DC13" s="173">
        <v>340</v>
      </c>
      <c r="DD13" s="174">
        <v>350</v>
      </c>
    </row>
    <row r="14" spans="1:108" ht="15" customHeight="1">
      <c r="A14" s="36"/>
      <c r="U14" s="302"/>
      <c r="V14" s="181">
        <v>3250</v>
      </c>
      <c r="W14" s="205">
        <f t="shared" ref="W14:AZ14" si="8">14.7*128/IF(AND($AI$2,W111),MIN($AL$32,MAX($AL$33,$AA$31+W144)),MIN($AL$32,MAX($AL$33,($AA$31+MAX(W144+$Z$2,MIN(W144+$AD$2,ROUND(AVERAGE(W144,W144,W144,W144,W144:X145),0)))))))</f>
        <v>14.7</v>
      </c>
      <c r="X14" s="48">
        <f t="shared" si="8"/>
        <v>14.7</v>
      </c>
      <c r="Y14" s="48">
        <f t="shared" si="8"/>
        <v>14.7</v>
      </c>
      <c r="Z14" s="48">
        <f t="shared" si="8"/>
        <v>14.7</v>
      </c>
      <c r="AA14" s="48">
        <f t="shared" si="8"/>
        <v>14.7</v>
      </c>
      <c r="AB14" s="48">
        <f t="shared" si="8"/>
        <v>14.7</v>
      </c>
      <c r="AC14" s="48">
        <f t="shared" si="8"/>
        <v>14.7</v>
      </c>
      <c r="AD14" s="48">
        <f t="shared" si="8"/>
        <v>14.586046511627906</v>
      </c>
      <c r="AE14" s="48">
        <f t="shared" si="8"/>
        <v>13.937777777777777</v>
      </c>
      <c r="AF14" s="48">
        <f t="shared" si="8"/>
        <v>12.976551724137931</v>
      </c>
      <c r="AG14" s="48">
        <f t="shared" si="8"/>
        <v>12.218181818181817</v>
      </c>
      <c r="AH14" s="48">
        <f t="shared" si="8"/>
        <v>11.614814814814814</v>
      </c>
      <c r="AI14" s="48">
        <f t="shared" si="8"/>
        <v>11.267065868263472</v>
      </c>
      <c r="AJ14" s="48">
        <f t="shared" si="8"/>
        <v>11.003508771929823</v>
      </c>
      <c r="AK14" s="48">
        <f t="shared" si="8"/>
        <v>10.813793103448276</v>
      </c>
      <c r="AL14" s="48">
        <f t="shared" si="8"/>
        <v>10.69090909090909</v>
      </c>
      <c r="AM14" s="48">
        <f t="shared" si="8"/>
        <v>10.751999999999999</v>
      </c>
      <c r="AN14" s="48">
        <f t="shared" si="8"/>
        <v>10.630508474576271</v>
      </c>
      <c r="AO14" s="48">
        <f t="shared" si="8"/>
        <v>10.511731843575419</v>
      </c>
      <c r="AP14" s="48">
        <f t="shared" si="8"/>
        <v>10.511731843575419</v>
      </c>
      <c r="AQ14" s="48">
        <f t="shared" si="8"/>
        <v>10.453333333333333</v>
      </c>
      <c r="AR14" s="48">
        <f t="shared" si="8"/>
        <v>10.453333333333333</v>
      </c>
      <c r="AS14" s="48">
        <f t="shared" si="8"/>
        <v>10.453333333333333</v>
      </c>
      <c r="AT14" s="48">
        <f t="shared" si="8"/>
        <v>10.453333333333333</v>
      </c>
      <c r="AU14" s="48">
        <f t="shared" si="8"/>
        <v>10.453333333333333</v>
      </c>
      <c r="AV14" s="48">
        <f t="shared" si="8"/>
        <v>10.453333333333333</v>
      </c>
      <c r="AW14" s="48">
        <f t="shared" si="8"/>
        <v>10.453333333333333</v>
      </c>
      <c r="AX14" s="48">
        <f t="shared" si="8"/>
        <v>10.453333333333333</v>
      </c>
      <c r="AY14" s="48">
        <f t="shared" si="8"/>
        <v>10.453333333333333</v>
      </c>
      <c r="AZ14" s="56">
        <f t="shared" si="8"/>
        <v>10.453333333333333</v>
      </c>
      <c r="BZ14" s="47">
        <v>500</v>
      </c>
      <c r="CA14" s="198">
        <f t="shared" ref="CA14:CA29" si="9">W6-W39</f>
        <v>0</v>
      </c>
      <c r="CB14" s="199">
        <f t="shared" ref="CB14:CB38" si="10">X6-X39</f>
        <v>0</v>
      </c>
      <c r="CC14" s="199">
        <f t="shared" ref="CC14:CC38" si="11">Y6-Y39</f>
        <v>0</v>
      </c>
      <c r="CD14" s="199">
        <f t="shared" ref="CD14:CD38" si="12">Z6-Z39</f>
        <v>0</v>
      </c>
      <c r="CE14" s="199">
        <f t="shared" ref="CE14:CE38" si="13">AA6-AA39</f>
        <v>0</v>
      </c>
      <c r="CF14" s="199">
        <f t="shared" ref="CF14:CF38" si="14">AB6-AB39</f>
        <v>0</v>
      </c>
      <c r="CG14" s="199">
        <f t="shared" ref="CG14:CG38" si="15">AC6-AC39</f>
        <v>0</v>
      </c>
      <c r="CH14" s="199">
        <f t="shared" ref="CH14:CH38" si="16">AD6-AD39</f>
        <v>-0.1139534883720934</v>
      </c>
      <c r="CI14" s="199">
        <f t="shared" ref="CI14:CI38" si="17">AE6-AE39</f>
        <v>-0.21603157894736924</v>
      </c>
      <c r="CJ14" s="199">
        <f t="shared" ref="CJ14:CJ38" si="18">AF6-AF39</f>
        <v>-9.8109352517987247E-2</v>
      </c>
      <c r="CK14" s="199">
        <f t="shared" ref="CK14:CK38" si="19">AG6-AG39</f>
        <v>-9.3995774647886776E-2</v>
      </c>
      <c r="CL14" s="199">
        <f t="shared" ref="CL14:CL38" si="20">AH6-AH39</f>
        <v>-9.1333333333333044E-2</v>
      </c>
      <c r="CM14" s="199">
        <f t="shared" ref="CM14:CM38" si="21">AI6-AI39</f>
        <v>-8.7700000000001666E-2</v>
      </c>
      <c r="CN14" s="199">
        <f t="shared" ref="CN14:CN38" si="22">AJ6-AJ39</f>
        <v>-8.4200000000000941E-2</v>
      </c>
      <c r="CO14" s="199">
        <f t="shared" ref="CO14:CO38" si="23">AK6-AK39</f>
        <v>-8.1952631578948498E-2</v>
      </c>
      <c r="CP14" s="199">
        <f t="shared" ref="CP14:CP38" si="24">AL6-AL39</f>
        <v>3.9215686273408323E-5</v>
      </c>
      <c r="CQ14" s="199">
        <f t="shared" ref="CQ14:CQ38" si="25">AM6-AM39</f>
        <v>-7.981818181818312E-2</v>
      </c>
      <c r="CR14" s="199">
        <f t="shared" ref="CR14:CR38" si="26">AN6-AN39</f>
        <v>-1.8181818182583243E-5</v>
      </c>
      <c r="CS14" s="199">
        <f t="shared" ref="CS14:CS38" si="27">AO6-AO39</f>
        <v>-7.8845161290322707E-2</v>
      </c>
      <c r="CT14" s="199">
        <f t="shared" ref="CT14:CT38" si="28">AP6-AP39</f>
        <v>-4.5161290323392222E-5</v>
      </c>
      <c r="CU14" s="199">
        <f t="shared" ref="CU14:CU38" si="29">AQ6-AQ39</f>
        <v>-4.5161290323392222E-5</v>
      </c>
      <c r="CV14" s="199">
        <f t="shared" ref="CV14:CV38" si="30">AR6-AR39</f>
        <v>-4.5161290323392222E-5</v>
      </c>
      <c r="CW14" s="199">
        <f t="shared" ref="CW14:CW38" si="31">AS6-AS39</f>
        <v>-4.5161290323392222E-5</v>
      </c>
      <c r="CX14" s="199">
        <f t="shared" ref="CX14:CX38" si="32">AT6-AT39</f>
        <v>-4.5161290323392222E-5</v>
      </c>
      <c r="CY14" s="199">
        <f t="shared" ref="CY14:CY38" si="33">AU6-AU39</f>
        <v>-4.5161290323392222E-5</v>
      </c>
      <c r="CZ14" s="199">
        <f t="shared" ref="CZ14:CZ38" si="34">AV6-AV39</f>
        <v>-4.5161290323392222E-5</v>
      </c>
      <c r="DA14" s="199">
        <f t="shared" ref="DA14:DA38" si="35">AW6-AW39</f>
        <v>-4.5161290323392222E-5</v>
      </c>
      <c r="DB14" s="199">
        <f t="shared" ref="DB14:DB38" si="36">AX6-AX39</f>
        <v>-4.5161290323392222E-5</v>
      </c>
      <c r="DC14" s="199">
        <f t="shared" ref="DC14:DC38" si="37">AY6-AY39</f>
        <v>-4.5161290323392222E-5</v>
      </c>
      <c r="DD14" s="200">
        <f t="shared" ref="DD14:DD38" si="38">AZ6-AZ39</f>
        <v>-4.5161290323392222E-5</v>
      </c>
    </row>
    <row r="15" spans="1:108" ht="15" customHeight="1">
      <c r="A15" s="36"/>
      <c r="U15" s="302"/>
      <c r="V15" s="181">
        <v>3500</v>
      </c>
      <c r="W15" s="205">
        <f t="shared" ref="W15:AZ15" si="39">14.7*128/IF(AND($AI$2,W112),MIN($AL$32,MAX($AL$33,$AA$31+W145)),MIN($AL$32,MAX($AL$33,($AA$31+MAX(W145+$Z$2,MIN(W145+$AD$2,ROUND(AVERAGE(W145,W145,W145,W145,W145:X146),0)))))))</f>
        <v>14.7</v>
      </c>
      <c r="X15" s="48">
        <f t="shared" si="39"/>
        <v>14.7</v>
      </c>
      <c r="Y15" s="48">
        <f t="shared" si="39"/>
        <v>14.7</v>
      </c>
      <c r="Z15" s="48">
        <f t="shared" si="39"/>
        <v>14.7</v>
      </c>
      <c r="AA15" s="48">
        <f t="shared" si="39"/>
        <v>14.7</v>
      </c>
      <c r="AB15" s="48">
        <f t="shared" si="39"/>
        <v>14.7</v>
      </c>
      <c r="AC15" s="48">
        <f t="shared" si="39"/>
        <v>14.7</v>
      </c>
      <c r="AD15" s="48">
        <f t="shared" si="39"/>
        <v>14.473846153846154</v>
      </c>
      <c r="AE15" s="48">
        <f t="shared" si="39"/>
        <v>13.835294117647058</v>
      </c>
      <c r="AF15" s="48">
        <f t="shared" si="39"/>
        <v>12.887671232876711</v>
      </c>
      <c r="AG15" s="48">
        <f t="shared" si="39"/>
        <v>12.061538461538461</v>
      </c>
      <c r="AH15" s="48">
        <f t="shared" si="39"/>
        <v>11.543558282208588</v>
      </c>
      <c r="AI15" s="48">
        <f t="shared" si="39"/>
        <v>11.2</v>
      </c>
      <c r="AJ15" s="48">
        <f t="shared" si="39"/>
        <v>11.003508771929823</v>
      </c>
      <c r="AK15" s="48">
        <f t="shared" si="39"/>
        <v>10.876300578034682</v>
      </c>
      <c r="AL15" s="48">
        <f t="shared" si="39"/>
        <v>10.751999999999999</v>
      </c>
      <c r="AM15" s="48">
        <f t="shared" si="39"/>
        <v>10.69090909090909</v>
      </c>
      <c r="AN15" s="48">
        <f t="shared" si="39"/>
        <v>10.69090909090909</v>
      </c>
      <c r="AO15" s="48">
        <f t="shared" si="39"/>
        <v>10.570786516853932</v>
      </c>
      <c r="AP15" s="48">
        <f t="shared" si="39"/>
        <v>10.453333333333333</v>
      </c>
      <c r="AQ15" s="48">
        <f t="shared" si="39"/>
        <v>10.453333333333333</v>
      </c>
      <c r="AR15" s="48">
        <f t="shared" si="39"/>
        <v>10.453333333333333</v>
      </c>
      <c r="AS15" s="48">
        <f t="shared" si="39"/>
        <v>10.453333333333333</v>
      </c>
      <c r="AT15" s="48">
        <f t="shared" si="39"/>
        <v>10.453333333333333</v>
      </c>
      <c r="AU15" s="48">
        <f t="shared" si="39"/>
        <v>10.453333333333333</v>
      </c>
      <c r="AV15" s="48">
        <f t="shared" si="39"/>
        <v>10.453333333333333</v>
      </c>
      <c r="AW15" s="48">
        <f t="shared" si="39"/>
        <v>10.453333333333333</v>
      </c>
      <c r="AX15" s="48">
        <f t="shared" si="39"/>
        <v>10.453333333333333</v>
      </c>
      <c r="AY15" s="48">
        <f t="shared" si="39"/>
        <v>10.453333333333333</v>
      </c>
      <c r="AZ15" s="56">
        <f t="shared" si="39"/>
        <v>10.453333333333333</v>
      </c>
      <c r="BZ15" s="49">
        <v>1000</v>
      </c>
      <c r="CA15" s="69">
        <f t="shared" si="9"/>
        <v>0</v>
      </c>
      <c r="CB15" s="70">
        <f t="shared" si="10"/>
        <v>0</v>
      </c>
      <c r="CC15" s="70">
        <f t="shared" si="11"/>
        <v>0</v>
      </c>
      <c r="CD15" s="70">
        <f t="shared" si="12"/>
        <v>0</v>
      </c>
      <c r="CE15" s="70">
        <f t="shared" si="13"/>
        <v>0</v>
      </c>
      <c r="CF15" s="70">
        <f t="shared" si="14"/>
        <v>0</v>
      </c>
      <c r="CG15" s="70">
        <f t="shared" si="15"/>
        <v>0</v>
      </c>
      <c r="CH15" s="70">
        <f t="shared" si="16"/>
        <v>-0.1139534883720934</v>
      </c>
      <c r="CI15" s="70">
        <f t="shared" si="17"/>
        <v>-0.21603157894736924</v>
      </c>
      <c r="CJ15" s="70">
        <f t="shared" si="18"/>
        <v>-9.8109352517987247E-2</v>
      </c>
      <c r="CK15" s="70">
        <f t="shared" si="19"/>
        <v>-9.3995774647886776E-2</v>
      </c>
      <c r="CL15" s="70">
        <f t="shared" si="20"/>
        <v>-0.17902876712328997</v>
      </c>
      <c r="CM15" s="70">
        <f t="shared" si="21"/>
        <v>-0.17181208053691321</v>
      </c>
      <c r="CN15" s="70">
        <f t="shared" si="22"/>
        <v>-0.16505263157894845</v>
      </c>
      <c r="CO15" s="70">
        <f t="shared" si="23"/>
        <v>-0.16071818181818287</v>
      </c>
      <c r="CP15" s="70">
        <f t="shared" si="24"/>
        <v>-7.8845161290322707E-2</v>
      </c>
      <c r="CQ15" s="70">
        <f t="shared" si="25"/>
        <v>-7.8845161290322707E-2</v>
      </c>
      <c r="CR15" s="70">
        <f t="shared" si="26"/>
        <v>-7.7861538461538871E-2</v>
      </c>
      <c r="CS15" s="70">
        <f t="shared" si="27"/>
        <v>-7.7861538461538871E-2</v>
      </c>
      <c r="CT15" s="70">
        <f t="shared" si="28"/>
        <v>-7.6786624203823095E-2</v>
      </c>
      <c r="CU15" s="70">
        <f t="shared" si="29"/>
        <v>-7.6786624203823095E-2</v>
      </c>
      <c r="CV15" s="70">
        <f t="shared" si="30"/>
        <v>-7.6786624203823095E-2</v>
      </c>
      <c r="CW15" s="70">
        <f t="shared" si="31"/>
        <v>-7.6786624203823095E-2</v>
      </c>
      <c r="CX15" s="70">
        <f t="shared" si="32"/>
        <v>-7.6786624203823095E-2</v>
      </c>
      <c r="CY15" s="70">
        <f t="shared" si="33"/>
        <v>-7.6786624203823095E-2</v>
      </c>
      <c r="CZ15" s="70">
        <f t="shared" si="34"/>
        <v>-7.6786624203823095E-2</v>
      </c>
      <c r="DA15" s="70">
        <f t="shared" si="35"/>
        <v>-7.6786624203823095E-2</v>
      </c>
      <c r="DB15" s="70">
        <f t="shared" si="36"/>
        <v>-7.6786624203823095E-2</v>
      </c>
      <c r="DC15" s="70">
        <f t="shared" si="37"/>
        <v>-7.6786624203823095E-2</v>
      </c>
      <c r="DD15" s="71">
        <f t="shared" si="38"/>
        <v>-7.6786624203823095E-2</v>
      </c>
    </row>
    <row r="16" spans="1:108" ht="15" customHeight="1">
      <c r="A16" s="36"/>
      <c r="U16" s="302"/>
      <c r="V16" s="181">
        <v>3750</v>
      </c>
      <c r="W16" s="205">
        <f t="shared" ref="W16:AZ16" si="40">14.7*128/IF(AND($AI$2,W113),MIN($AL$32,MAX($AL$33,$AA$31+W146)),MIN($AL$32,MAX($AL$33,($AA$31+MAX(W146+$Z$2,MIN(W146+$AD$2,ROUND(AVERAGE(W146,W146,W146,W146,W146:X147),0)))))))</f>
        <v>14.7</v>
      </c>
      <c r="X16" s="48">
        <f t="shared" si="40"/>
        <v>14.7</v>
      </c>
      <c r="Y16" s="48">
        <f t="shared" si="40"/>
        <v>14.7</v>
      </c>
      <c r="Z16" s="48">
        <f t="shared" si="40"/>
        <v>14.7</v>
      </c>
      <c r="AA16" s="48">
        <f t="shared" si="40"/>
        <v>14.7</v>
      </c>
      <c r="AB16" s="48">
        <f t="shared" si="40"/>
        <v>14.7</v>
      </c>
      <c r="AC16" s="48">
        <f t="shared" si="40"/>
        <v>14.586046511627906</v>
      </c>
      <c r="AD16" s="48">
        <f t="shared" si="40"/>
        <v>14.473846153846154</v>
      </c>
      <c r="AE16" s="48">
        <f t="shared" si="40"/>
        <v>13.734306569343065</v>
      </c>
      <c r="AF16" s="48">
        <f t="shared" si="40"/>
        <v>12.713513513513513</v>
      </c>
      <c r="AG16" s="48">
        <f t="shared" si="40"/>
        <v>11.984713375796177</v>
      </c>
      <c r="AH16" s="48">
        <f t="shared" si="40"/>
        <v>11.473170731707317</v>
      </c>
      <c r="AI16" s="48">
        <f t="shared" si="40"/>
        <v>11.2</v>
      </c>
      <c r="AJ16" s="48">
        <f t="shared" si="40"/>
        <v>10.939534883720929</v>
      </c>
      <c r="AK16" s="48">
        <f t="shared" si="40"/>
        <v>10.813793103448276</v>
      </c>
      <c r="AL16" s="48">
        <f t="shared" si="40"/>
        <v>10.69090909090909</v>
      </c>
      <c r="AM16" s="48">
        <f t="shared" si="40"/>
        <v>10.69090909090909</v>
      </c>
      <c r="AN16" s="48">
        <f t="shared" si="40"/>
        <v>10.570786516853932</v>
      </c>
      <c r="AO16" s="48">
        <f t="shared" si="40"/>
        <v>10.511731843575419</v>
      </c>
      <c r="AP16" s="48">
        <f t="shared" si="40"/>
        <v>10.453333333333333</v>
      </c>
      <c r="AQ16" s="48">
        <f t="shared" si="40"/>
        <v>10.395580110497237</v>
      </c>
      <c r="AR16" s="48">
        <f t="shared" si="40"/>
        <v>10.395580110497237</v>
      </c>
      <c r="AS16" s="48">
        <f t="shared" si="40"/>
        <v>10.395580110497237</v>
      </c>
      <c r="AT16" s="48">
        <f t="shared" si="40"/>
        <v>10.395580110497237</v>
      </c>
      <c r="AU16" s="48">
        <f t="shared" si="40"/>
        <v>10.395580110497237</v>
      </c>
      <c r="AV16" s="48">
        <f t="shared" si="40"/>
        <v>10.395580110497237</v>
      </c>
      <c r="AW16" s="48">
        <f t="shared" si="40"/>
        <v>10.395580110497237</v>
      </c>
      <c r="AX16" s="48">
        <f t="shared" si="40"/>
        <v>10.395580110497237</v>
      </c>
      <c r="AY16" s="48">
        <f t="shared" si="40"/>
        <v>10.395580110497237</v>
      </c>
      <c r="AZ16" s="56">
        <f t="shared" si="40"/>
        <v>10.395580110497237</v>
      </c>
      <c r="BZ16" s="50">
        <v>1500</v>
      </c>
      <c r="CA16" s="69">
        <f t="shared" si="9"/>
        <v>0</v>
      </c>
      <c r="CB16" s="70">
        <f t="shared" si="10"/>
        <v>0</v>
      </c>
      <c r="CC16" s="70">
        <f t="shared" si="11"/>
        <v>0</v>
      </c>
      <c r="CD16" s="70">
        <f t="shared" si="12"/>
        <v>0</v>
      </c>
      <c r="CE16" s="70">
        <f t="shared" si="13"/>
        <v>0</v>
      </c>
      <c r="CF16" s="70">
        <f t="shared" si="14"/>
        <v>0</v>
      </c>
      <c r="CG16" s="70">
        <f t="shared" si="15"/>
        <v>0</v>
      </c>
      <c r="CH16" s="70">
        <f t="shared" si="16"/>
        <v>-0.1139534883720934</v>
      </c>
      <c r="CI16" s="70">
        <f t="shared" si="17"/>
        <v>-0.21603157894736924</v>
      </c>
      <c r="CJ16" s="70">
        <f t="shared" si="18"/>
        <v>-0.19760935251798628</v>
      </c>
      <c r="CK16" s="70">
        <f t="shared" si="19"/>
        <v>-0.18403333333333372</v>
      </c>
      <c r="CL16" s="70">
        <f t="shared" si="20"/>
        <v>-0.17181208053691321</v>
      </c>
      <c r="CM16" s="70">
        <f t="shared" si="21"/>
        <v>-0.16505263157894845</v>
      </c>
      <c r="CN16" s="70">
        <f t="shared" si="22"/>
        <v>-0.15666153846153819</v>
      </c>
      <c r="CO16" s="70">
        <f t="shared" si="23"/>
        <v>-0.15263924050633015</v>
      </c>
      <c r="CP16" s="70">
        <f t="shared" si="24"/>
        <v>-7.4937735849056608E-2</v>
      </c>
      <c r="CQ16" s="70">
        <f t="shared" si="25"/>
        <v>-0.14889999999999937</v>
      </c>
      <c r="CR16" s="70">
        <f t="shared" si="26"/>
        <v>-7.3999999999999844E-2</v>
      </c>
      <c r="CS16" s="70">
        <f t="shared" si="27"/>
        <v>-0.14704347826086916</v>
      </c>
      <c r="CT16" s="70">
        <f t="shared" si="28"/>
        <v>-7.3043478260869321E-2</v>
      </c>
      <c r="CU16" s="70">
        <f t="shared" si="29"/>
        <v>-7.3043478260869321E-2</v>
      </c>
      <c r="CV16" s="70">
        <f t="shared" si="30"/>
        <v>-7.3043478260869321E-2</v>
      </c>
      <c r="CW16" s="70">
        <f t="shared" si="31"/>
        <v>-7.3043478260869321E-2</v>
      </c>
      <c r="CX16" s="70">
        <f t="shared" si="32"/>
        <v>-7.3043478260869321E-2</v>
      </c>
      <c r="CY16" s="70">
        <f t="shared" si="33"/>
        <v>-7.3043478260869321E-2</v>
      </c>
      <c r="CZ16" s="70">
        <f t="shared" si="34"/>
        <v>-7.3043478260869321E-2</v>
      </c>
      <c r="DA16" s="70">
        <f t="shared" si="35"/>
        <v>-7.3043478260869321E-2</v>
      </c>
      <c r="DB16" s="70">
        <f t="shared" si="36"/>
        <v>-7.3043478260869321E-2</v>
      </c>
      <c r="DC16" s="70">
        <f t="shared" si="37"/>
        <v>-7.3043478260869321E-2</v>
      </c>
      <c r="DD16" s="71">
        <f t="shared" si="38"/>
        <v>-7.3043478260869321E-2</v>
      </c>
    </row>
    <row r="17" spans="1:108" ht="15" customHeight="1">
      <c r="A17" s="36"/>
      <c r="U17" s="302"/>
      <c r="V17" s="181">
        <v>4000</v>
      </c>
      <c r="W17" s="205">
        <f t="shared" ref="W17:AZ17" si="41">14.7*128/IF(AND($AI$2,W114),MIN($AL$32,MAX($AL$33,$AA$31+W147)),MIN($AL$32,MAX($AL$33,($AA$31+MAX(W147+$Z$2,MIN(W147+$AD$2,ROUND(AVERAGE(W147,W147,W147,W147,W147:X148),0)))))))</f>
        <v>14.7</v>
      </c>
      <c r="X17" s="48">
        <f t="shared" si="41"/>
        <v>14.7</v>
      </c>
      <c r="Y17" s="48">
        <f t="shared" si="41"/>
        <v>14.7</v>
      </c>
      <c r="Z17" s="48">
        <f t="shared" si="41"/>
        <v>14.7</v>
      </c>
      <c r="AA17" s="48">
        <f t="shared" si="41"/>
        <v>14.7</v>
      </c>
      <c r="AB17" s="48">
        <f t="shared" si="41"/>
        <v>14.586046511627906</v>
      </c>
      <c r="AC17" s="48">
        <f t="shared" si="41"/>
        <v>14.473846153846154</v>
      </c>
      <c r="AD17" s="48">
        <f t="shared" si="41"/>
        <v>14.254545454545454</v>
      </c>
      <c r="AE17" s="48">
        <f t="shared" si="41"/>
        <v>13.536690647482013</v>
      </c>
      <c r="AF17" s="48">
        <f t="shared" si="41"/>
        <v>12.543999999999999</v>
      </c>
      <c r="AG17" s="48">
        <f t="shared" si="41"/>
        <v>11.90886075949367</v>
      </c>
      <c r="AH17" s="48">
        <f t="shared" si="41"/>
        <v>11.403636363636362</v>
      </c>
      <c r="AI17" s="48">
        <f t="shared" si="41"/>
        <v>11.2</v>
      </c>
      <c r="AJ17" s="48">
        <f t="shared" si="41"/>
        <v>10.876300578034682</v>
      </c>
      <c r="AK17" s="48">
        <f t="shared" si="41"/>
        <v>10.751999999999999</v>
      </c>
      <c r="AL17" s="48">
        <f t="shared" si="41"/>
        <v>10.69090909090909</v>
      </c>
      <c r="AM17" s="48">
        <f t="shared" si="41"/>
        <v>10.69090909090909</v>
      </c>
      <c r="AN17" s="48">
        <f t="shared" si="41"/>
        <v>10.511731843575419</v>
      </c>
      <c r="AO17" s="48">
        <f t="shared" si="41"/>
        <v>10.453333333333333</v>
      </c>
      <c r="AP17" s="48">
        <f t="shared" si="41"/>
        <v>10.453333333333333</v>
      </c>
      <c r="AQ17" s="48">
        <f t="shared" si="41"/>
        <v>10.395580110497237</v>
      </c>
      <c r="AR17" s="48">
        <f t="shared" si="41"/>
        <v>10.338461538461537</v>
      </c>
      <c r="AS17" s="48">
        <f t="shared" si="41"/>
        <v>10.281967213114754</v>
      </c>
      <c r="AT17" s="48">
        <f t="shared" si="41"/>
        <v>10.281967213114754</v>
      </c>
      <c r="AU17" s="48">
        <f t="shared" si="41"/>
        <v>10.281967213114754</v>
      </c>
      <c r="AV17" s="48">
        <f t="shared" si="41"/>
        <v>10.281967213114754</v>
      </c>
      <c r="AW17" s="48">
        <f t="shared" si="41"/>
        <v>10.281967213114754</v>
      </c>
      <c r="AX17" s="48">
        <f t="shared" si="41"/>
        <v>10.281967213114754</v>
      </c>
      <c r="AY17" s="48">
        <f t="shared" si="41"/>
        <v>10.281967213114754</v>
      </c>
      <c r="AZ17" s="56">
        <f t="shared" si="41"/>
        <v>10.338461538461537</v>
      </c>
      <c r="BZ17" s="50">
        <v>2000</v>
      </c>
      <c r="CA17" s="69">
        <f t="shared" si="9"/>
        <v>0</v>
      </c>
      <c r="CB17" s="70">
        <f t="shared" si="10"/>
        <v>0</v>
      </c>
      <c r="CC17" s="70">
        <f t="shared" si="11"/>
        <v>0</v>
      </c>
      <c r="CD17" s="70">
        <f t="shared" si="12"/>
        <v>0</v>
      </c>
      <c r="CE17" s="70">
        <f t="shared" si="13"/>
        <v>0</v>
      </c>
      <c r="CF17" s="70">
        <f t="shared" si="14"/>
        <v>0</v>
      </c>
      <c r="CG17" s="70">
        <f t="shared" si="15"/>
        <v>0</v>
      </c>
      <c r="CH17" s="70">
        <f t="shared" si="16"/>
        <v>-0.1139534883720934</v>
      </c>
      <c r="CI17" s="70">
        <f t="shared" si="17"/>
        <v>-0.21603157894736924</v>
      </c>
      <c r="CJ17" s="70">
        <f t="shared" si="18"/>
        <v>-0.19760935251798628</v>
      </c>
      <c r="CK17" s="70">
        <f t="shared" si="19"/>
        <v>-0.17902876712328997</v>
      </c>
      <c r="CL17" s="70">
        <f t="shared" si="20"/>
        <v>-0.16505263157894845</v>
      </c>
      <c r="CM17" s="70">
        <f t="shared" si="21"/>
        <v>-0.15468662420382273</v>
      </c>
      <c r="CN17" s="70">
        <f t="shared" si="22"/>
        <v>-7.3999999999999844E-2</v>
      </c>
      <c r="CO17" s="70">
        <f t="shared" si="23"/>
        <v>-7.2185185185185574E-2</v>
      </c>
      <c r="CP17" s="70">
        <f t="shared" si="24"/>
        <v>-7.0429268292683034E-2</v>
      </c>
      <c r="CQ17" s="70">
        <f t="shared" si="25"/>
        <v>-7.0429268292683034E-2</v>
      </c>
      <c r="CR17" s="70">
        <f t="shared" si="26"/>
        <v>-6.9563636363637826E-2</v>
      </c>
      <c r="CS17" s="70">
        <f t="shared" si="27"/>
        <v>-6.9563636363637826E-2</v>
      </c>
      <c r="CT17" s="70">
        <f t="shared" si="28"/>
        <v>-6.8660240963856367E-2</v>
      </c>
      <c r="CU17" s="70">
        <f t="shared" si="29"/>
        <v>-6.8660240963856367E-2</v>
      </c>
      <c r="CV17" s="70">
        <f t="shared" si="30"/>
        <v>-6.8660240963856367E-2</v>
      </c>
      <c r="CW17" s="70">
        <f t="shared" si="31"/>
        <v>-6.8660240963856367E-2</v>
      </c>
      <c r="CX17" s="70">
        <f t="shared" si="32"/>
        <v>-6.8660240963856367E-2</v>
      </c>
      <c r="CY17" s="70">
        <f t="shared" si="33"/>
        <v>-6.8660240963856367E-2</v>
      </c>
      <c r="CZ17" s="70">
        <f t="shared" si="34"/>
        <v>-6.8660240963856367E-2</v>
      </c>
      <c r="DA17" s="70">
        <f t="shared" si="35"/>
        <v>-6.8660240963856367E-2</v>
      </c>
      <c r="DB17" s="70">
        <f t="shared" si="36"/>
        <v>-6.8660240963856367E-2</v>
      </c>
      <c r="DC17" s="70">
        <f t="shared" si="37"/>
        <v>-6.8660240963856367E-2</v>
      </c>
      <c r="DD17" s="71">
        <f t="shared" si="38"/>
        <v>-6.8660240963856367E-2</v>
      </c>
    </row>
    <row r="18" spans="1:108" ht="15" customHeight="1">
      <c r="A18" s="36"/>
      <c r="U18" s="302"/>
      <c r="V18" s="181">
        <v>4250</v>
      </c>
      <c r="W18" s="205">
        <f t="shared" ref="W18:AZ18" si="42">14.7*128/IF(AND($AI$2,W115),MIN($AL$32,MAX($AL$33,$AA$31+W148)),MIN($AL$32,MAX($AL$33,($AA$31+MAX(W148+$Z$2,MIN(W148+$AD$2,ROUND(AVERAGE(W148,W148,W148,W148,W148:X149),0)))))))</f>
        <v>14.7</v>
      </c>
      <c r="X18" s="48">
        <f t="shared" si="42"/>
        <v>14.7</v>
      </c>
      <c r="Y18" s="48">
        <f t="shared" si="42"/>
        <v>14.7</v>
      </c>
      <c r="Z18" s="48">
        <f t="shared" si="42"/>
        <v>14.7</v>
      </c>
      <c r="AA18" s="48">
        <f t="shared" si="42"/>
        <v>14.586046511627906</v>
      </c>
      <c r="AB18" s="48">
        <f t="shared" si="42"/>
        <v>14.473846153846154</v>
      </c>
      <c r="AC18" s="48">
        <f t="shared" si="42"/>
        <v>14.041791044776119</v>
      </c>
      <c r="AD18" s="48">
        <f t="shared" si="42"/>
        <v>13.835294117647058</v>
      </c>
      <c r="AE18" s="48">
        <f t="shared" si="42"/>
        <v>13.250704225352113</v>
      </c>
      <c r="AF18" s="48">
        <f t="shared" si="42"/>
        <v>12.378947368421052</v>
      </c>
      <c r="AG18" s="48">
        <f t="shared" si="42"/>
        <v>11.76</v>
      </c>
      <c r="AH18" s="48">
        <f t="shared" si="42"/>
        <v>11.334939759036144</v>
      </c>
      <c r="AI18" s="48">
        <f t="shared" si="42"/>
        <v>11.2</v>
      </c>
      <c r="AJ18" s="48">
        <f t="shared" si="42"/>
        <v>10.876300578034682</v>
      </c>
      <c r="AK18" s="48">
        <f t="shared" si="42"/>
        <v>10.751999999999999</v>
      </c>
      <c r="AL18" s="48">
        <f t="shared" si="42"/>
        <v>10.69090909090909</v>
      </c>
      <c r="AM18" s="48">
        <f t="shared" si="42"/>
        <v>10.69090909090909</v>
      </c>
      <c r="AN18" s="48">
        <f t="shared" si="42"/>
        <v>10.511731843575419</v>
      </c>
      <c r="AO18" s="48">
        <f t="shared" si="42"/>
        <v>10.453333333333333</v>
      </c>
      <c r="AP18" s="48">
        <f t="shared" si="42"/>
        <v>10.395580110497237</v>
      </c>
      <c r="AQ18" s="48">
        <f t="shared" si="42"/>
        <v>10.395580110497237</v>
      </c>
      <c r="AR18" s="48">
        <f t="shared" si="42"/>
        <v>10.281967213114754</v>
      </c>
      <c r="AS18" s="48">
        <f t="shared" si="42"/>
        <v>10.226086956521739</v>
      </c>
      <c r="AT18" s="48">
        <f t="shared" si="42"/>
        <v>10.226086956521739</v>
      </c>
      <c r="AU18" s="48">
        <f t="shared" si="42"/>
        <v>10.226086956521739</v>
      </c>
      <c r="AV18" s="48">
        <f t="shared" si="42"/>
        <v>10.226086956521739</v>
      </c>
      <c r="AW18" s="48">
        <f t="shared" si="42"/>
        <v>10.226086956521739</v>
      </c>
      <c r="AX18" s="48">
        <f t="shared" si="42"/>
        <v>10.226086956521739</v>
      </c>
      <c r="AY18" s="48">
        <f t="shared" si="42"/>
        <v>10.226086956521739</v>
      </c>
      <c r="AZ18" s="56">
        <f t="shared" si="42"/>
        <v>10.226086956521739</v>
      </c>
      <c r="BZ18" s="50">
        <v>2250</v>
      </c>
      <c r="CA18" s="69">
        <f t="shared" si="9"/>
        <v>0</v>
      </c>
      <c r="CB18" s="70">
        <f t="shared" si="10"/>
        <v>0</v>
      </c>
      <c r="CC18" s="70">
        <f t="shared" si="11"/>
        <v>0</v>
      </c>
      <c r="CD18" s="70">
        <f t="shared" si="12"/>
        <v>0</v>
      </c>
      <c r="CE18" s="70">
        <f t="shared" si="13"/>
        <v>0</v>
      </c>
      <c r="CF18" s="70">
        <f t="shared" si="14"/>
        <v>0</v>
      </c>
      <c r="CG18" s="70">
        <f t="shared" si="15"/>
        <v>0</v>
      </c>
      <c r="CH18" s="70">
        <f t="shared" si="16"/>
        <v>-0.1139534883720934</v>
      </c>
      <c r="CI18" s="70">
        <f t="shared" si="17"/>
        <v>-0.21270895522388145</v>
      </c>
      <c r="CJ18" s="70">
        <f t="shared" si="18"/>
        <v>-0.19480000000000075</v>
      </c>
      <c r="CK18" s="70">
        <f t="shared" si="19"/>
        <v>-0.17418648648648727</v>
      </c>
      <c r="CL18" s="70">
        <f t="shared" si="20"/>
        <v>-0.16071818181818287</v>
      </c>
      <c r="CM18" s="70">
        <f t="shared" si="21"/>
        <v>-0.15073773584905759</v>
      </c>
      <c r="CN18" s="70">
        <f t="shared" si="22"/>
        <v>-0.14344171779141135</v>
      </c>
      <c r="CO18" s="70">
        <f t="shared" si="23"/>
        <v>-6.9563636363637826E-2</v>
      </c>
      <c r="CP18" s="70">
        <f t="shared" si="24"/>
        <v>-6.783413173652697E-2</v>
      </c>
      <c r="CQ18" s="70">
        <f t="shared" si="25"/>
        <v>-6.7099999999999937E-2</v>
      </c>
      <c r="CR18" s="70">
        <f t="shared" si="26"/>
        <v>-6.7099999999999937E-2</v>
      </c>
      <c r="CS18" s="70">
        <f t="shared" si="27"/>
        <v>-6.6272189349112054E-2</v>
      </c>
      <c r="CT18" s="70">
        <f t="shared" si="28"/>
        <v>-6.6272189349112054E-2</v>
      </c>
      <c r="CU18" s="70">
        <f t="shared" si="29"/>
        <v>-6.6272189349112054E-2</v>
      </c>
      <c r="CV18" s="70">
        <f t="shared" si="30"/>
        <v>-6.6272189349112054E-2</v>
      </c>
      <c r="CW18" s="70">
        <f t="shared" si="31"/>
        <v>-6.6272189349112054E-2</v>
      </c>
      <c r="CX18" s="70">
        <f t="shared" si="32"/>
        <v>-6.6272189349112054E-2</v>
      </c>
      <c r="CY18" s="70">
        <f t="shared" si="33"/>
        <v>-6.6272189349112054E-2</v>
      </c>
      <c r="CZ18" s="70">
        <f t="shared" si="34"/>
        <v>-6.6272189349112054E-2</v>
      </c>
      <c r="DA18" s="70">
        <f t="shared" si="35"/>
        <v>-6.6272189349112054E-2</v>
      </c>
      <c r="DB18" s="70">
        <f t="shared" si="36"/>
        <v>-6.6272189349112054E-2</v>
      </c>
      <c r="DC18" s="70">
        <f t="shared" si="37"/>
        <v>-6.6272189349112054E-2</v>
      </c>
      <c r="DD18" s="71">
        <f t="shared" si="38"/>
        <v>-6.6272189349112054E-2</v>
      </c>
    </row>
    <row r="19" spans="1:108" ht="15" customHeight="1">
      <c r="A19" s="36"/>
      <c r="U19" s="302"/>
      <c r="V19" s="181">
        <v>4500</v>
      </c>
      <c r="W19" s="205">
        <f t="shared" ref="W19:AZ19" si="43">14.7*128/IF(AND($AI$2,W116),MIN($AL$32,MAX($AL$33,$AA$31+W149)),MIN($AL$32,MAX($AL$33,($AA$31+MAX(W149+$Z$2,MIN(W149+$AD$2,ROUND(AVERAGE(W149,W149,W149,W149,W149:X150),0)))))))</f>
        <v>14.7</v>
      </c>
      <c r="X19" s="48">
        <f t="shared" si="43"/>
        <v>14.7</v>
      </c>
      <c r="Y19" s="48">
        <f t="shared" si="43"/>
        <v>14.7</v>
      </c>
      <c r="Z19" s="48">
        <f t="shared" si="43"/>
        <v>14.586046511627906</v>
      </c>
      <c r="AA19" s="48">
        <f t="shared" si="43"/>
        <v>14.586046511627906</v>
      </c>
      <c r="AB19" s="48">
        <f t="shared" si="43"/>
        <v>14.473846153846154</v>
      </c>
      <c r="AC19" s="48">
        <f t="shared" si="43"/>
        <v>14.041791044776119</v>
      </c>
      <c r="AD19" s="48">
        <f t="shared" si="43"/>
        <v>13.634782608695652</v>
      </c>
      <c r="AE19" s="48">
        <f t="shared" si="43"/>
        <v>13.066666666666666</v>
      </c>
      <c r="AF19" s="48">
        <f t="shared" si="43"/>
        <v>12.218181818181817</v>
      </c>
      <c r="AG19" s="48">
        <f t="shared" si="43"/>
        <v>11.68695652173913</v>
      </c>
      <c r="AH19" s="48">
        <f t="shared" si="43"/>
        <v>11.334939759036144</v>
      </c>
      <c r="AI19" s="48">
        <f t="shared" si="43"/>
        <v>11.2</v>
      </c>
      <c r="AJ19" s="48">
        <f t="shared" si="43"/>
        <v>10.876300578034682</v>
      </c>
      <c r="AK19" s="48">
        <f t="shared" si="43"/>
        <v>10.751999999999999</v>
      </c>
      <c r="AL19" s="48">
        <f t="shared" si="43"/>
        <v>10.69090909090909</v>
      </c>
      <c r="AM19" s="48">
        <f t="shared" si="43"/>
        <v>10.69090909090909</v>
      </c>
      <c r="AN19" s="48">
        <f t="shared" si="43"/>
        <v>10.453333333333333</v>
      </c>
      <c r="AO19" s="48">
        <f t="shared" si="43"/>
        <v>10.395580110497237</v>
      </c>
      <c r="AP19" s="48">
        <f t="shared" si="43"/>
        <v>10.453333333333333</v>
      </c>
      <c r="AQ19" s="48">
        <f t="shared" si="43"/>
        <v>10.338461538461537</v>
      </c>
      <c r="AR19" s="48">
        <f t="shared" si="43"/>
        <v>10.226086956521739</v>
      </c>
      <c r="AS19" s="48">
        <f t="shared" si="43"/>
        <v>10.17081081081081</v>
      </c>
      <c r="AT19" s="48">
        <f t="shared" si="43"/>
        <v>10.17081081081081</v>
      </c>
      <c r="AU19" s="48">
        <f t="shared" si="43"/>
        <v>10.17081081081081</v>
      </c>
      <c r="AV19" s="48">
        <f t="shared" si="43"/>
        <v>10.17081081081081</v>
      </c>
      <c r="AW19" s="48">
        <f t="shared" si="43"/>
        <v>10.17081081081081</v>
      </c>
      <c r="AX19" s="48">
        <f t="shared" si="43"/>
        <v>10.17081081081081</v>
      </c>
      <c r="AY19" s="48">
        <f t="shared" si="43"/>
        <v>10.17081081081081</v>
      </c>
      <c r="AZ19" s="56">
        <f t="shared" si="43"/>
        <v>10.17081081081081</v>
      </c>
      <c r="BZ19" s="51">
        <v>2500</v>
      </c>
      <c r="CA19" s="69">
        <f t="shared" si="9"/>
        <v>0</v>
      </c>
      <c r="CB19" s="70">
        <f t="shared" si="10"/>
        <v>0</v>
      </c>
      <c r="CC19" s="70">
        <f t="shared" si="11"/>
        <v>0</v>
      </c>
      <c r="CD19" s="70">
        <f t="shared" si="12"/>
        <v>0</v>
      </c>
      <c r="CE19" s="70">
        <f t="shared" si="13"/>
        <v>0</v>
      </c>
      <c r="CF19" s="70">
        <f t="shared" si="14"/>
        <v>0</v>
      </c>
      <c r="CG19" s="70">
        <f t="shared" si="15"/>
        <v>0</v>
      </c>
      <c r="CH19" s="70">
        <f t="shared" si="16"/>
        <v>-0.1139534883720934</v>
      </c>
      <c r="CI19" s="70">
        <f t="shared" si="17"/>
        <v>-0.21270895522388145</v>
      </c>
      <c r="CJ19" s="70">
        <f t="shared" si="18"/>
        <v>-0.29011914893617075</v>
      </c>
      <c r="CK19" s="70">
        <f t="shared" si="19"/>
        <v>-0.17181208053691321</v>
      </c>
      <c r="CL19" s="70">
        <f t="shared" si="20"/>
        <v>-0.15666153846153819</v>
      </c>
      <c r="CM19" s="70">
        <f t="shared" si="21"/>
        <v>-0.14704347826086916</v>
      </c>
      <c r="CN19" s="70">
        <f t="shared" si="22"/>
        <v>-6.9563636363637826E-2</v>
      </c>
      <c r="CO19" s="70">
        <f t="shared" si="23"/>
        <v>-6.7099999999999937E-2</v>
      </c>
      <c r="CP19" s="70">
        <f t="shared" si="24"/>
        <v>-6.5464705882352092E-2</v>
      </c>
      <c r="CQ19" s="70">
        <f t="shared" si="25"/>
        <v>-6.469122807017591E-2</v>
      </c>
      <c r="CR19" s="70">
        <f t="shared" si="26"/>
        <v>-6.396511627907131E-2</v>
      </c>
      <c r="CS19" s="70">
        <f t="shared" si="27"/>
        <v>-6.396511627907131E-2</v>
      </c>
      <c r="CT19" s="70">
        <f t="shared" si="28"/>
        <v>-6.3199421965318692E-2</v>
      </c>
      <c r="CU19" s="70">
        <f t="shared" si="29"/>
        <v>-6.3199421965318692E-2</v>
      </c>
      <c r="CV19" s="70">
        <f t="shared" si="30"/>
        <v>-6.3199421965318692E-2</v>
      </c>
      <c r="CW19" s="70">
        <f t="shared" si="31"/>
        <v>-6.3199421965318692E-2</v>
      </c>
      <c r="CX19" s="70">
        <f t="shared" si="32"/>
        <v>-6.3199421965318692E-2</v>
      </c>
      <c r="CY19" s="70">
        <f t="shared" si="33"/>
        <v>-6.3199421965318692E-2</v>
      </c>
      <c r="CZ19" s="70">
        <f t="shared" si="34"/>
        <v>-6.3199421965318692E-2</v>
      </c>
      <c r="DA19" s="70">
        <f t="shared" si="35"/>
        <v>-6.3199421965318692E-2</v>
      </c>
      <c r="DB19" s="70">
        <f t="shared" si="36"/>
        <v>-6.3199421965318692E-2</v>
      </c>
      <c r="DC19" s="70">
        <f t="shared" si="37"/>
        <v>-6.3199421965318692E-2</v>
      </c>
      <c r="DD19" s="71">
        <f t="shared" si="38"/>
        <v>-6.3199421965318692E-2</v>
      </c>
    </row>
    <row r="20" spans="1:108" ht="15" customHeight="1">
      <c r="A20" s="36"/>
      <c r="U20" s="302"/>
      <c r="V20" s="181">
        <v>4750</v>
      </c>
      <c r="W20" s="205">
        <f t="shared" ref="W20:AZ20" si="44">14.7*128/IF(AND($AI$2,W117),MIN($AL$32,MAX($AL$33,$AA$31+W150)),MIN($AL$32,MAX($AL$33,($AA$31+MAX(W150+$Z$2,MIN(W150+$AD$2,ROUND(AVERAGE(W150,W150,W150,W150,W150:X151),0)))))))</f>
        <v>14.7</v>
      </c>
      <c r="X20" s="48">
        <f t="shared" si="44"/>
        <v>14.7</v>
      </c>
      <c r="Y20" s="48">
        <f t="shared" si="44"/>
        <v>14.7</v>
      </c>
      <c r="Z20" s="48">
        <f t="shared" si="44"/>
        <v>14.586046511627906</v>
      </c>
      <c r="AA20" s="48">
        <f t="shared" si="44"/>
        <v>14.473846153846154</v>
      </c>
      <c r="AB20" s="48">
        <f t="shared" si="44"/>
        <v>14.254545454545454</v>
      </c>
      <c r="AC20" s="48">
        <f t="shared" si="44"/>
        <v>13.835294117647058</v>
      </c>
      <c r="AD20" s="48">
        <f t="shared" si="44"/>
        <v>13.34468085106383</v>
      </c>
      <c r="AE20" s="48">
        <f t="shared" si="44"/>
        <v>12.799999999999999</v>
      </c>
      <c r="AF20" s="48">
        <f t="shared" si="44"/>
        <v>12.061538461538461</v>
      </c>
      <c r="AG20" s="48">
        <f t="shared" si="44"/>
        <v>11.68695652173913</v>
      </c>
      <c r="AH20" s="48">
        <f t="shared" si="44"/>
        <v>11.334939759036144</v>
      </c>
      <c r="AI20" s="48">
        <f t="shared" si="44"/>
        <v>11.2</v>
      </c>
      <c r="AJ20" s="48">
        <f t="shared" si="44"/>
        <v>10.876300578034682</v>
      </c>
      <c r="AK20" s="48">
        <f t="shared" si="44"/>
        <v>10.751999999999999</v>
      </c>
      <c r="AL20" s="48">
        <f t="shared" si="44"/>
        <v>10.69090909090909</v>
      </c>
      <c r="AM20" s="48">
        <f t="shared" si="44"/>
        <v>10.69090909090909</v>
      </c>
      <c r="AN20" s="48">
        <f t="shared" si="44"/>
        <v>10.453333333333333</v>
      </c>
      <c r="AO20" s="48">
        <f t="shared" si="44"/>
        <v>10.395580110497237</v>
      </c>
      <c r="AP20" s="48">
        <f t="shared" si="44"/>
        <v>10.453333333333333</v>
      </c>
      <c r="AQ20" s="48">
        <f t="shared" si="44"/>
        <v>10.338461538461537</v>
      </c>
      <c r="AR20" s="48">
        <f t="shared" si="44"/>
        <v>10.226086956521739</v>
      </c>
      <c r="AS20" s="48">
        <f t="shared" si="44"/>
        <v>10.17081081081081</v>
      </c>
      <c r="AT20" s="48">
        <f t="shared" si="44"/>
        <v>10.17081081081081</v>
      </c>
      <c r="AU20" s="48">
        <f t="shared" si="44"/>
        <v>10.17081081081081</v>
      </c>
      <c r="AV20" s="48">
        <f t="shared" si="44"/>
        <v>10.17081081081081</v>
      </c>
      <c r="AW20" s="48">
        <f t="shared" si="44"/>
        <v>10.17081081081081</v>
      </c>
      <c r="AX20" s="48">
        <f t="shared" si="44"/>
        <v>10.17081081081081</v>
      </c>
      <c r="AY20" s="48">
        <f t="shared" si="44"/>
        <v>10.17081081081081</v>
      </c>
      <c r="AZ20" s="56">
        <f t="shared" si="44"/>
        <v>10.17081081081081</v>
      </c>
      <c r="BZ20" s="51">
        <v>2750</v>
      </c>
      <c r="CA20" s="69">
        <f t="shared" si="9"/>
        <v>0</v>
      </c>
      <c r="CB20" s="70">
        <f t="shared" si="10"/>
        <v>0</v>
      </c>
      <c r="CC20" s="70">
        <f t="shared" si="11"/>
        <v>0</v>
      </c>
      <c r="CD20" s="70">
        <f t="shared" si="12"/>
        <v>0</v>
      </c>
      <c r="CE20" s="70">
        <f t="shared" si="13"/>
        <v>0</v>
      </c>
      <c r="CF20" s="70">
        <f t="shared" si="14"/>
        <v>0</v>
      </c>
      <c r="CG20" s="70">
        <f t="shared" si="15"/>
        <v>0</v>
      </c>
      <c r="CH20" s="70">
        <f t="shared" si="16"/>
        <v>-0.1139534883720934</v>
      </c>
      <c r="CI20" s="70">
        <f t="shared" si="17"/>
        <v>-0.20962222222222238</v>
      </c>
      <c r="CJ20" s="70">
        <f t="shared" si="18"/>
        <v>-0.28599577464788695</v>
      </c>
      <c r="CK20" s="70">
        <f t="shared" si="19"/>
        <v>-0.16727284768211881</v>
      </c>
      <c r="CL20" s="70">
        <f t="shared" si="20"/>
        <v>-0.15263924050633015</v>
      </c>
      <c r="CM20" s="70">
        <f t="shared" si="21"/>
        <v>-0.14344171779141135</v>
      </c>
      <c r="CN20" s="70">
        <f t="shared" si="22"/>
        <v>-6.7099999999999937E-2</v>
      </c>
      <c r="CO20" s="70">
        <f t="shared" si="23"/>
        <v>-6.5464705882352092E-2</v>
      </c>
      <c r="CP20" s="70">
        <f t="shared" si="24"/>
        <v>-6.3199421965318692E-2</v>
      </c>
      <c r="CQ20" s="70">
        <f t="shared" si="25"/>
        <v>-6.3199421965318692E-2</v>
      </c>
      <c r="CR20" s="70">
        <f t="shared" si="26"/>
        <v>-6.2506896551724367E-2</v>
      </c>
      <c r="CS20" s="70">
        <f t="shared" si="27"/>
        <v>-6.1800000000001631E-2</v>
      </c>
      <c r="CT20" s="70">
        <f t="shared" si="28"/>
        <v>-6.1090909090911083E-2</v>
      </c>
      <c r="CU20" s="70">
        <f t="shared" si="29"/>
        <v>-6.1090909090911083E-2</v>
      </c>
      <c r="CV20" s="70">
        <f t="shared" si="30"/>
        <v>-6.1090909090911083E-2</v>
      </c>
      <c r="CW20" s="70">
        <f t="shared" si="31"/>
        <v>-6.1090909090911083E-2</v>
      </c>
      <c r="CX20" s="70">
        <f t="shared" si="32"/>
        <v>-6.1090909090911083E-2</v>
      </c>
      <c r="CY20" s="70">
        <f t="shared" si="33"/>
        <v>-6.1090909090911083E-2</v>
      </c>
      <c r="CZ20" s="70">
        <f t="shared" si="34"/>
        <v>-6.1090909090911083E-2</v>
      </c>
      <c r="DA20" s="70">
        <f t="shared" si="35"/>
        <v>-6.1090909090911083E-2</v>
      </c>
      <c r="DB20" s="70">
        <f t="shared" si="36"/>
        <v>-6.1090909090911083E-2</v>
      </c>
      <c r="DC20" s="70">
        <f t="shared" si="37"/>
        <v>-6.1090909090911083E-2</v>
      </c>
      <c r="DD20" s="71">
        <f t="shared" si="38"/>
        <v>-6.1090909090911083E-2</v>
      </c>
    </row>
    <row r="21" spans="1:108" ht="15" customHeight="1">
      <c r="A21" s="36"/>
      <c r="U21" s="302"/>
      <c r="V21" s="181">
        <v>5000</v>
      </c>
      <c r="W21" s="205">
        <f>14.7*128/IF(AND($AI$2,W118),MIN($AL$32,MAX($AL$33,$AA$31+W151)),MIN($AL$32,MAX($AL$33,($AA$31+MAX(W151+$Z$2,MIN(W151+$AD$2,ROUND(AVERAGE(W151,W151,W151,W151,W151:X152),0)))))))</f>
        <v>14.7</v>
      </c>
      <c r="X21" s="48">
        <f t="shared" ref="X21:AZ21" si="45">14.7*128/IF(AND($AI$2,X118),MIN($AL$32,MAX($AL$33,$AA$31+X151)),MIN($AL$32,MAX($AL$33,($AA$31+MAX(X151+$Z$2,MIN(X151+$AD$2,ROUND(AVERAGE(X151,X151,X151,X151,X151:Y152),0)))))))</f>
        <v>14.7</v>
      </c>
      <c r="Y21" s="48">
        <f t="shared" si="45"/>
        <v>14.7</v>
      </c>
      <c r="Z21" s="48">
        <f t="shared" si="45"/>
        <v>14.586046511627906</v>
      </c>
      <c r="AA21" s="48">
        <f t="shared" si="45"/>
        <v>14.363358778625953</v>
      </c>
      <c r="AB21" s="48">
        <f t="shared" si="45"/>
        <v>14.041791044776119</v>
      </c>
      <c r="AC21" s="48">
        <f t="shared" si="45"/>
        <v>13.634782608695652</v>
      </c>
      <c r="AD21" s="48">
        <f t="shared" si="45"/>
        <v>13.066666666666666</v>
      </c>
      <c r="AE21" s="48">
        <f t="shared" si="45"/>
        <v>12.543999999999999</v>
      </c>
      <c r="AF21" s="48">
        <f t="shared" si="45"/>
        <v>11.90886075949367</v>
      </c>
      <c r="AG21" s="48">
        <f t="shared" si="45"/>
        <v>11.614814814814814</v>
      </c>
      <c r="AH21" s="48">
        <f t="shared" si="45"/>
        <v>11.334939759036144</v>
      </c>
      <c r="AI21" s="48">
        <f t="shared" si="45"/>
        <v>11.2</v>
      </c>
      <c r="AJ21" s="48">
        <f t="shared" si="45"/>
        <v>10.876300578034682</v>
      </c>
      <c r="AK21" s="48">
        <f t="shared" si="45"/>
        <v>10.751999999999999</v>
      </c>
      <c r="AL21" s="48">
        <f t="shared" si="45"/>
        <v>10.69090909090909</v>
      </c>
      <c r="AM21" s="48">
        <f t="shared" si="45"/>
        <v>10.69090909090909</v>
      </c>
      <c r="AN21" s="48">
        <f t="shared" si="45"/>
        <v>10.511731843575419</v>
      </c>
      <c r="AO21" s="48">
        <f t="shared" si="45"/>
        <v>10.453333333333333</v>
      </c>
      <c r="AP21" s="48">
        <f t="shared" si="45"/>
        <v>10.453333333333333</v>
      </c>
      <c r="AQ21" s="48">
        <f t="shared" si="45"/>
        <v>10.395580110497237</v>
      </c>
      <c r="AR21" s="48">
        <f t="shared" si="45"/>
        <v>10.281967213114754</v>
      </c>
      <c r="AS21" s="48">
        <f t="shared" si="45"/>
        <v>10.226086956521739</v>
      </c>
      <c r="AT21" s="48">
        <f t="shared" si="45"/>
        <v>10.226086956521739</v>
      </c>
      <c r="AU21" s="48">
        <f t="shared" si="45"/>
        <v>10.226086956521739</v>
      </c>
      <c r="AV21" s="48">
        <f t="shared" si="45"/>
        <v>10.226086956521739</v>
      </c>
      <c r="AW21" s="48">
        <f t="shared" si="45"/>
        <v>10.226086956521739</v>
      </c>
      <c r="AX21" s="48">
        <f t="shared" si="45"/>
        <v>10.226086956521739</v>
      </c>
      <c r="AY21" s="48">
        <f t="shared" si="45"/>
        <v>10.226086956521739</v>
      </c>
      <c r="AZ21" s="56">
        <f t="shared" si="45"/>
        <v>10.17081081081081</v>
      </c>
      <c r="BZ21" s="51">
        <v>3000</v>
      </c>
      <c r="CA21" s="69">
        <f t="shared" si="9"/>
        <v>0</v>
      </c>
      <c r="CB21" s="70">
        <f t="shared" si="10"/>
        <v>0</v>
      </c>
      <c r="CC21" s="70">
        <f t="shared" si="11"/>
        <v>0</v>
      </c>
      <c r="CD21" s="70">
        <f t="shared" si="12"/>
        <v>0</v>
      </c>
      <c r="CE21" s="70">
        <f t="shared" si="13"/>
        <v>0</v>
      </c>
      <c r="CF21" s="70">
        <f t="shared" si="14"/>
        <v>0</v>
      </c>
      <c r="CG21" s="70">
        <f t="shared" si="15"/>
        <v>0</v>
      </c>
      <c r="CH21" s="70">
        <f t="shared" si="16"/>
        <v>-0.1139534883720934</v>
      </c>
      <c r="CI21" s="70">
        <f t="shared" si="17"/>
        <v>-0.20962222222222238</v>
      </c>
      <c r="CJ21" s="70">
        <f t="shared" si="18"/>
        <v>-0.28195804195804186</v>
      </c>
      <c r="CK21" s="70">
        <f t="shared" si="19"/>
        <v>-0.24596078431372703</v>
      </c>
      <c r="CL21" s="70">
        <f t="shared" si="20"/>
        <v>-0.14889999999999937</v>
      </c>
      <c r="CM21" s="70">
        <f t="shared" si="21"/>
        <v>-0.13826024096385581</v>
      </c>
      <c r="CN21" s="70">
        <f t="shared" si="22"/>
        <v>-6.6272189349112054E-2</v>
      </c>
      <c r="CO21" s="70">
        <f t="shared" si="23"/>
        <v>-6.396511627907131E-2</v>
      </c>
      <c r="CP21" s="70">
        <f t="shared" si="24"/>
        <v>-6.1800000000001631E-2</v>
      </c>
      <c r="CQ21" s="70">
        <f t="shared" si="25"/>
        <v>0</v>
      </c>
      <c r="CR21" s="70">
        <f t="shared" si="26"/>
        <v>-6.1800000000001631E-2</v>
      </c>
      <c r="CS21" s="70">
        <f t="shared" si="27"/>
        <v>-5.9713483146067503E-2</v>
      </c>
      <c r="CT21" s="70">
        <f t="shared" si="28"/>
        <v>-1.3483146068082874E-5</v>
      </c>
      <c r="CU21" s="70">
        <f t="shared" si="29"/>
        <v>-5.906815642458163E-2</v>
      </c>
      <c r="CV21" s="70">
        <f t="shared" si="30"/>
        <v>-5.906815642458163E-2</v>
      </c>
      <c r="CW21" s="70">
        <f t="shared" si="31"/>
        <v>-5.906815642458163E-2</v>
      </c>
      <c r="CX21" s="70">
        <f t="shared" si="32"/>
        <v>-5.906815642458163E-2</v>
      </c>
      <c r="CY21" s="70">
        <f t="shared" si="33"/>
        <v>-5.906815642458163E-2</v>
      </c>
      <c r="CZ21" s="70">
        <f t="shared" si="34"/>
        <v>-5.906815642458163E-2</v>
      </c>
      <c r="DA21" s="70">
        <f t="shared" si="35"/>
        <v>-5.906815642458163E-2</v>
      </c>
      <c r="DB21" s="70">
        <f t="shared" si="36"/>
        <v>-5.906815642458163E-2</v>
      </c>
      <c r="DC21" s="70">
        <f t="shared" si="37"/>
        <v>-5.906815642458163E-2</v>
      </c>
      <c r="DD21" s="71">
        <f t="shared" si="38"/>
        <v>-1.3483146068082874E-5</v>
      </c>
    </row>
    <row r="22" spans="1:108" ht="15" customHeight="1">
      <c r="A22" s="36"/>
      <c r="U22" s="302"/>
      <c r="V22" s="181">
        <v>5250</v>
      </c>
      <c r="W22" s="205">
        <f t="shared" ref="W22:AZ22" si="46">14.7*128/IF(AND($AI$2,W119),MIN($AL$32,MAX($AL$33,$AA$31+W152)),MIN($AL$32,MAX($AL$33,($AA$31+MAX(W152+$Z$2,MIN(W152+$AD$2,ROUND(AVERAGE(W152,W152,W152,W152,W152:X153),0)))))))</f>
        <v>14.7</v>
      </c>
      <c r="X22" s="48">
        <f t="shared" si="46"/>
        <v>14.7</v>
      </c>
      <c r="Y22" s="48">
        <f t="shared" si="46"/>
        <v>14.586046511627906</v>
      </c>
      <c r="Z22" s="48">
        <f t="shared" si="46"/>
        <v>14.473846153846154</v>
      </c>
      <c r="AA22" s="48">
        <f t="shared" si="46"/>
        <v>14.254545454545454</v>
      </c>
      <c r="AB22" s="48">
        <f t="shared" si="46"/>
        <v>13.835294117647058</v>
      </c>
      <c r="AC22" s="48">
        <f t="shared" si="46"/>
        <v>13.34468085106383</v>
      </c>
      <c r="AD22" s="48">
        <f t="shared" si="46"/>
        <v>12.713513513513513</v>
      </c>
      <c r="AE22" s="48">
        <f t="shared" si="46"/>
        <v>12.378947368421052</v>
      </c>
      <c r="AF22" s="48">
        <f t="shared" si="46"/>
        <v>11.90886075949367</v>
      </c>
      <c r="AG22" s="48">
        <f t="shared" si="46"/>
        <v>11.543558282208588</v>
      </c>
      <c r="AH22" s="48">
        <f t="shared" si="46"/>
        <v>11.334939759036144</v>
      </c>
      <c r="AI22" s="48">
        <f t="shared" si="46"/>
        <v>11.2</v>
      </c>
      <c r="AJ22" s="48">
        <f t="shared" si="46"/>
        <v>10.939534883720929</v>
      </c>
      <c r="AK22" s="48">
        <f t="shared" si="46"/>
        <v>10.813793103448276</v>
      </c>
      <c r="AL22" s="48">
        <f t="shared" si="46"/>
        <v>10.69090909090909</v>
      </c>
      <c r="AM22" s="48">
        <f t="shared" si="46"/>
        <v>10.69090909090909</v>
      </c>
      <c r="AN22" s="48">
        <f t="shared" si="46"/>
        <v>10.511731843575419</v>
      </c>
      <c r="AO22" s="48">
        <f t="shared" si="46"/>
        <v>10.511731843575419</v>
      </c>
      <c r="AP22" s="48">
        <f t="shared" si="46"/>
        <v>10.570786516853932</v>
      </c>
      <c r="AQ22" s="48">
        <f t="shared" si="46"/>
        <v>10.453333333333333</v>
      </c>
      <c r="AR22" s="48">
        <f t="shared" si="46"/>
        <v>10.338461538461537</v>
      </c>
      <c r="AS22" s="48">
        <f t="shared" si="46"/>
        <v>10.338461538461537</v>
      </c>
      <c r="AT22" s="48">
        <f t="shared" si="46"/>
        <v>10.338461538461537</v>
      </c>
      <c r="AU22" s="48">
        <f t="shared" si="46"/>
        <v>10.338461538461537</v>
      </c>
      <c r="AV22" s="48">
        <f t="shared" si="46"/>
        <v>10.338461538461537</v>
      </c>
      <c r="AW22" s="48">
        <f t="shared" si="46"/>
        <v>10.338461538461537</v>
      </c>
      <c r="AX22" s="48">
        <f t="shared" si="46"/>
        <v>10.338461538461537</v>
      </c>
      <c r="AY22" s="48">
        <f t="shared" si="46"/>
        <v>10.338461538461537</v>
      </c>
      <c r="AZ22" s="56">
        <f t="shared" si="46"/>
        <v>10.338461538461537</v>
      </c>
      <c r="BZ22" s="51">
        <v>3250</v>
      </c>
      <c r="CA22" s="69">
        <f t="shared" si="9"/>
        <v>0</v>
      </c>
      <c r="CB22" s="70">
        <f t="shared" si="10"/>
        <v>0</v>
      </c>
      <c r="CC22" s="70">
        <f t="shared" si="11"/>
        <v>0</v>
      </c>
      <c r="CD22" s="70">
        <f t="shared" si="12"/>
        <v>0</v>
      </c>
      <c r="CE22" s="70">
        <f t="shared" si="13"/>
        <v>0</v>
      </c>
      <c r="CF22" s="70">
        <f t="shared" si="14"/>
        <v>0</v>
      </c>
      <c r="CG22" s="70">
        <f t="shared" si="15"/>
        <v>0</v>
      </c>
      <c r="CH22" s="70">
        <f t="shared" si="16"/>
        <v>-0.1139534883720934</v>
      </c>
      <c r="CI22" s="70">
        <f t="shared" si="17"/>
        <v>-0.20962222222222238</v>
      </c>
      <c r="CJ22" s="70">
        <f t="shared" si="18"/>
        <v>-0.27414827586206947</v>
      </c>
      <c r="CK22" s="70">
        <f t="shared" si="19"/>
        <v>-0.16071818181818287</v>
      </c>
      <c r="CL22" s="70">
        <f t="shared" si="20"/>
        <v>-0.14518518518518597</v>
      </c>
      <c r="CM22" s="70">
        <f t="shared" si="21"/>
        <v>-6.783413173652697E-2</v>
      </c>
      <c r="CN22" s="70">
        <f t="shared" si="22"/>
        <v>-6.469122807017591E-2</v>
      </c>
      <c r="CO22" s="70">
        <f t="shared" si="23"/>
        <v>-6.2506896551724367E-2</v>
      </c>
      <c r="CP22" s="70">
        <f t="shared" si="24"/>
        <v>9.0909090904034429E-6</v>
      </c>
      <c r="CQ22" s="70">
        <f t="shared" si="25"/>
        <v>0</v>
      </c>
      <c r="CR22" s="70">
        <f t="shared" si="26"/>
        <v>-6.0391525423728609E-2</v>
      </c>
      <c r="CS22" s="70">
        <f t="shared" si="27"/>
        <v>3.1843575419188141E-5</v>
      </c>
      <c r="CT22" s="70">
        <f t="shared" si="28"/>
        <v>3.1843575419188141E-5</v>
      </c>
      <c r="CU22" s="70">
        <f t="shared" si="29"/>
        <v>3.3333333332663528E-5</v>
      </c>
      <c r="CV22" s="70">
        <f t="shared" si="30"/>
        <v>3.3333333332663528E-5</v>
      </c>
      <c r="CW22" s="70">
        <f t="shared" si="31"/>
        <v>3.3333333332663528E-5</v>
      </c>
      <c r="CX22" s="70">
        <f t="shared" si="32"/>
        <v>3.3333333332663528E-5</v>
      </c>
      <c r="CY22" s="70">
        <f t="shared" si="33"/>
        <v>3.3333333332663528E-5</v>
      </c>
      <c r="CZ22" s="70">
        <f t="shared" si="34"/>
        <v>3.3333333332663528E-5</v>
      </c>
      <c r="DA22" s="70">
        <f t="shared" si="35"/>
        <v>3.3333333332663528E-5</v>
      </c>
      <c r="DB22" s="70">
        <f t="shared" si="36"/>
        <v>3.3333333332663528E-5</v>
      </c>
      <c r="DC22" s="70">
        <f t="shared" si="37"/>
        <v>3.3333333332663528E-5</v>
      </c>
      <c r="DD22" s="71">
        <f t="shared" si="38"/>
        <v>3.3333333332663528E-5</v>
      </c>
    </row>
    <row r="23" spans="1:108" ht="15" customHeight="1">
      <c r="A23" s="36"/>
      <c r="U23" s="302"/>
      <c r="V23" s="181">
        <v>5500</v>
      </c>
      <c r="W23" s="205">
        <f t="shared" ref="W23:AZ23" si="47">14.7*128/IF(AND($AI$2,W120),MIN($AL$32,MAX($AL$33,$AA$31+W153)),MIN($AL$32,MAX($AL$33,($AA$31+MAX(W153+$Z$2,MIN(W153+$AD$2,ROUND(AVERAGE(W153,W153,W153,W153,W153:X154),0)))))))</f>
        <v>14.586046511627906</v>
      </c>
      <c r="X23" s="48">
        <f t="shared" si="47"/>
        <v>14.586046511627906</v>
      </c>
      <c r="Y23" s="48">
        <f t="shared" si="47"/>
        <v>14.473846153846154</v>
      </c>
      <c r="Z23" s="48">
        <f t="shared" si="47"/>
        <v>14.363358778625953</v>
      </c>
      <c r="AA23" s="48">
        <f t="shared" si="47"/>
        <v>14.041791044776119</v>
      </c>
      <c r="AB23" s="48">
        <f t="shared" si="47"/>
        <v>13.634782608695652</v>
      </c>
      <c r="AC23" s="48">
        <f t="shared" si="47"/>
        <v>13.066666666666666</v>
      </c>
      <c r="AD23" s="48">
        <f t="shared" si="47"/>
        <v>12.543999999999999</v>
      </c>
      <c r="AE23" s="48">
        <f t="shared" si="47"/>
        <v>12.218181818181817</v>
      </c>
      <c r="AF23" s="48">
        <f t="shared" si="47"/>
        <v>11.833962264150943</v>
      </c>
      <c r="AG23" s="48">
        <f t="shared" si="47"/>
        <v>11.543558282208588</v>
      </c>
      <c r="AH23" s="48">
        <f t="shared" si="47"/>
        <v>11.334939759036144</v>
      </c>
      <c r="AI23" s="48">
        <f t="shared" si="47"/>
        <v>11.2</v>
      </c>
      <c r="AJ23" s="48">
        <f t="shared" si="47"/>
        <v>10.939534883720929</v>
      </c>
      <c r="AK23" s="48">
        <f t="shared" si="47"/>
        <v>10.876300578034682</v>
      </c>
      <c r="AL23" s="48">
        <f t="shared" si="47"/>
        <v>10.751999999999999</v>
      </c>
      <c r="AM23" s="48">
        <f t="shared" si="47"/>
        <v>10.69090909090909</v>
      </c>
      <c r="AN23" s="48">
        <f t="shared" si="47"/>
        <v>10.630508474576271</v>
      </c>
      <c r="AO23" s="48">
        <f t="shared" si="47"/>
        <v>10.69090909090909</v>
      </c>
      <c r="AP23" s="48">
        <f t="shared" si="47"/>
        <v>10.570786516853932</v>
      </c>
      <c r="AQ23" s="48">
        <f t="shared" si="47"/>
        <v>10.453333333333333</v>
      </c>
      <c r="AR23" s="48">
        <f t="shared" si="47"/>
        <v>10.453333333333333</v>
      </c>
      <c r="AS23" s="48">
        <f t="shared" si="47"/>
        <v>10.395580110497237</v>
      </c>
      <c r="AT23" s="48">
        <f t="shared" si="47"/>
        <v>10.338461538461537</v>
      </c>
      <c r="AU23" s="48">
        <f t="shared" si="47"/>
        <v>10.338461538461537</v>
      </c>
      <c r="AV23" s="48">
        <f t="shared" si="47"/>
        <v>10.338461538461537</v>
      </c>
      <c r="AW23" s="48">
        <f t="shared" si="47"/>
        <v>10.338461538461537</v>
      </c>
      <c r="AX23" s="48">
        <f t="shared" si="47"/>
        <v>10.338461538461537</v>
      </c>
      <c r="AY23" s="48">
        <f t="shared" si="47"/>
        <v>10.338461538461537</v>
      </c>
      <c r="AZ23" s="56">
        <f t="shared" si="47"/>
        <v>10.338461538461537</v>
      </c>
      <c r="BZ23" s="51">
        <v>3500</v>
      </c>
      <c r="CA23" s="69">
        <f t="shared" si="9"/>
        <v>0</v>
      </c>
      <c r="CB23" s="70">
        <f t="shared" si="10"/>
        <v>0</v>
      </c>
      <c r="CC23" s="70">
        <f t="shared" si="11"/>
        <v>0</v>
      </c>
      <c r="CD23" s="70">
        <f t="shared" si="12"/>
        <v>0</v>
      </c>
      <c r="CE23" s="70">
        <f t="shared" si="13"/>
        <v>0</v>
      </c>
      <c r="CF23" s="70">
        <f t="shared" si="14"/>
        <v>0</v>
      </c>
      <c r="CG23" s="70">
        <f t="shared" si="15"/>
        <v>0</v>
      </c>
      <c r="CH23" s="70">
        <f t="shared" si="16"/>
        <v>-0.22615384615384571</v>
      </c>
      <c r="CI23" s="70">
        <f t="shared" si="17"/>
        <v>-0.31210588235294168</v>
      </c>
      <c r="CJ23" s="70">
        <f t="shared" si="18"/>
        <v>-0.27032876712328857</v>
      </c>
      <c r="CK23" s="70">
        <f t="shared" si="19"/>
        <v>-0.23646153846153872</v>
      </c>
      <c r="CL23" s="70">
        <f t="shared" si="20"/>
        <v>-0.14344171779141135</v>
      </c>
      <c r="CM23" s="70">
        <f t="shared" si="21"/>
        <v>-6.7099999999999937E-2</v>
      </c>
      <c r="CN23" s="70">
        <f t="shared" si="22"/>
        <v>-6.469122807017591E-2</v>
      </c>
      <c r="CO23" s="70">
        <f t="shared" si="23"/>
        <v>-6.3199421965318692E-2</v>
      </c>
      <c r="CP23" s="70">
        <f t="shared" si="24"/>
        <v>0</v>
      </c>
      <c r="CQ23" s="70">
        <f t="shared" si="25"/>
        <v>9.0909090904034429E-6</v>
      </c>
      <c r="CR23" s="70">
        <f t="shared" si="26"/>
        <v>-6.1090909090911083E-2</v>
      </c>
      <c r="CS23" s="70">
        <f t="shared" si="27"/>
        <v>-1.3483146068082874E-5</v>
      </c>
      <c r="CT23" s="70">
        <f t="shared" si="28"/>
        <v>-5.8366666666666234E-2</v>
      </c>
      <c r="CU23" s="70">
        <f t="shared" si="29"/>
        <v>3.3333333332663528E-5</v>
      </c>
      <c r="CV23" s="70">
        <f t="shared" si="30"/>
        <v>3.3333333332663528E-5</v>
      </c>
      <c r="CW23" s="70">
        <f t="shared" si="31"/>
        <v>3.3333333332663528E-5</v>
      </c>
      <c r="CX23" s="70">
        <f t="shared" si="32"/>
        <v>3.3333333332663528E-5</v>
      </c>
      <c r="CY23" s="70">
        <f t="shared" si="33"/>
        <v>3.3333333332663528E-5</v>
      </c>
      <c r="CZ23" s="70">
        <f t="shared" si="34"/>
        <v>3.3333333332663528E-5</v>
      </c>
      <c r="DA23" s="70">
        <f t="shared" si="35"/>
        <v>3.3333333332663528E-5</v>
      </c>
      <c r="DB23" s="70">
        <f t="shared" si="36"/>
        <v>3.3333333332663528E-5</v>
      </c>
      <c r="DC23" s="70">
        <f t="shared" si="37"/>
        <v>3.3333333332663528E-5</v>
      </c>
      <c r="DD23" s="71">
        <f t="shared" si="38"/>
        <v>3.3333333332663528E-5</v>
      </c>
    </row>
    <row r="24" spans="1:108" ht="15" customHeight="1">
      <c r="A24" s="36"/>
      <c r="U24" s="302"/>
      <c r="V24" s="181">
        <v>5750</v>
      </c>
      <c r="W24" s="205">
        <f t="shared" ref="W24:AZ24" si="48">14.7*128/IF(AND($AI$2,W121),MIN($AL$32,MAX($AL$33,$AA$31+W154)),MIN($AL$32,MAX($AL$33,($AA$31+MAX(W154+$Z$2,MIN(W154+$AD$2,ROUND(AVERAGE(W154,W154,W154,W154,W154:X155),0)))))))</f>
        <v>14.363358778625953</v>
      </c>
      <c r="X24" s="48">
        <f t="shared" si="48"/>
        <v>14.254545454545454</v>
      </c>
      <c r="Y24" s="48">
        <f t="shared" si="48"/>
        <v>14.254545454545454</v>
      </c>
      <c r="Z24" s="48">
        <f t="shared" si="48"/>
        <v>14.041791044776119</v>
      </c>
      <c r="AA24" s="48">
        <f t="shared" si="48"/>
        <v>13.734306569343065</v>
      </c>
      <c r="AB24" s="48">
        <f t="shared" si="48"/>
        <v>13.250704225352113</v>
      </c>
      <c r="AC24" s="48">
        <f t="shared" si="48"/>
        <v>12.713513513513513</v>
      </c>
      <c r="AD24" s="48">
        <f t="shared" si="48"/>
        <v>12.298039215686273</v>
      </c>
      <c r="AE24" s="48">
        <f t="shared" si="48"/>
        <v>12.139354838709677</v>
      </c>
      <c r="AF24" s="48">
        <f t="shared" si="48"/>
        <v>11.76</v>
      </c>
      <c r="AG24" s="48">
        <f t="shared" si="48"/>
        <v>11.543558282208588</v>
      </c>
      <c r="AH24" s="48">
        <f t="shared" si="48"/>
        <v>11.334939759036144</v>
      </c>
      <c r="AI24" s="48">
        <f t="shared" si="48"/>
        <v>11.2</v>
      </c>
      <c r="AJ24" s="48">
        <f t="shared" si="48"/>
        <v>11.003508771929823</v>
      </c>
      <c r="AK24" s="48">
        <f t="shared" si="48"/>
        <v>10.876300578034682</v>
      </c>
      <c r="AL24" s="48">
        <f t="shared" si="48"/>
        <v>10.751999999999999</v>
      </c>
      <c r="AM24" s="48">
        <f t="shared" si="48"/>
        <v>10.69090909090909</v>
      </c>
      <c r="AN24" s="48">
        <f t="shared" si="48"/>
        <v>10.630508474576271</v>
      </c>
      <c r="AO24" s="48">
        <f t="shared" si="48"/>
        <v>10.69090909090909</v>
      </c>
      <c r="AP24" s="48">
        <f t="shared" si="48"/>
        <v>10.570786516853932</v>
      </c>
      <c r="AQ24" s="48">
        <f t="shared" si="48"/>
        <v>10.511731843575419</v>
      </c>
      <c r="AR24" s="48">
        <f t="shared" si="48"/>
        <v>10.395580110497237</v>
      </c>
      <c r="AS24" s="48">
        <f t="shared" si="48"/>
        <v>10.395580110497237</v>
      </c>
      <c r="AT24" s="48">
        <f t="shared" si="48"/>
        <v>10.395580110497237</v>
      </c>
      <c r="AU24" s="48">
        <f t="shared" si="48"/>
        <v>10.395580110497237</v>
      </c>
      <c r="AV24" s="48">
        <f t="shared" si="48"/>
        <v>10.281967213114754</v>
      </c>
      <c r="AW24" s="48">
        <f t="shared" si="48"/>
        <v>10.281967213114754</v>
      </c>
      <c r="AX24" s="48">
        <f t="shared" si="48"/>
        <v>10.281967213114754</v>
      </c>
      <c r="AY24" s="48">
        <f t="shared" si="48"/>
        <v>10.281967213114754</v>
      </c>
      <c r="AZ24" s="56">
        <f t="shared" si="48"/>
        <v>10.281967213114754</v>
      </c>
      <c r="BZ24" s="51">
        <v>3750</v>
      </c>
      <c r="CA24" s="69">
        <f t="shared" si="9"/>
        <v>0</v>
      </c>
      <c r="CB24" s="70">
        <f t="shared" si="10"/>
        <v>0</v>
      </c>
      <c r="CC24" s="70">
        <f t="shared" si="11"/>
        <v>0</v>
      </c>
      <c r="CD24" s="70">
        <f t="shared" si="12"/>
        <v>0</v>
      </c>
      <c r="CE24" s="70">
        <f t="shared" si="13"/>
        <v>0</v>
      </c>
      <c r="CF24" s="70">
        <f t="shared" si="14"/>
        <v>0</v>
      </c>
      <c r="CG24" s="70">
        <f t="shared" si="15"/>
        <v>4.6511627905587716E-5</v>
      </c>
      <c r="CH24" s="70">
        <f t="shared" si="16"/>
        <v>-0.11215384615384671</v>
      </c>
      <c r="CI24" s="70">
        <f t="shared" si="17"/>
        <v>-0.30749343065693502</v>
      </c>
      <c r="CJ24" s="70">
        <f t="shared" si="18"/>
        <v>-0.26308648648648614</v>
      </c>
      <c r="CK24" s="70">
        <f t="shared" si="19"/>
        <v>-0.15468662420382273</v>
      </c>
      <c r="CL24" s="70">
        <f t="shared" si="20"/>
        <v>-7.0429268292683034E-2</v>
      </c>
      <c r="CM24" s="70">
        <f t="shared" si="21"/>
        <v>-0.13490000000000002</v>
      </c>
      <c r="CN24" s="70">
        <f t="shared" si="22"/>
        <v>-6.396511627907131E-2</v>
      </c>
      <c r="CO24" s="70">
        <f t="shared" si="23"/>
        <v>-6.2506896551724367E-2</v>
      </c>
      <c r="CP24" s="70">
        <f t="shared" si="24"/>
        <v>9.0909090904034429E-6</v>
      </c>
      <c r="CQ24" s="70">
        <f t="shared" si="25"/>
        <v>9.0909090904034429E-6</v>
      </c>
      <c r="CR24" s="70">
        <f t="shared" si="26"/>
        <v>-5.9713483146067503E-2</v>
      </c>
      <c r="CS24" s="70">
        <f t="shared" si="27"/>
        <v>-5.906815642458163E-2</v>
      </c>
      <c r="CT24" s="70">
        <f t="shared" si="28"/>
        <v>3.3333333332663528E-5</v>
      </c>
      <c r="CU24" s="70">
        <f t="shared" si="29"/>
        <v>-1.9889502762993061E-5</v>
      </c>
      <c r="CV24" s="70">
        <f t="shared" si="30"/>
        <v>-1.9889502762993061E-5</v>
      </c>
      <c r="CW24" s="70">
        <f t="shared" si="31"/>
        <v>-1.9889502762993061E-5</v>
      </c>
      <c r="CX24" s="70">
        <f t="shared" si="32"/>
        <v>-1.9889502762993061E-5</v>
      </c>
      <c r="CY24" s="70">
        <f t="shared" si="33"/>
        <v>-1.9889502762993061E-5</v>
      </c>
      <c r="CZ24" s="70">
        <f t="shared" si="34"/>
        <v>-1.9889502762993061E-5</v>
      </c>
      <c r="DA24" s="70">
        <f t="shared" si="35"/>
        <v>-1.9889502762993061E-5</v>
      </c>
      <c r="DB24" s="70">
        <f t="shared" si="36"/>
        <v>-1.9889502762993061E-5</v>
      </c>
      <c r="DC24" s="70">
        <f t="shared" si="37"/>
        <v>-1.9889502762993061E-5</v>
      </c>
      <c r="DD24" s="71">
        <f t="shared" si="38"/>
        <v>-1.9889502762993061E-5</v>
      </c>
    </row>
    <row r="25" spans="1:108" ht="15" customHeight="1">
      <c r="A25" s="36"/>
      <c r="U25" s="302"/>
      <c r="V25" s="181">
        <v>6000</v>
      </c>
      <c r="W25" s="205">
        <f t="shared" ref="W25:AZ25" si="49">14.7*128/IF(AND($AI$2,W122),MIN($AL$32,MAX($AL$33,$AA$31+W155)),MIN($AL$32,MAX($AL$33,($AA$31+MAX(W155+$Z$2,MIN(W155+$AD$2,ROUND(AVERAGE(W155,W155,W155,W155,W155:X156),0)))))))</f>
        <v>13.937777777777777</v>
      </c>
      <c r="X25" s="48">
        <f t="shared" si="49"/>
        <v>13.937777777777777</v>
      </c>
      <c r="Y25" s="48">
        <f t="shared" si="49"/>
        <v>13.937777777777777</v>
      </c>
      <c r="Z25" s="48">
        <f t="shared" si="49"/>
        <v>13.734306569343065</v>
      </c>
      <c r="AA25" s="48">
        <f t="shared" si="49"/>
        <v>13.34468085106383</v>
      </c>
      <c r="AB25" s="48">
        <f t="shared" si="49"/>
        <v>12.887671232876711</v>
      </c>
      <c r="AC25" s="48">
        <f t="shared" si="49"/>
        <v>12.460927152317881</v>
      </c>
      <c r="AD25" s="48">
        <f t="shared" si="49"/>
        <v>12.139354838709677</v>
      </c>
      <c r="AE25" s="48">
        <f t="shared" si="49"/>
        <v>12.061538461538461</v>
      </c>
      <c r="AF25" s="48">
        <f t="shared" si="49"/>
        <v>11.76</v>
      </c>
      <c r="AG25" s="48">
        <f t="shared" si="49"/>
        <v>11.543558282208588</v>
      </c>
      <c r="AH25" s="48">
        <f t="shared" si="49"/>
        <v>11.403636363636362</v>
      </c>
      <c r="AI25" s="48">
        <f t="shared" si="49"/>
        <v>11.2</v>
      </c>
      <c r="AJ25" s="48">
        <f t="shared" si="49"/>
        <v>11.068235294117647</v>
      </c>
      <c r="AK25" s="48">
        <f t="shared" si="49"/>
        <v>10.939534883720929</v>
      </c>
      <c r="AL25" s="48">
        <f t="shared" si="49"/>
        <v>10.813793103448276</v>
      </c>
      <c r="AM25" s="48">
        <f t="shared" si="49"/>
        <v>10.69090909090909</v>
      </c>
      <c r="AN25" s="48">
        <f t="shared" si="49"/>
        <v>10.570786516853932</v>
      </c>
      <c r="AO25" s="48">
        <f t="shared" si="49"/>
        <v>10.630508474576271</v>
      </c>
      <c r="AP25" s="48">
        <f t="shared" si="49"/>
        <v>10.630508474576271</v>
      </c>
      <c r="AQ25" s="48">
        <f t="shared" si="49"/>
        <v>10.570786516853932</v>
      </c>
      <c r="AR25" s="48">
        <f t="shared" si="49"/>
        <v>10.453333333333333</v>
      </c>
      <c r="AS25" s="48">
        <f t="shared" si="49"/>
        <v>10.453333333333333</v>
      </c>
      <c r="AT25" s="48">
        <f t="shared" si="49"/>
        <v>10.453333333333333</v>
      </c>
      <c r="AU25" s="48">
        <f t="shared" si="49"/>
        <v>10.453333333333333</v>
      </c>
      <c r="AV25" s="48">
        <f t="shared" si="49"/>
        <v>10.338461538461537</v>
      </c>
      <c r="AW25" s="48">
        <f t="shared" si="49"/>
        <v>10.338461538461537</v>
      </c>
      <c r="AX25" s="48">
        <f t="shared" si="49"/>
        <v>10.338461538461537</v>
      </c>
      <c r="AY25" s="48">
        <f t="shared" si="49"/>
        <v>10.338461538461537</v>
      </c>
      <c r="AZ25" s="56">
        <f t="shared" si="49"/>
        <v>10.338461538461537</v>
      </c>
      <c r="BZ25" s="51">
        <v>4000</v>
      </c>
      <c r="CA25" s="69">
        <f t="shared" si="9"/>
        <v>0</v>
      </c>
      <c r="CB25" s="70">
        <f t="shared" si="10"/>
        <v>0</v>
      </c>
      <c r="CC25" s="70">
        <f t="shared" si="11"/>
        <v>0</v>
      </c>
      <c r="CD25" s="70">
        <f t="shared" si="12"/>
        <v>0</v>
      </c>
      <c r="CE25" s="70">
        <f t="shared" si="13"/>
        <v>0</v>
      </c>
      <c r="CF25" s="70">
        <f t="shared" si="14"/>
        <v>-0.1139534883720934</v>
      </c>
      <c r="CG25" s="70">
        <f t="shared" si="15"/>
        <v>-0.11215384615384671</v>
      </c>
      <c r="CH25" s="70">
        <f t="shared" si="16"/>
        <v>-0.33145454545454633</v>
      </c>
      <c r="CI25" s="70">
        <f t="shared" si="17"/>
        <v>-0.4011093525179863</v>
      </c>
      <c r="CJ25" s="70">
        <f t="shared" si="18"/>
        <v>-0.256000000000002</v>
      </c>
      <c r="CK25" s="70">
        <f t="shared" si="19"/>
        <v>-0.15263924050633015</v>
      </c>
      <c r="CL25" s="70">
        <f t="shared" si="20"/>
        <v>-6.9563636363637826E-2</v>
      </c>
      <c r="CM25" s="70">
        <f t="shared" si="21"/>
        <v>-6.7099999999999937E-2</v>
      </c>
      <c r="CN25" s="70">
        <f t="shared" si="22"/>
        <v>-6.3199421965318692E-2</v>
      </c>
      <c r="CO25" s="70">
        <f t="shared" si="23"/>
        <v>-6.1800000000001631E-2</v>
      </c>
      <c r="CP25" s="70">
        <f t="shared" si="24"/>
        <v>9.0909090904034429E-6</v>
      </c>
      <c r="CQ25" s="70">
        <f t="shared" si="25"/>
        <v>-6.1090909090911083E-2</v>
      </c>
      <c r="CR25" s="70">
        <f t="shared" si="26"/>
        <v>-5.906815642458163E-2</v>
      </c>
      <c r="CS25" s="70">
        <f t="shared" si="27"/>
        <v>-5.8366666666666234E-2</v>
      </c>
      <c r="CT25" s="70">
        <f t="shared" si="28"/>
        <v>3.3333333332663528E-5</v>
      </c>
      <c r="CU25" s="70">
        <f t="shared" si="29"/>
        <v>-5.7719889502763522E-2</v>
      </c>
      <c r="CV25" s="70">
        <f t="shared" si="30"/>
        <v>-3.8461538462541967E-5</v>
      </c>
      <c r="CW25" s="70">
        <f t="shared" si="31"/>
        <v>-5.6532786885245656E-2</v>
      </c>
      <c r="CX25" s="70">
        <f t="shared" si="32"/>
        <v>-5.6532786885245656E-2</v>
      </c>
      <c r="CY25" s="70">
        <f t="shared" si="33"/>
        <v>-5.6532786885245656E-2</v>
      </c>
      <c r="CZ25" s="70">
        <f t="shared" si="34"/>
        <v>-5.6532786885245656E-2</v>
      </c>
      <c r="DA25" s="70">
        <f t="shared" si="35"/>
        <v>-5.6532786885245656E-2</v>
      </c>
      <c r="DB25" s="70">
        <f t="shared" si="36"/>
        <v>-5.6532786885245656E-2</v>
      </c>
      <c r="DC25" s="70">
        <f t="shared" si="37"/>
        <v>-5.6532786885245656E-2</v>
      </c>
      <c r="DD25" s="71">
        <f t="shared" si="38"/>
        <v>-3.8461538462541967E-5</v>
      </c>
    </row>
    <row r="26" spans="1:108" ht="15" customHeight="1">
      <c r="A26" s="36"/>
      <c r="U26" s="302"/>
      <c r="V26" s="181">
        <v>6250</v>
      </c>
      <c r="W26" s="205">
        <f t="shared" ref="W26:AZ26" si="50">14.7*128/IF(AND($AI$2,W123),MIN($AL$32,MAX($AL$33,$AA$31+W156)),MIN($AL$32,MAX($AL$33,($AA$31+MAX(W156+$Z$2,MIN(W156+$AD$2,ROUND(AVERAGE(W156,W156,W156,W156,W156:X157),0)))))))</f>
        <v>13.835294117647058</v>
      </c>
      <c r="X26" s="48">
        <f t="shared" si="50"/>
        <v>13.835294117647058</v>
      </c>
      <c r="Y26" s="48">
        <f t="shared" si="50"/>
        <v>13.734306569343065</v>
      </c>
      <c r="Z26" s="48">
        <f t="shared" si="50"/>
        <v>13.536690647482013</v>
      </c>
      <c r="AA26" s="48">
        <f t="shared" si="50"/>
        <v>13.158041958041958</v>
      </c>
      <c r="AB26" s="48">
        <f t="shared" si="50"/>
        <v>12.628187919463087</v>
      </c>
      <c r="AC26" s="48">
        <f t="shared" si="50"/>
        <v>12.298039215686273</v>
      </c>
      <c r="AD26" s="48">
        <f t="shared" si="50"/>
        <v>12.061538461538461</v>
      </c>
      <c r="AE26" s="48">
        <f t="shared" si="50"/>
        <v>11.90886075949367</v>
      </c>
      <c r="AF26" s="48">
        <f t="shared" si="50"/>
        <v>11.76</v>
      </c>
      <c r="AG26" s="48">
        <f t="shared" si="50"/>
        <v>11.543558282208588</v>
      </c>
      <c r="AH26" s="48">
        <f t="shared" si="50"/>
        <v>11.403636363636362</v>
      </c>
      <c r="AI26" s="48">
        <f t="shared" si="50"/>
        <v>11.267065868263472</v>
      </c>
      <c r="AJ26" s="48">
        <f t="shared" si="50"/>
        <v>11.133727810650887</v>
      </c>
      <c r="AK26" s="48">
        <f t="shared" si="50"/>
        <v>11.003508771929823</v>
      </c>
      <c r="AL26" s="48">
        <f t="shared" si="50"/>
        <v>10.939534883720929</v>
      </c>
      <c r="AM26" s="48">
        <f t="shared" si="50"/>
        <v>10.813793103448276</v>
      </c>
      <c r="AN26" s="48">
        <f t="shared" si="50"/>
        <v>10.630508474576271</v>
      </c>
      <c r="AO26" s="48">
        <f t="shared" si="50"/>
        <v>10.751999999999999</v>
      </c>
      <c r="AP26" s="48">
        <f t="shared" si="50"/>
        <v>10.69090909090909</v>
      </c>
      <c r="AQ26" s="48">
        <f t="shared" si="50"/>
        <v>10.69090909090909</v>
      </c>
      <c r="AR26" s="48">
        <f t="shared" si="50"/>
        <v>10.511731843575419</v>
      </c>
      <c r="AS26" s="48">
        <f t="shared" si="50"/>
        <v>10.511731843575419</v>
      </c>
      <c r="AT26" s="48">
        <f t="shared" si="50"/>
        <v>10.511731843575419</v>
      </c>
      <c r="AU26" s="48">
        <f t="shared" si="50"/>
        <v>10.511731843575419</v>
      </c>
      <c r="AV26" s="48">
        <f t="shared" si="50"/>
        <v>10.395580110497237</v>
      </c>
      <c r="AW26" s="48">
        <f t="shared" si="50"/>
        <v>10.395580110497237</v>
      </c>
      <c r="AX26" s="48">
        <f t="shared" si="50"/>
        <v>10.395580110497237</v>
      </c>
      <c r="AY26" s="48">
        <f t="shared" si="50"/>
        <v>10.395580110497237</v>
      </c>
      <c r="AZ26" s="56">
        <f t="shared" si="50"/>
        <v>10.395580110497237</v>
      </c>
      <c r="BZ26" s="51">
        <v>4250</v>
      </c>
      <c r="CA26" s="69">
        <f t="shared" si="9"/>
        <v>0</v>
      </c>
      <c r="CB26" s="70">
        <f t="shared" si="10"/>
        <v>0</v>
      </c>
      <c r="CC26" s="70">
        <f t="shared" si="11"/>
        <v>0</v>
      </c>
      <c r="CD26" s="70">
        <f t="shared" si="12"/>
        <v>0</v>
      </c>
      <c r="CE26" s="70">
        <f t="shared" si="13"/>
        <v>4.6511627905587716E-5</v>
      </c>
      <c r="CF26" s="70">
        <f t="shared" si="14"/>
        <v>-0.11215384615384671</v>
      </c>
      <c r="CG26" s="70">
        <f t="shared" si="15"/>
        <v>-0.10560895522388059</v>
      </c>
      <c r="CH26" s="70">
        <f t="shared" si="16"/>
        <v>-0.20650588235294265</v>
      </c>
      <c r="CI26" s="70">
        <f t="shared" si="17"/>
        <v>-0.38409577464788747</v>
      </c>
      <c r="CJ26" s="70">
        <f t="shared" si="18"/>
        <v>-0.24925263157894761</v>
      </c>
      <c r="CK26" s="70">
        <f t="shared" si="19"/>
        <v>-0.14889999999999937</v>
      </c>
      <c r="CL26" s="70">
        <f t="shared" si="20"/>
        <v>-6.8660240963856367E-2</v>
      </c>
      <c r="CM26" s="70">
        <f t="shared" si="21"/>
        <v>-6.7099999999999937E-2</v>
      </c>
      <c r="CN26" s="70">
        <f t="shared" si="22"/>
        <v>-6.3199421965318692E-2</v>
      </c>
      <c r="CO26" s="70">
        <f t="shared" si="23"/>
        <v>0</v>
      </c>
      <c r="CP26" s="70">
        <f t="shared" si="24"/>
        <v>9.0909090904034429E-6</v>
      </c>
      <c r="CQ26" s="70">
        <f t="shared" si="25"/>
        <v>-6.1090909090911083E-2</v>
      </c>
      <c r="CR26" s="70">
        <f t="shared" si="26"/>
        <v>3.1843575419188141E-5</v>
      </c>
      <c r="CS26" s="70">
        <f t="shared" si="27"/>
        <v>3.3333333332663528E-5</v>
      </c>
      <c r="CT26" s="70">
        <f t="shared" si="28"/>
        <v>-1.9889502762993061E-5</v>
      </c>
      <c r="CU26" s="70">
        <f t="shared" si="29"/>
        <v>-5.7719889502763522E-2</v>
      </c>
      <c r="CV26" s="70">
        <f t="shared" si="30"/>
        <v>-5.6532786885245656E-2</v>
      </c>
      <c r="CW26" s="70">
        <f t="shared" si="31"/>
        <v>-1.3043478261920427E-5</v>
      </c>
      <c r="CX26" s="70">
        <f t="shared" si="32"/>
        <v>-1.3043478261920427E-5</v>
      </c>
      <c r="CY26" s="70">
        <f t="shared" si="33"/>
        <v>-1.3043478261920427E-5</v>
      </c>
      <c r="CZ26" s="70">
        <f t="shared" si="34"/>
        <v>-1.3043478261920427E-5</v>
      </c>
      <c r="DA26" s="70">
        <f t="shared" si="35"/>
        <v>-1.3043478261920427E-5</v>
      </c>
      <c r="DB26" s="70">
        <f t="shared" si="36"/>
        <v>-1.3043478261920427E-5</v>
      </c>
      <c r="DC26" s="70">
        <f t="shared" si="37"/>
        <v>-1.3043478261920427E-5</v>
      </c>
      <c r="DD26" s="71">
        <f t="shared" si="38"/>
        <v>-1.3043478261920427E-5</v>
      </c>
    </row>
    <row r="27" spans="1:108" ht="15" customHeight="1">
      <c r="A27" s="36"/>
      <c r="U27" s="302"/>
      <c r="V27" s="181">
        <v>6500</v>
      </c>
      <c r="W27" s="205">
        <f t="shared" ref="W27:AZ27" si="51">14.7*128/IF(AND($AI$2,W124),MIN($AL$32,MAX($AL$33,$AA$31+W157)),MIN($AL$32,MAX($AL$33,($AA$31+MAX(W157+$Z$2,MIN(W157+$AD$2,ROUND(AVERAGE(W157,W157,W157,W157,W157:X158),0)))))))</f>
        <v>13.835294117647058</v>
      </c>
      <c r="X27" s="48">
        <f t="shared" si="51"/>
        <v>13.835294117647058</v>
      </c>
      <c r="Y27" s="48">
        <f t="shared" si="51"/>
        <v>13.734306569343065</v>
      </c>
      <c r="Z27" s="48">
        <f t="shared" si="51"/>
        <v>13.536690647482013</v>
      </c>
      <c r="AA27" s="48">
        <f t="shared" si="51"/>
        <v>13.066666666666666</v>
      </c>
      <c r="AB27" s="48">
        <f t="shared" si="51"/>
        <v>12.628187919463087</v>
      </c>
      <c r="AC27" s="48">
        <f t="shared" si="51"/>
        <v>12.218181818181817</v>
      </c>
      <c r="AD27" s="48">
        <f t="shared" si="51"/>
        <v>12.061538461538461</v>
      </c>
      <c r="AE27" s="48">
        <f t="shared" si="51"/>
        <v>11.90886075949367</v>
      </c>
      <c r="AF27" s="48">
        <f t="shared" si="51"/>
        <v>11.76</v>
      </c>
      <c r="AG27" s="48">
        <f t="shared" si="51"/>
        <v>11.543558282208588</v>
      </c>
      <c r="AH27" s="48">
        <f t="shared" si="51"/>
        <v>11.403636363636362</v>
      </c>
      <c r="AI27" s="48">
        <f t="shared" si="51"/>
        <v>11.267065868263472</v>
      </c>
      <c r="AJ27" s="48">
        <f t="shared" si="51"/>
        <v>11.2</v>
      </c>
      <c r="AK27" s="48">
        <f t="shared" si="51"/>
        <v>11.068235294117647</v>
      </c>
      <c r="AL27" s="48">
        <f t="shared" si="51"/>
        <v>10.876300578034682</v>
      </c>
      <c r="AM27" s="48">
        <f t="shared" si="51"/>
        <v>10.813793103448276</v>
      </c>
      <c r="AN27" s="48">
        <f t="shared" si="51"/>
        <v>10.69090909090909</v>
      </c>
      <c r="AO27" s="48">
        <f t="shared" si="51"/>
        <v>10.751999999999999</v>
      </c>
      <c r="AP27" s="48">
        <f t="shared" si="51"/>
        <v>10.751999999999999</v>
      </c>
      <c r="AQ27" s="48">
        <f t="shared" si="51"/>
        <v>10.751999999999999</v>
      </c>
      <c r="AR27" s="48">
        <f t="shared" si="51"/>
        <v>10.630508474576271</v>
      </c>
      <c r="AS27" s="48">
        <f t="shared" si="51"/>
        <v>10.630508474576271</v>
      </c>
      <c r="AT27" s="48">
        <f t="shared" si="51"/>
        <v>10.630508474576271</v>
      </c>
      <c r="AU27" s="48">
        <f t="shared" si="51"/>
        <v>10.630508474576271</v>
      </c>
      <c r="AV27" s="48">
        <f t="shared" si="51"/>
        <v>10.511731843575419</v>
      </c>
      <c r="AW27" s="48">
        <f t="shared" si="51"/>
        <v>10.511731843575419</v>
      </c>
      <c r="AX27" s="48">
        <f t="shared" si="51"/>
        <v>10.511731843575419</v>
      </c>
      <c r="AY27" s="48">
        <f t="shared" si="51"/>
        <v>10.511731843575419</v>
      </c>
      <c r="AZ27" s="56">
        <f t="shared" si="51"/>
        <v>10.511731843575419</v>
      </c>
      <c r="BZ27" s="51">
        <v>4500</v>
      </c>
      <c r="CA27" s="69">
        <f t="shared" si="9"/>
        <v>0</v>
      </c>
      <c r="CB27" s="70">
        <f t="shared" si="10"/>
        <v>0</v>
      </c>
      <c r="CC27" s="70">
        <f t="shared" si="11"/>
        <v>0</v>
      </c>
      <c r="CD27" s="70">
        <f t="shared" si="12"/>
        <v>-0.1139534883720934</v>
      </c>
      <c r="CE27" s="70">
        <f t="shared" si="13"/>
        <v>4.6511627905587716E-5</v>
      </c>
      <c r="CF27" s="70">
        <f t="shared" si="14"/>
        <v>-0.11215384615384671</v>
      </c>
      <c r="CG27" s="70">
        <f t="shared" si="15"/>
        <v>-0.10560895522388059</v>
      </c>
      <c r="CH27" s="70">
        <f t="shared" si="16"/>
        <v>-0.20051739130434854</v>
      </c>
      <c r="CI27" s="70">
        <f t="shared" si="17"/>
        <v>-0.27803333333333313</v>
      </c>
      <c r="CJ27" s="70">
        <f t="shared" si="18"/>
        <v>-0.16071818181818287</v>
      </c>
      <c r="CK27" s="70">
        <f t="shared" si="19"/>
        <v>-0.14704347826086916</v>
      </c>
      <c r="CL27" s="70">
        <f t="shared" si="20"/>
        <v>3.9759036145170512E-5</v>
      </c>
      <c r="CM27" s="70">
        <f t="shared" si="21"/>
        <v>-6.7099999999999937E-2</v>
      </c>
      <c r="CN27" s="70">
        <f t="shared" si="22"/>
        <v>-6.3199421965318692E-2</v>
      </c>
      <c r="CO27" s="70">
        <f t="shared" si="23"/>
        <v>-6.1800000000001631E-2</v>
      </c>
      <c r="CP27" s="70">
        <f t="shared" si="24"/>
        <v>6.0409090909089969E-2</v>
      </c>
      <c r="CQ27" s="70">
        <f t="shared" si="25"/>
        <v>-6.1090909090911083E-2</v>
      </c>
      <c r="CR27" s="70">
        <f t="shared" si="26"/>
        <v>-5.8366666666666234E-2</v>
      </c>
      <c r="CS27" s="70">
        <f t="shared" si="27"/>
        <v>-1.9889502762993061E-5</v>
      </c>
      <c r="CT27" s="70">
        <f t="shared" si="28"/>
        <v>3.3333333332663528E-5</v>
      </c>
      <c r="CU27" s="70">
        <f t="shared" si="29"/>
        <v>-5.7138461538462693E-2</v>
      </c>
      <c r="CV27" s="70">
        <f t="shared" si="30"/>
        <v>-5.5913043478261315E-2</v>
      </c>
      <c r="CW27" s="70">
        <f t="shared" si="31"/>
        <v>1.081081081011348E-5</v>
      </c>
      <c r="CX27" s="70">
        <f t="shared" si="32"/>
        <v>1.081081081011348E-5</v>
      </c>
      <c r="CY27" s="70">
        <f t="shared" si="33"/>
        <v>1.081081081011348E-5</v>
      </c>
      <c r="CZ27" s="70">
        <f t="shared" si="34"/>
        <v>1.081081081011348E-5</v>
      </c>
      <c r="DA27" s="70">
        <f t="shared" si="35"/>
        <v>1.081081081011348E-5</v>
      </c>
      <c r="DB27" s="70">
        <f t="shared" si="36"/>
        <v>1.081081081011348E-5</v>
      </c>
      <c r="DC27" s="70">
        <f t="shared" si="37"/>
        <v>1.081081081011348E-5</v>
      </c>
      <c r="DD27" s="71">
        <f t="shared" si="38"/>
        <v>1.081081081011348E-5</v>
      </c>
    </row>
    <row r="28" spans="1:108" ht="15" customHeight="1" thickBot="1">
      <c r="A28" s="36"/>
      <c r="U28" s="302"/>
      <c r="V28" s="181">
        <v>6750</v>
      </c>
      <c r="W28" s="205">
        <f t="shared" ref="W28:AZ28" si="52">14.7*128/IF(AND($AI$2,W125),MIN($AL$32,MAX($AL$33,$AA$31+W158)),MIN($AL$32,MAX($AL$33,($AA$31+MAX(W158+$Z$2,MIN(W158+$AD$2,ROUND(AVERAGE(W158,W158,W158,W158,W158:X159),0)))))))</f>
        <v>13.835294117647058</v>
      </c>
      <c r="X28" s="48">
        <f t="shared" si="52"/>
        <v>13.835294117647058</v>
      </c>
      <c r="Y28" s="48">
        <f t="shared" si="52"/>
        <v>13.734306569343065</v>
      </c>
      <c r="Z28" s="48">
        <f t="shared" si="52"/>
        <v>13.536690647482013</v>
      </c>
      <c r="AA28" s="48">
        <f t="shared" si="52"/>
        <v>13.066666666666666</v>
      </c>
      <c r="AB28" s="48">
        <f t="shared" si="52"/>
        <v>12.628187919463087</v>
      </c>
      <c r="AC28" s="48">
        <f t="shared" si="52"/>
        <v>12.218181818181817</v>
      </c>
      <c r="AD28" s="48">
        <f t="shared" si="52"/>
        <v>12.061538461538461</v>
      </c>
      <c r="AE28" s="48">
        <f t="shared" si="52"/>
        <v>11.90886075949367</v>
      </c>
      <c r="AF28" s="48">
        <f t="shared" si="52"/>
        <v>11.76</v>
      </c>
      <c r="AG28" s="48">
        <f t="shared" si="52"/>
        <v>11.543558282208588</v>
      </c>
      <c r="AH28" s="48">
        <f t="shared" si="52"/>
        <v>11.403636363636362</v>
      </c>
      <c r="AI28" s="48">
        <f t="shared" si="52"/>
        <v>11.267065868263472</v>
      </c>
      <c r="AJ28" s="48">
        <f t="shared" si="52"/>
        <v>11.2</v>
      </c>
      <c r="AK28" s="48">
        <f t="shared" si="52"/>
        <v>11.068235294117647</v>
      </c>
      <c r="AL28" s="48">
        <f t="shared" si="52"/>
        <v>10.939534883720929</v>
      </c>
      <c r="AM28" s="48">
        <f t="shared" si="52"/>
        <v>10.876300578034682</v>
      </c>
      <c r="AN28" s="48">
        <f t="shared" si="52"/>
        <v>10.813793103448276</v>
      </c>
      <c r="AO28" s="48">
        <f t="shared" si="52"/>
        <v>10.751999999999999</v>
      </c>
      <c r="AP28" s="48">
        <f t="shared" si="52"/>
        <v>10.751999999999999</v>
      </c>
      <c r="AQ28" s="48">
        <f t="shared" si="52"/>
        <v>10.813793103448276</v>
      </c>
      <c r="AR28" s="48">
        <f t="shared" si="52"/>
        <v>10.751999999999999</v>
      </c>
      <c r="AS28" s="48">
        <f t="shared" si="52"/>
        <v>10.751999999999999</v>
      </c>
      <c r="AT28" s="48">
        <f t="shared" si="52"/>
        <v>10.751999999999999</v>
      </c>
      <c r="AU28" s="48">
        <f t="shared" si="52"/>
        <v>10.751999999999999</v>
      </c>
      <c r="AV28" s="48">
        <f t="shared" si="52"/>
        <v>10.630508474576271</v>
      </c>
      <c r="AW28" s="48">
        <f t="shared" si="52"/>
        <v>10.630508474576271</v>
      </c>
      <c r="AX28" s="48">
        <f t="shared" si="52"/>
        <v>10.630508474576271</v>
      </c>
      <c r="AY28" s="48">
        <f t="shared" si="52"/>
        <v>10.630508474576271</v>
      </c>
      <c r="AZ28" s="56">
        <f t="shared" si="52"/>
        <v>10.630508474576271</v>
      </c>
      <c r="BZ28" s="57">
        <v>4750</v>
      </c>
      <c r="CA28" s="69">
        <f t="shared" si="9"/>
        <v>0</v>
      </c>
      <c r="CB28" s="70">
        <f t="shared" si="10"/>
        <v>0</v>
      </c>
      <c r="CC28" s="70">
        <f t="shared" si="11"/>
        <v>0</v>
      </c>
      <c r="CD28" s="70">
        <f t="shared" si="12"/>
        <v>4.6511627905587716E-5</v>
      </c>
      <c r="CE28" s="70">
        <f t="shared" si="13"/>
        <v>4.6153846152918732E-5</v>
      </c>
      <c r="CF28" s="70">
        <f t="shared" si="14"/>
        <v>-0.2192545454545467</v>
      </c>
      <c r="CG28" s="70">
        <f t="shared" si="15"/>
        <v>-0.20650588235294265</v>
      </c>
      <c r="CH28" s="70">
        <f t="shared" si="16"/>
        <v>-0.19201914893617023</v>
      </c>
      <c r="CI28" s="70">
        <f t="shared" si="17"/>
        <v>-0.26670000000000194</v>
      </c>
      <c r="CJ28" s="70">
        <f t="shared" si="18"/>
        <v>-0.15666153846153819</v>
      </c>
      <c r="CK28" s="70">
        <f t="shared" si="19"/>
        <v>-0.14704347826086916</v>
      </c>
      <c r="CL28" s="70">
        <f t="shared" si="20"/>
        <v>3.9759036145170512E-5</v>
      </c>
      <c r="CM28" s="70">
        <f t="shared" si="21"/>
        <v>-6.7099999999999937E-2</v>
      </c>
      <c r="CN28" s="70">
        <f t="shared" si="22"/>
        <v>-6.3199421965318692E-2</v>
      </c>
      <c r="CO28" s="70">
        <f t="shared" si="23"/>
        <v>-6.1800000000001631E-2</v>
      </c>
      <c r="CP28" s="70">
        <f t="shared" si="24"/>
        <v>9.0909090904034429E-6</v>
      </c>
      <c r="CQ28" s="70">
        <f t="shared" si="25"/>
        <v>-6.1090909090911083E-2</v>
      </c>
      <c r="CR28" s="70">
        <f t="shared" si="26"/>
        <v>-5.8366666666666234E-2</v>
      </c>
      <c r="CS28" s="70">
        <f t="shared" si="27"/>
        <v>-1.9889502762993061E-5</v>
      </c>
      <c r="CT28" s="70">
        <f t="shared" si="28"/>
        <v>3.3333333332663528E-5</v>
      </c>
      <c r="CU28" s="70">
        <f t="shared" si="29"/>
        <v>-5.7138461538462693E-2</v>
      </c>
      <c r="CV28" s="70">
        <f t="shared" si="30"/>
        <v>-5.5913043478261315E-2</v>
      </c>
      <c r="CW28" s="70">
        <f t="shared" si="31"/>
        <v>1.081081081011348E-5</v>
      </c>
      <c r="CX28" s="70">
        <f t="shared" si="32"/>
        <v>1.081081081011348E-5</v>
      </c>
      <c r="CY28" s="70">
        <f t="shared" si="33"/>
        <v>1.081081081011348E-5</v>
      </c>
      <c r="CZ28" s="70">
        <f t="shared" si="34"/>
        <v>1.081081081011348E-5</v>
      </c>
      <c r="DA28" s="70">
        <f t="shared" si="35"/>
        <v>1.081081081011348E-5</v>
      </c>
      <c r="DB28" s="70">
        <f t="shared" si="36"/>
        <v>1.081081081011348E-5</v>
      </c>
      <c r="DC28" s="70">
        <f t="shared" si="37"/>
        <v>1.081081081011348E-5</v>
      </c>
      <c r="DD28" s="71">
        <f t="shared" si="38"/>
        <v>1.081081081011348E-5</v>
      </c>
    </row>
    <row r="29" spans="1:108" ht="15" customHeight="1" thickBot="1">
      <c r="A29" s="36"/>
      <c r="U29" s="302"/>
      <c r="V29" s="181">
        <v>7000</v>
      </c>
      <c r="W29" s="205">
        <f t="shared" ref="W29:AZ29" si="53">14.7*128/IF(AND($AI$2,W126),MIN($AL$32,MAX($AL$33,$AA$31+W159)),MIN($AL$32,MAX($AL$33,($AA$31+MAX(W159+$Z$2,MIN(W159+$AD$2,ROUND(AVERAGE(W159,W159,W159,W159,W159:X160),0)))))))</f>
        <v>13.835294117647058</v>
      </c>
      <c r="X29" s="48">
        <f t="shared" si="53"/>
        <v>13.835294117647058</v>
      </c>
      <c r="Y29" s="48">
        <f t="shared" si="53"/>
        <v>13.734306569343065</v>
      </c>
      <c r="Z29" s="48">
        <f t="shared" si="53"/>
        <v>13.536690647482013</v>
      </c>
      <c r="AA29" s="48">
        <f t="shared" si="53"/>
        <v>13.066666666666666</v>
      </c>
      <c r="AB29" s="48">
        <f t="shared" si="53"/>
        <v>12.628187919463087</v>
      </c>
      <c r="AC29" s="48">
        <f t="shared" si="53"/>
        <v>12.218181818181817</v>
      </c>
      <c r="AD29" s="48">
        <f t="shared" si="53"/>
        <v>12.061538461538461</v>
      </c>
      <c r="AE29" s="48">
        <f t="shared" si="53"/>
        <v>11.90886075949367</v>
      </c>
      <c r="AF29" s="48">
        <f t="shared" si="53"/>
        <v>11.76</v>
      </c>
      <c r="AG29" s="48">
        <f t="shared" si="53"/>
        <v>11.543558282208588</v>
      </c>
      <c r="AH29" s="48">
        <f t="shared" si="53"/>
        <v>11.403636363636362</v>
      </c>
      <c r="AI29" s="48">
        <f t="shared" si="53"/>
        <v>11.267065868263472</v>
      </c>
      <c r="AJ29" s="48">
        <f t="shared" si="53"/>
        <v>11.2</v>
      </c>
      <c r="AK29" s="48">
        <f t="shared" si="53"/>
        <v>11.068235294117647</v>
      </c>
      <c r="AL29" s="48">
        <f t="shared" si="53"/>
        <v>10.939534883720929</v>
      </c>
      <c r="AM29" s="48">
        <f t="shared" si="53"/>
        <v>10.876300578034682</v>
      </c>
      <c r="AN29" s="48">
        <f t="shared" si="53"/>
        <v>10.813793103448276</v>
      </c>
      <c r="AO29" s="48">
        <f t="shared" si="53"/>
        <v>10.751999999999999</v>
      </c>
      <c r="AP29" s="48">
        <f t="shared" si="53"/>
        <v>10.751999999999999</v>
      </c>
      <c r="AQ29" s="48">
        <f t="shared" si="53"/>
        <v>10.813793103448276</v>
      </c>
      <c r="AR29" s="48">
        <f t="shared" si="53"/>
        <v>10.751999999999999</v>
      </c>
      <c r="AS29" s="48">
        <f t="shared" si="53"/>
        <v>10.751999999999999</v>
      </c>
      <c r="AT29" s="48">
        <f t="shared" si="53"/>
        <v>10.751999999999999</v>
      </c>
      <c r="AU29" s="48">
        <f t="shared" si="53"/>
        <v>10.751999999999999</v>
      </c>
      <c r="AV29" s="48">
        <f t="shared" si="53"/>
        <v>10.751999999999999</v>
      </c>
      <c r="AW29" s="48">
        <f t="shared" si="53"/>
        <v>10.751999999999999</v>
      </c>
      <c r="AX29" s="48">
        <f t="shared" si="53"/>
        <v>10.751999999999999</v>
      </c>
      <c r="AY29" s="48">
        <f t="shared" si="53"/>
        <v>10.751999999999999</v>
      </c>
      <c r="AZ29" s="56">
        <f t="shared" si="53"/>
        <v>10.751999999999999</v>
      </c>
      <c r="BZ29" s="57">
        <v>5000</v>
      </c>
      <c r="CA29" s="69">
        <f t="shared" si="9"/>
        <v>0</v>
      </c>
      <c r="CB29" s="70">
        <f t="shared" si="10"/>
        <v>0</v>
      </c>
      <c r="CC29" s="70">
        <f t="shared" si="11"/>
        <v>0</v>
      </c>
      <c r="CD29" s="70">
        <f t="shared" si="12"/>
        <v>4.6511627905587716E-5</v>
      </c>
      <c r="CE29" s="70">
        <f t="shared" si="13"/>
        <v>-0.11044122137404777</v>
      </c>
      <c r="CF29" s="70">
        <f t="shared" si="14"/>
        <v>-0.21270895522388145</v>
      </c>
      <c r="CG29" s="70">
        <f t="shared" si="15"/>
        <v>-0.20051739130434854</v>
      </c>
      <c r="CH29" s="70">
        <f t="shared" si="16"/>
        <v>-0.18403333333333372</v>
      </c>
      <c r="CI29" s="70">
        <f t="shared" si="17"/>
        <v>-0.16950000000000109</v>
      </c>
      <c r="CJ29" s="70">
        <f t="shared" si="18"/>
        <v>-0.15263924050633015</v>
      </c>
      <c r="CK29" s="70">
        <f t="shared" si="19"/>
        <v>-7.2185185185185574E-2</v>
      </c>
      <c r="CL29" s="70">
        <f t="shared" si="20"/>
        <v>3.9759036145170512E-5</v>
      </c>
      <c r="CM29" s="70">
        <f t="shared" si="21"/>
        <v>-6.7099999999999937E-2</v>
      </c>
      <c r="CN29" s="70">
        <f t="shared" si="22"/>
        <v>-6.3199421965318692E-2</v>
      </c>
      <c r="CO29" s="70">
        <f t="shared" si="23"/>
        <v>0</v>
      </c>
      <c r="CP29" s="70">
        <f t="shared" si="24"/>
        <v>9.0909090904034429E-6</v>
      </c>
      <c r="CQ29" s="70">
        <f t="shared" si="25"/>
        <v>-6.1090909090911083E-2</v>
      </c>
      <c r="CR29" s="70">
        <f t="shared" si="26"/>
        <v>3.1843575419188141E-5</v>
      </c>
      <c r="CS29" s="70">
        <f t="shared" si="27"/>
        <v>5.7733333333333192E-2</v>
      </c>
      <c r="CT29" s="70">
        <f t="shared" si="28"/>
        <v>3.3333333332663528E-5</v>
      </c>
      <c r="CU29" s="70">
        <f t="shared" si="29"/>
        <v>-1.9889502762993061E-5</v>
      </c>
      <c r="CV29" s="70">
        <f t="shared" si="30"/>
        <v>-3.2786885245883468E-5</v>
      </c>
      <c r="CW29" s="70">
        <f t="shared" si="31"/>
        <v>5.5286956521738873E-2</v>
      </c>
      <c r="CX29" s="70">
        <f t="shared" si="32"/>
        <v>5.5286956521738873E-2</v>
      </c>
      <c r="CY29" s="70">
        <f t="shared" si="33"/>
        <v>5.5286956521738873E-2</v>
      </c>
      <c r="CZ29" s="70">
        <f t="shared" si="34"/>
        <v>5.5286956521738873E-2</v>
      </c>
      <c r="DA29" s="70">
        <f t="shared" si="35"/>
        <v>5.5286956521738873E-2</v>
      </c>
      <c r="DB29" s="70">
        <f t="shared" si="36"/>
        <v>5.5286956521738873E-2</v>
      </c>
      <c r="DC29" s="70">
        <f t="shared" si="37"/>
        <v>5.5286956521738873E-2</v>
      </c>
      <c r="DD29" s="71">
        <f t="shared" si="38"/>
        <v>1.081081081011348E-5</v>
      </c>
    </row>
    <row r="30" spans="1:108" ht="15" customHeight="1" thickBot="1">
      <c r="A30" s="36"/>
      <c r="U30" s="303"/>
      <c r="V30" s="182">
        <v>7500</v>
      </c>
      <c r="W30" s="209">
        <f t="shared" ref="W30:AZ30" si="54">14.7*128/IF(AND($AI$2,W127),MIN($AL$32,MAX($AL$33,$AA$31+W160)),MIN($AL$32,MAX($AL$33,($AA$31+MAX(W160+$Z$2,MIN(W160+$AD$2,ROUND(AVERAGE(W160,W160,W160,W160,W160:X161),0)))))))</f>
        <v>13.835294117647058</v>
      </c>
      <c r="X30" s="62">
        <f t="shared" si="54"/>
        <v>13.835294117647058</v>
      </c>
      <c r="Y30" s="62">
        <f t="shared" si="54"/>
        <v>13.835294117647058</v>
      </c>
      <c r="Z30" s="62">
        <f t="shared" si="54"/>
        <v>13.536690647482013</v>
      </c>
      <c r="AA30" s="62">
        <f t="shared" si="54"/>
        <v>13.158041958041958</v>
      </c>
      <c r="AB30" s="62">
        <f t="shared" si="54"/>
        <v>12.628187919463087</v>
      </c>
      <c r="AC30" s="62">
        <f t="shared" si="54"/>
        <v>12.218181818181817</v>
      </c>
      <c r="AD30" s="62">
        <f t="shared" si="54"/>
        <v>12.061538461538461</v>
      </c>
      <c r="AE30" s="62">
        <f t="shared" si="54"/>
        <v>11.984713375796177</v>
      </c>
      <c r="AF30" s="62">
        <f t="shared" si="54"/>
        <v>11.76</v>
      </c>
      <c r="AG30" s="62">
        <f t="shared" si="54"/>
        <v>11.543558282208588</v>
      </c>
      <c r="AH30" s="62">
        <f t="shared" si="54"/>
        <v>11.403636363636362</v>
      </c>
      <c r="AI30" s="62">
        <f t="shared" si="54"/>
        <v>11.334939759036144</v>
      </c>
      <c r="AJ30" s="62">
        <f t="shared" si="54"/>
        <v>11.2</v>
      </c>
      <c r="AK30" s="62">
        <f t="shared" si="54"/>
        <v>11.133727810650887</v>
      </c>
      <c r="AL30" s="62">
        <f t="shared" si="54"/>
        <v>11.003508771929823</v>
      </c>
      <c r="AM30" s="62">
        <f t="shared" si="54"/>
        <v>10.876300578034682</v>
      </c>
      <c r="AN30" s="62">
        <f t="shared" si="54"/>
        <v>10.813793103448276</v>
      </c>
      <c r="AO30" s="62">
        <f t="shared" si="54"/>
        <v>10.751999999999999</v>
      </c>
      <c r="AP30" s="62">
        <f t="shared" si="54"/>
        <v>10.751999999999999</v>
      </c>
      <c r="AQ30" s="62">
        <f t="shared" si="54"/>
        <v>10.876300578034682</v>
      </c>
      <c r="AR30" s="62">
        <f t="shared" si="54"/>
        <v>10.751999999999999</v>
      </c>
      <c r="AS30" s="62">
        <f t="shared" si="54"/>
        <v>10.751999999999999</v>
      </c>
      <c r="AT30" s="62">
        <f t="shared" si="54"/>
        <v>10.751999999999999</v>
      </c>
      <c r="AU30" s="62">
        <f t="shared" si="54"/>
        <v>10.751999999999999</v>
      </c>
      <c r="AV30" s="62">
        <f t="shared" si="54"/>
        <v>10.751999999999999</v>
      </c>
      <c r="AW30" s="62">
        <f t="shared" si="54"/>
        <v>10.751999999999999</v>
      </c>
      <c r="AX30" s="62">
        <f t="shared" si="54"/>
        <v>10.751999999999999</v>
      </c>
      <c r="AY30" s="62">
        <f t="shared" si="54"/>
        <v>10.751999999999999</v>
      </c>
      <c r="AZ30" s="63">
        <f t="shared" si="54"/>
        <v>10.751999999999999</v>
      </c>
      <c r="BZ30" s="57">
        <v>5250</v>
      </c>
      <c r="CA30" s="69">
        <f t="shared" ref="CA30:CA38" si="55">W22-W55</f>
        <v>0</v>
      </c>
      <c r="CB30" s="70">
        <f t="shared" si="10"/>
        <v>0</v>
      </c>
      <c r="CC30" s="70">
        <f t="shared" si="11"/>
        <v>4.6511627905587716E-5</v>
      </c>
      <c r="CD30" s="70">
        <f t="shared" si="12"/>
        <v>-0.11215384615384671</v>
      </c>
      <c r="CE30" s="70">
        <f t="shared" si="13"/>
        <v>-0.10885454545454643</v>
      </c>
      <c r="CF30" s="70">
        <f t="shared" si="14"/>
        <v>-0.20650588235294265</v>
      </c>
      <c r="CG30" s="70">
        <f t="shared" si="15"/>
        <v>-0.29011914893617075</v>
      </c>
      <c r="CH30" s="70">
        <f t="shared" si="16"/>
        <v>-0.17418648648648727</v>
      </c>
      <c r="CI30" s="70">
        <f t="shared" si="17"/>
        <v>-0.16505263157894845</v>
      </c>
      <c r="CJ30" s="70">
        <f t="shared" si="18"/>
        <v>-7.583924050632973E-2</v>
      </c>
      <c r="CK30" s="70">
        <f t="shared" si="19"/>
        <v>-7.124171779141264E-2</v>
      </c>
      <c r="CL30" s="70">
        <f t="shared" si="20"/>
        <v>3.9759036145170512E-5</v>
      </c>
      <c r="CM30" s="70">
        <f t="shared" si="21"/>
        <v>-6.7099999999999937E-2</v>
      </c>
      <c r="CN30" s="70">
        <f t="shared" si="22"/>
        <v>3.4883720928746698E-5</v>
      </c>
      <c r="CO30" s="70">
        <f t="shared" si="23"/>
        <v>-6.8965517243668728E-6</v>
      </c>
      <c r="CP30" s="70">
        <f t="shared" si="24"/>
        <v>9.0909090904034429E-6</v>
      </c>
      <c r="CQ30" s="70">
        <f t="shared" si="25"/>
        <v>-6.1090909090911083E-2</v>
      </c>
      <c r="CR30" s="70">
        <f t="shared" si="26"/>
        <v>3.1843575419188141E-5</v>
      </c>
      <c r="CS30" s="70">
        <f t="shared" si="27"/>
        <v>5.8431843575418085E-2</v>
      </c>
      <c r="CT30" s="70">
        <f t="shared" si="28"/>
        <v>-1.3483146068082874E-5</v>
      </c>
      <c r="CU30" s="70">
        <f t="shared" si="29"/>
        <v>3.3333333332663528E-5</v>
      </c>
      <c r="CV30" s="70">
        <f t="shared" si="30"/>
        <v>-3.8461538462541967E-5</v>
      </c>
      <c r="CW30" s="70">
        <f t="shared" si="31"/>
        <v>-3.8461538462541967E-5</v>
      </c>
      <c r="CX30" s="70">
        <f t="shared" si="32"/>
        <v>-3.8461538462541967E-5</v>
      </c>
      <c r="CY30" s="70">
        <f t="shared" si="33"/>
        <v>-3.8461538462541967E-5</v>
      </c>
      <c r="CZ30" s="70">
        <f t="shared" si="34"/>
        <v>-3.8461538462541967E-5</v>
      </c>
      <c r="DA30" s="70">
        <f t="shared" si="35"/>
        <v>-3.8461538462541967E-5</v>
      </c>
      <c r="DB30" s="70">
        <f t="shared" si="36"/>
        <v>-3.8461538462541967E-5</v>
      </c>
      <c r="DC30" s="70">
        <f t="shared" si="37"/>
        <v>-3.8461538462541967E-5</v>
      </c>
      <c r="DD30" s="71">
        <f t="shared" si="38"/>
        <v>-3.8461538462541967E-5</v>
      </c>
    </row>
    <row r="31" spans="1:108" ht="15" customHeight="1" thickBot="1">
      <c r="V31" s="307" t="s">
        <v>20</v>
      </c>
      <c r="W31" s="308"/>
      <c r="X31" s="309"/>
      <c r="Y31" s="336" t="s">
        <v>13</v>
      </c>
      <c r="Z31" s="337"/>
      <c r="AA31" s="327">
        <f>AB31-128</f>
        <v>0</v>
      </c>
      <c r="AB31" s="208">
        <v>128</v>
      </c>
      <c r="BZ31" s="57">
        <v>5500</v>
      </c>
      <c r="CA31" s="69">
        <f t="shared" si="55"/>
        <v>-0.1139534883720934</v>
      </c>
      <c r="CB31" s="70">
        <f t="shared" si="10"/>
        <v>-0.1139534883720934</v>
      </c>
      <c r="CC31" s="70">
        <f t="shared" si="11"/>
        <v>-0.11215384615384671</v>
      </c>
      <c r="CD31" s="70">
        <f t="shared" si="12"/>
        <v>-0.2226412213740474</v>
      </c>
      <c r="CE31" s="70">
        <f t="shared" si="13"/>
        <v>-0.21270895522388145</v>
      </c>
      <c r="CF31" s="70">
        <f t="shared" si="14"/>
        <v>-0.20051739130434854</v>
      </c>
      <c r="CG31" s="70">
        <f t="shared" si="15"/>
        <v>-0.27803333333333313</v>
      </c>
      <c r="CH31" s="70">
        <f t="shared" si="16"/>
        <v>-0.16950000000000109</v>
      </c>
      <c r="CI31" s="70">
        <f t="shared" si="17"/>
        <v>-0.16071818181818287</v>
      </c>
      <c r="CJ31" s="70">
        <f t="shared" si="18"/>
        <v>-0.15073773584905759</v>
      </c>
      <c r="CK31" s="70">
        <f t="shared" si="19"/>
        <v>-7.124171779141264E-2</v>
      </c>
      <c r="CL31" s="70">
        <f t="shared" si="20"/>
        <v>3.9759036145170512E-5</v>
      </c>
      <c r="CM31" s="70">
        <f t="shared" si="21"/>
        <v>-6.7099999999999937E-2</v>
      </c>
      <c r="CN31" s="70">
        <f t="shared" si="22"/>
        <v>3.4883720928746698E-5</v>
      </c>
      <c r="CO31" s="70">
        <f t="shared" si="23"/>
        <v>5.7803468145323222E-7</v>
      </c>
      <c r="CP31" s="70">
        <f t="shared" si="24"/>
        <v>0</v>
      </c>
      <c r="CQ31" s="70">
        <f t="shared" si="25"/>
        <v>-6.1090909090911083E-2</v>
      </c>
      <c r="CR31" s="70">
        <f t="shared" si="26"/>
        <v>5.9708474576270376E-2</v>
      </c>
      <c r="CS31" s="70">
        <f t="shared" si="27"/>
        <v>-6.1090909090911083E-2</v>
      </c>
      <c r="CT31" s="70">
        <f t="shared" si="28"/>
        <v>-5.9713483146067503E-2</v>
      </c>
      <c r="CU31" s="70">
        <f t="shared" si="29"/>
        <v>3.3333333332663528E-5</v>
      </c>
      <c r="CV31" s="70">
        <f t="shared" si="30"/>
        <v>3.3333333332663528E-5</v>
      </c>
      <c r="CW31" s="70">
        <f t="shared" si="31"/>
        <v>-5.7719889502763522E-2</v>
      </c>
      <c r="CX31" s="70">
        <f t="shared" si="32"/>
        <v>-3.8461538462541967E-5</v>
      </c>
      <c r="CY31" s="70">
        <f t="shared" si="33"/>
        <v>-3.8461538462541967E-5</v>
      </c>
      <c r="CZ31" s="70">
        <f t="shared" si="34"/>
        <v>-3.8461538462541967E-5</v>
      </c>
      <c r="DA31" s="70">
        <f t="shared" si="35"/>
        <v>-3.8461538462541967E-5</v>
      </c>
      <c r="DB31" s="70">
        <f t="shared" si="36"/>
        <v>-3.8461538462541967E-5</v>
      </c>
      <c r="DC31" s="70">
        <f t="shared" si="37"/>
        <v>-3.8461538462541967E-5</v>
      </c>
      <c r="DD31" s="71">
        <f t="shared" si="38"/>
        <v>-3.8461538462541967E-5</v>
      </c>
    </row>
    <row r="32" spans="1:108" s="41" customFormat="1" ht="18" customHeight="1" thickBot="1">
      <c r="V32" s="310"/>
      <c r="W32" s="311"/>
      <c r="X32" s="312"/>
      <c r="Y32" s="316" t="s">
        <v>12</v>
      </c>
      <c r="Z32" s="317"/>
      <c r="AA32" s="319"/>
      <c r="AB32" s="77"/>
      <c r="AH32" s="334" t="s">
        <v>16</v>
      </c>
      <c r="AI32" s="335" t="s">
        <v>16</v>
      </c>
      <c r="AJ32" s="329" t="s">
        <v>17</v>
      </c>
      <c r="AK32" s="330"/>
      <c r="AL32" s="79">
        <v>231</v>
      </c>
      <c r="AM32" s="331">
        <f>14.7*128/AL32</f>
        <v>8.1454545454545446</v>
      </c>
      <c r="AN32" s="332"/>
      <c r="AO32" s="102"/>
      <c r="AP32" s="102"/>
      <c r="AQ32" s="102"/>
      <c r="AR32" s="102"/>
      <c r="AS32" s="102"/>
      <c r="AT32" s="102"/>
      <c r="AU32" s="102"/>
      <c r="AV32" s="102"/>
      <c r="AW32" s="102"/>
      <c r="AX32" s="102"/>
      <c r="AY32" s="102"/>
      <c r="AZ32" s="102"/>
      <c r="BA32" s="58"/>
      <c r="BB32" s="58"/>
      <c r="BZ32" s="57">
        <v>6000</v>
      </c>
      <c r="CA32" s="69">
        <f t="shared" si="55"/>
        <v>-0.11044122137404777</v>
      </c>
      <c r="CB32" s="70">
        <f t="shared" si="10"/>
        <v>-0.10885454545454643</v>
      </c>
      <c r="CC32" s="70">
        <f t="shared" si="11"/>
        <v>-0.10885454545454643</v>
      </c>
      <c r="CD32" s="70">
        <f t="shared" si="12"/>
        <v>-0.10560895522388059</v>
      </c>
      <c r="CE32" s="70">
        <f t="shared" si="13"/>
        <v>-0.20349343065693404</v>
      </c>
      <c r="CF32" s="70">
        <f t="shared" si="14"/>
        <v>-0.18929577464788672</v>
      </c>
      <c r="CG32" s="70">
        <f t="shared" si="15"/>
        <v>-0.17418648648648727</v>
      </c>
      <c r="CH32" s="70">
        <f t="shared" si="16"/>
        <v>-8.0860784313726342E-2</v>
      </c>
      <c r="CI32" s="70">
        <f t="shared" si="17"/>
        <v>-7.8845161290322707E-2</v>
      </c>
      <c r="CJ32" s="70">
        <f t="shared" si="18"/>
        <v>-7.3999999999999844E-2</v>
      </c>
      <c r="CK32" s="70">
        <f t="shared" si="19"/>
        <v>-7.124171779141264E-2</v>
      </c>
      <c r="CL32" s="70">
        <f t="shared" si="20"/>
        <v>-6.8660240963856367E-2</v>
      </c>
      <c r="CM32" s="70">
        <f t="shared" si="21"/>
        <v>-6.7099999999999937E-2</v>
      </c>
      <c r="CN32" s="70">
        <f t="shared" si="22"/>
        <v>-6.469122807017591E-2</v>
      </c>
      <c r="CO32" s="70">
        <f t="shared" si="23"/>
        <v>-6.3199421965318692E-2</v>
      </c>
      <c r="CP32" s="70">
        <f t="shared" si="24"/>
        <v>0</v>
      </c>
      <c r="CQ32" s="70">
        <f t="shared" si="25"/>
        <v>9.0909090904034429E-6</v>
      </c>
      <c r="CR32" s="70">
        <f t="shared" si="26"/>
        <v>8.4745762709559358E-6</v>
      </c>
      <c r="CS32" s="70">
        <f t="shared" si="27"/>
        <v>-6.1090909090911083E-2</v>
      </c>
      <c r="CT32" s="70">
        <f t="shared" si="28"/>
        <v>-5.9713483146067503E-2</v>
      </c>
      <c r="CU32" s="70">
        <f t="shared" si="29"/>
        <v>3.1843575419188141E-5</v>
      </c>
      <c r="CV32" s="70">
        <f t="shared" si="30"/>
        <v>-1.9889502762993061E-5</v>
      </c>
      <c r="CW32" s="70">
        <f t="shared" si="31"/>
        <v>-1.9889502762993061E-5</v>
      </c>
      <c r="CX32" s="70">
        <f t="shared" si="32"/>
        <v>-1.9889502762993061E-5</v>
      </c>
      <c r="CY32" s="70">
        <f t="shared" si="33"/>
        <v>-1.9889502762993061E-5</v>
      </c>
      <c r="CZ32" s="70">
        <f t="shared" si="34"/>
        <v>-3.2786885245883468E-5</v>
      </c>
      <c r="DA32" s="70">
        <f t="shared" si="35"/>
        <v>-3.2786885245883468E-5</v>
      </c>
      <c r="DB32" s="70">
        <f t="shared" si="36"/>
        <v>-3.2786885245883468E-5</v>
      </c>
      <c r="DC32" s="70">
        <f t="shared" si="37"/>
        <v>-3.2786885245883468E-5</v>
      </c>
      <c r="DD32" s="71">
        <f t="shared" si="38"/>
        <v>-3.2786885245883468E-5</v>
      </c>
    </row>
    <row r="33" spans="21:108" s="41" customFormat="1" ht="18" customHeight="1" thickBot="1">
      <c r="V33" s="322" t="s">
        <v>21</v>
      </c>
      <c r="W33" s="323"/>
      <c r="X33" s="324"/>
      <c r="Y33" s="313" t="s">
        <v>13</v>
      </c>
      <c r="Z33" s="314"/>
      <c r="AA33" s="318">
        <f>AB33-128</f>
        <v>0</v>
      </c>
      <c r="AB33" s="76">
        <v>128</v>
      </c>
      <c r="AH33" s="341" t="s">
        <v>15</v>
      </c>
      <c r="AI33" s="342"/>
      <c r="AJ33" s="329" t="s">
        <v>18</v>
      </c>
      <c r="AK33" s="330"/>
      <c r="AL33" s="79">
        <v>128</v>
      </c>
      <c r="AM33" s="331">
        <f>14.7*128/AL33</f>
        <v>14.7</v>
      </c>
      <c r="AN33" s="332"/>
      <c r="AO33" s="102"/>
      <c r="AP33" s="102"/>
      <c r="AQ33" s="102"/>
      <c r="AR33" s="102"/>
      <c r="AS33" s="102"/>
      <c r="AT33" s="102"/>
      <c r="AU33" s="102"/>
      <c r="AV33" s="102"/>
      <c r="AW33" s="102"/>
      <c r="AX33" s="102"/>
      <c r="AY33" s="102"/>
      <c r="AZ33" s="102"/>
      <c r="BA33" s="59"/>
      <c r="BB33" s="59"/>
      <c r="BZ33" s="57">
        <v>6500</v>
      </c>
      <c r="CA33" s="69">
        <f t="shared" si="55"/>
        <v>-0.10402222222222335</v>
      </c>
      <c r="CB33" s="70">
        <f t="shared" si="10"/>
        <v>-0.10402222222222335</v>
      </c>
      <c r="CC33" s="70">
        <f t="shared" si="11"/>
        <v>-0.10402222222222335</v>
      </c>
      <c r="CD33" s="70">
        <f t="shared" si="12"/>
        <v>-0.10099343065693489</v>
      </c>
      <c r="CE33" s="70">
        <f t="shared" si="13"/>
        <v>-0.19201914893617023</v>
      </c>
      <c r="CF33" s="70">
        <f t="shared" si="14"/>
        <v>-0.17902876712328997</v>
      </c>
      <c r="CG33" s="70">
        <f t="shared" si="15"/>
        <v>-0.16727284768211881</v>
      </c>
      <c r="CH33" s="70">
        <f t="shared" si="16"/>
        <v>-7.8845161290322707E-2</v>
      </c>
      <c r="CI33" s="70">
        <f t="shared" si="17"/>
        <v>-7.7861538461538871E-2</v>
      </c>
      <c r="CJ33" s="70">
        <f t="shared" si="18"/>
        <v>-7.3999999999999844E-2</v>
      </c>
      <c r="CK33" s="70">
        <f t="shared" si="19"/>
        <v>-7.124171779141264E-2</v>
      </c>
      <c r="CL33" s="70">
        <f t="shared" si="20"/>
        <v>3.6363636361613771E-5</v>
      </c>
      <c r="CM33" s="70">
        <f t="shared" si="21"/>
        <v>-6.7099999999999937E-2</v>
      </c>
      <c r="CN33" s="70">
        <f t="shared" si="22"/>
        <v>3.5294117648021484E-5</v>
      </c>
      <c r="CO33" s="70">
        <f t="shared" si="23"/>
        <v>3.4883720928746698E-5</v>
      </c>
      <c r="CP33" s="70">
        <f t="shared" si="24"/>
        <v>6.1793103448275488E-2</v>
      </c>
      <c r="CQ33" s="70">
        <f t="shared" si="25"/>
        <v>-6.1090909090911083E-2</v>
      </c>
      <c r="CR33" s="70">
        <f t="shared" si="26"/>
        <v>-1.3483146068082874E-5</v>
      </c>
      <c r="CS33" s="70">
        <f t="shared" si="27"/>
        <v>8.4745762709559358E-6</v>
      </c>
      <c r="CT33" s="70">
        <f t="shared" si="28"/>
        <v>5.9708474576270376E-2</v>
      </c>
      <c r="CU33" s="70">
        <f t="shared" si="29"/>
        <v>-1.3483146068082874E-5</v>
      </c>
      <c r="CV33" s="70">
        <f t="shared" si="30"/>
        <v>3.3333333332663528E-5</v>
      </c>
      <c r="CW33" s="70">
        <f t="shared" si="31"/>
        <v>3.3333333332663528E-5</v>
      </c>
      <c r="CX33" s="70">
        <f t="shared" si="32"/>
        <v>3.3333333332663528E-5</v>
      </c>
      <c r="CY33" s="70">
        <f t="shared" si="33"/>
        <v>3.3333333332663528E-5</v>
      </c>
      <c r="CZ33" s="70">
        <f t="shared" si="34"/>
        <v>-3.8461538462541967E-5</v>
      </c>
      <c r="DA33" s="70">
        <f t="shared" si="35"/>
        <v>-3.8461538462541967E-5</v>
      </c>
      <c r="DB33" s="70">
        <f t="shared" si="36"/>
        <v>-3.8461538462541967E-5</v>
      </c>
      <c r="DC33" s="70">
        <f t="shared" si="37"/>
        <v>-3.8461538462541967E-5</v>
      </c>
      <c r="DD33" s="71">
        <f t="shared" si="38"/>
        <v>-3.8461538462541967E-5</v>
      </c>
    </row>
    <row r="34" spans="21:108" s="41" customFormat="1" ht="18" customHeight="1" thickBot="1">
      <c r="V34" s="310"/>
      <c r="W34" s="311"/>
      <c r="X34" s="312"/>
      <c r="Y34" s="316" t="s">
        <v>12</v>
      </c>
      <c r="Z34" s="317"/>
      <c r="AA34" s="319"/>
      <c r="AB34" s="77"/>
      <c r="BA34" s="59"/>
      <c r="BB34" s="59"/>
      <c r="BZ34" s="57">
        <v>7000</v>
      </c>
      <c r="CA34" s="69">
        <f t="shared" si="55"/>
        <v>-5.8823529425211518E-6</v>
      </c>
      <c r="CB34" s="70">
        <f t="shared" si="10"/>
        <v>-5.8823529425211518E-6</v>
      </c>
      <c r="CC34" s="70">
        <f t="shared" si="11"/>
        <v>-0.10099343065693489</v>
      </c>
      <c r="CD34" s="70">
        <f t="shared" si="12"/>
        <v>-9.8109352517987247E-2</v>
      </c>
      <c r="CE34" s="70">
        <f t="shared" si="13"/>
        <v>-9.2658041958042503E-2</v>
      </c>
      <c r="CF34" s="70">
        <f t="shared" si="14"/>
        <v>-0.17181208053691321</v>
      </c>
      <c r="CG34" s="70">
        <f t="shared" si="15"/>
        <v>-8.0860784313726342E-2</v>
      </c>
      <c r="CH34" s="70">
        <f t="shared" si="16"/>
        <v>-7.7861538461538871E-2</v>
      </c>
      <c r="CI34" s="70">
        <f t="shared" si="17"/>
        <v>-7.583924050632973E-2</v>
      </c>
      <c r="CJ34" s="70">
        <f t="shared" si="18"/>
        <v>-7.3999999999999844E-2</v>
      </c>
      <c r="CK34" s="70">
        <f t="shared" si="19"/>
        <v>-7.124171779141264E-2</v>
      </c>
      <c r="CL34" s="70">
        <f t="shared" si="20"/>
        <v>3.6363636361613771E-5</v>
      </c>
      <c r="CM34" s="70">
        <f t="shared" si="21"/>
        <v>-6.783413173652697E-2</v>
      </c>
      <c r="CN34" s="70">
        <f t="shared" si="22"/>
        <v>2.7810650887971633E-5</v>
      </c>
      <c r="CO34" s="70">
        <f t="shared" si="23"/>
        <v>-6.469122807017591E-2</v>
      </c>
      <c r="CP34" s="70">
        <f t="shared" si="24"/>
        <v>3.4883720928746698E-5</v>
      </c>
      <c r="CQ34" s="70">
        <f t="shared" si="25"/>
        <v>-6.2506896551724367E-2</v>
      </c>
      <c r="CR34" s="70">
        <f t="shared" si="26"/>
        <v>5.9708474576270376E-2</v>
      </c>
      <c r="CS34" s="70">
        <f t="shared" si="27"/>
        <v>0</v>
      </c>
      <c r="CT34" s="70">
        <f t="shared" si="28"/>
        <v>9.0909090904034429E-6</v>
      </c>
      <c r="CU34" s="70">
        <f t="shared" si="29"/>
        <v>-6.1090909090911083E-2</v>
      </c>
      <c r="CV34" s="70">
        <f t="shared" si="30"/>
        <v>3.1843575419188141E-5</v>
      </c>
      <c r="CW34" s="70">
        <f t="shared" si="31"/>
        <v>3.1843575419188141E-5</v>
      </c>
      <c r="CX34" s="70">
        <f t="shared" si="32"/>
        <v>3.1843575419188141E-5</v>
      </c>
      <c r="CY34" s="70">
        <f t="shared" si="33"/>
        <v>3.1843575419188141E-5</v>
      </c>
      <c r="CZ34" s="70">
        <f t="shared" si="34"/>
        <v>-1.9889502762993061E-5</v>
      </c>
      <c r="DA34" s="70">
        <f t="shared" si="35"/>
        <v>-1.9889502762993061E-5</v>
      </c>
      <c r="DB34" s="70">
        <f t="shared" si="36"/>
        <v>-1.9889502762993061E-5</v>
      </c>
      <c r="DC34" s="70">
        <f t="shared" si="37"/>
        <v>-1.9889502762993061E-5</v>
      </c>
      <c r="DD34" s="71">
        <f t="shared" si="38"/>
        <v>-1.9889502762993061E-5</v>
      </c>
    </row>
    <row r="35" spans="21:108" s="41" customFormat="1" ht="15" customHeight="1" thickBot="1">
      <c r="U35" s="321"/>
      <c r="V35" s="321"/>
      <c r="W35" s="321"/>
      <c r="X35" s="321"/>
      <c r="Y35" s="321"/>
      <c r="Z35" s="321"/>
      <c r="AA35" s="321"/>
      <c r="BA35" s="60"/>
      <c r="BB35" s="60"/>
      <c r="BZ35" s="57">
        <v>7500</v>
      </c>
      <c r="CA35" s="69">
        <f t="shared" si="55"/>
        <v>-5.8823529425211518E-6</v>
      </c>
      <c r="CB35" s="70">
        <f t="shared" si="10"/>
        <v>-5.8823529425211518E-6</v>
      </c>
      <c r="CC35" s="70">
        <f t="shared" si="11"/>
        <v>-0.10099343065693489</v>
      </c>
      <c r="CD35" s="70">
        <f t="shared" si="12"/>
        <v>-9.8109352517987247E-2</v>
      </c>
      <c r="CE35" s="70">
        <f t="shared" si="13"/>
        <v>-0.18403333333333372</v>
      </c>
      <c r="CF35" s="70">
        <f t="shared" si="14"/>
        <v>-8.5312080536912305E-2</v>
      </c>
      <c r="CG35" s="70">
        <f t="shared" si="15"/>
        <v>-7.981818181818312E-2</v>
      </c>
      <c r="CH35" s="70">
        <f t="shared" si="16"/>
        <v>3.846153846076561E-5</v>
      </c>
      <c r="CI35" s="70">
        <f t="shared" si="17"/>
        <v>-7.583924050632973E-2</v>
      </c>
      <c r="CJ35" s="70">
        <f t="shared" si="18"/>
        <v>-7.3999999999999844E-2</v>
      </c>
      <c r="CK35" s="70">
        <f t="shared" si="19"/>
        <v>-7.124171779141264E-2</v>
      </c>
      <c r="CL35" s="70">
        <f t="shared" si="20"/>
        <v>3.6363636361613771E-5</v>
      </c>
      <c r="CM35" s="70">
        <f t="shared" si="21"/>
        <v>-6.783413173652697E-2</v>
      </c>
      <c r="CN35" s="70">
        <f t="shared" si="22"/>
        <v>0</v>
      </c>
      <c r="CO35" s="70">
        <f t="shared" si="23"/>
        <v>-6.5464705882352092E-2</v>
      </c>
      <c r="CP35" s="70">
        <f t="shared" si="24"/>
        <v>5.7803468145323222E-7</v>
      </c>
      <c r="CQ35" s="70">
        <f t="shared" si="25"/>
        <v>-6.2506896551724367E-2</v>
      </c>
      <c r="CR35" s="70">
        <f t="shared" si="26"/>
        <v>9.0909090904034429E-6</v>
      </c>
      <c r="CS35" s="70">
        <f t="shared" si="27"/>
        <v>0</v>
      </c>
      <c r="CT35" s="70">
        <f t="shared" si="28"/>
        <v>0</v>
      </c>
      <c r="CU35" s="70">
        <f t="shared" si="29"/>
        <v>0</v>
      </c>
      <c r="CV35" s="70">
        <f t="shared" si="30"/>
        <v>8.4745762709559358E-6</v>
      </c>
      <c r="CW35" s="70">
        <f t="shared" si="31"/>
        <v>8.4745762709559358E-6</v>
      </c>
      <c r="CX35" s="70">
        <f t="shared" si="32"/>
        <v>8.4745762709559358E-6</v>
      </c>
      <c r="CY35" s="70">
        <f t="shared" si="33"/>
        <v>8.4745762709559358E-6</v>
      </c>
      <c r="CZ35" s="70">
        <f t="shared" si="34"/>
        <v>3.1843575419188141E-5</v>
      </c>
      <c r="DA35" s="70">
        <f t="shared" si="35"/>
        <v>3.1843575419188141E-5</v>
      </c>
      <c r="DB35" s="70">
        <f t="shared" si="36"/>
        <v>3.1843575419188141E-5</v>
      </c>
      <c r="DC35" s="70">
        <f t="shared" si="37"/>
        <v>3.1843575419188141E-5</v>
      </c>
      <c r="DD35" s="71">
        <f t="shared" si="38"/>
        <v>3.1843575419188141E-5</v>
      </c>
    </row>
    <row r="36" spans="21:108" s="41" customFormat="1" ht="15" customHeight="1" thickBot="1">
      <c r="U36" s="278">
        <v>2</v>
      </c>
      <c r="V36" s="279"/>
      <c r="W36" s="288" t="s">
        <v>23</v>
      </c>
      <c r="X36" s="289"/>
      <c r="Y36" s="289"/>
      <c r="Z36" s="289"/>
      <c r="AA36" s="289"/>
      <c r="AB36" s="289"/>
      <c r="AC36" s="289"/>
      <c r="AD36" s="289"/>
      <c r="AE36" s="289"/>
      <c r="AF36" s="289"/>
      <c r="AG36" s="289"/>
      <c r="AH36" s="289"/>
      <c r="AI36" s="289"/>
      <c r="AJ36" s="289"/>
      <c r="AK36" s="289"/>
      <c r="AL36" s="289"/>
      <c r="AM36" s="289"/>
      <c r="AN36" s="289"/>
      <c r="AO36" s="289"/>
      <c r="AP36" s="289"/>
      <c r="AQ36" s="289"/>
      <c r="AR36" s="289"/>
      <c r="AS36" s="289"/>
      <c r="AT36" s="289"/>
      <c r="AU36" s="289"/>
      <c r="AV36" s="289"/>
      <c r="AW36" s="289"/>
      <c r="AX36" s="289"/>
      <c r="AY36" s="289"/>
      <c r="AZ36" s="290"/>
      <c r="BA36" s="60"/>
      <c r="BB36" s="60"/>
      <c r="BZ36" s="57">
        <v>8000</v>
      </c>
      <c r="CA36" s="69">
        <f t="shared" si="55"/>
        <v>-5.8823529425211518E-6</v>
      </c>
      <c r="CB36" s="70">
        <f t="shared" si="10"/>
        <v>-5.8823529425211518E-6</v>
      </c>
      <c r="CC36" s="70">
        <f t="shared" si="11"/>
        <v>-0.10099343065693489</v>
      </c>
      <c r="CD36" s="70">
        <f t="shared" si="12"/>
        <v>-9.8109352517987247E-2</v>
      </c>
      <c r="CE36" s="70">
        <f t="shared" si="13"/>
        <v>-0.18403333333333372</v>
      </c>
      <c r="CF36" s="70">
        <f t="shared" si="14"/>
        <v>-8.5312080536912305E-2</v>
      </c>
      <c r="CG36" s="70">
        <f t="shared" si="15"/>
        <v>-7.981818181818312E-2</v>
      </c>
      <c r="CH36" s="70">
        <f t="shared" si="16"/>
        <v>3.846153846076561E-5</v>
      </c>
      <c r="CI36" s="70">
        <f t="shared" si="17"/>
        <v>-7.583924050632973E-2</v>
      </c>
      <c r="CJ36" s="70">
        <f t="shared" si="18"/>
        <v>-7.3999999999999844E-2</v>
      </c>
      <c r="CK36" s="70">
        <f t="shared" si="19"/>
        <v>-7.124171779141264E-2</v>
      </c>
      <c r="CL36" s="70">
        <f t="shared" si="20"/>
        <v>3.6363636361613771E-5</v>
      </c>
      <c r="CM36" s="70">
        <f t="shared" si="21"/>
        <v>-6.783413173652697E-2</v>
      </c>
      <c r="CN36" s="70">
        <f t="shared" si="22"/>
        <v>0</v>
      </c>
      <c r="CO36" s="70">
        <f t="shared" si="23"/>
        <v>-6.5464705882352092E-2</v>
      </c>
      <c r="CP36" s="70">
        <f t="shared" si="24"/>
        <v>-6.396511627907131E-2</v>
      </c>
      <c r="CQ36" s="70">
        <f t="shared" si="25"/>
        <v>5.7803468145323222E-7</v>
      </c>
      <c r="CR36" s="70">
        <f t="shared" si="26"/>
        <v>-6.8965517243668728E-6</v>
      </c>
      <c r="CS36" s="70">
        <f t="shared" si="27"/>
        <v>0</v>
      </c>
      <c r="CT36" s="70">
        <f t="shared" si="28"/>
        <v>0</v>
      </c>
      <c r="CU36" s="70">
        <f t="shared" si="29"/>
        <v>-6.2506896551724367E-2</v>
      </c>
      <c r="CV36" s="70">
        <f t="shared" si="30"/>
        <v>0</v>
      </c>
      <c r="CW36" s="70">
        <f t="shared" si="31"/>
        <v>0</v>
      </c>
      <c r="CX36" s="70">
        <f t="shared" si="32"/>
        <v>0</v>
      </c>
      <c r="CY36" s="70">
        <f t="shared" si="33"/>
        <v>0</v>
      </c>
      <c r="CZ36" s="70">
        <f t="shared" si="34"/>
        <v>8.4745762709559358E-6</v>
      </c>
      <c r="DA36" s="70">
        <f t="shared" si="35"/>
        <v>8.4745762709559358E-6</v>
      </c>
      <c r="DB36" s="70">
        <f t="shared" si="36"/>
        <v>8.4745762709559358E-6</v>
      </c>
      <c r="DC36" s="70">
        <f t="shared" si="37"/>
        <v>8.4745762709559358E-6</v>
      </c>
      <c r="DD36" s="71">
        <f t="shared" si="38"/>
        <v>8.4745762709559358E-6</v>
      </c>
    </row>
    <row r="37" spans="21:108" s="41" customFormat="1" ht="15" customHeight="1" thickBot="1">
      <c r="U37" s="280"/>
      <c r="V37" s="281"/>
      <c r="W37" s="291" t="s">
        <v>0</v>
      </c>
      <c r="X37" s="292"/>
      <c r="Y37" s="292"/>
      <c r="Z37" s="292"/>
      <c r="AA37" s="292"/>
      <c r="AB37" s="292"/>
      <c r="AC37" s="292"/>
      <c r="AD37" s="292"/>
      <c r="AE37" s="292"/>
      <c r="AF37" s="292"/>
      <c r="AG37" s="292"/>
      <c r="AH37" s="292"/>
      <c r="AI37" s="292"/>
      <c r="AJ37" s="292"/>
      <c r="AK37" s="292"/>
      <c r="AL37" s="292"/>
      <c r="AM37" s="292"/>
      <c r="AN37" s="292"/>
      <c r="AO37" s="292"/>
      <c r="AP37" s="292"/>
      <c r="AQ37" s="292"/>
      <c r="AR37" s="292"/>
      <c r="AS37" s="292"/>
      <c r="AT37" s="292"/>
      <c r="AU37" s="292"/>
      <c r="AV37" s="292"/>
      <c r="AW37" s="292"/>
      <c r="AX37" s="292"/>
      <c r="AY37" s="292"/>
      <c r="AZ37" s="293"/>
      <c r="BA37" s="60"/>
      <c r="BB37" s="60"/>
      <c r="BZ37" s="57">
        <v>8500</v>
      </c>
      <c r="CA37" s="69">
        <f t="shared" si="55"/>
        <v>-5.8823529425211518E-6</v>
      </c>
      <c r="CB37" s="70">
        <f t="shared" si="10"/>
        <v>-5.8823529425211518E-6</v>
      </c>
      <c r="CC37" s="70">
        <f t="shared" si="11"/>
        <v>-0.10099343065693489</v>
      </c>
      <c r="CD37" s="70">
        <f t="shared" si="12"/>
        <v>-9.8109352517987247E-2</v>
      </c>
      <c r="CE37" s="70">
        <f t="shared" si="13"/>
        <v>-0.18403333333333372</v>
      </c>
      <c r="CF37" s="70">
        <f t="shared" si="14"/>
        <v>-8.5312080536912305E-2</v>
      </c>
      <c r="CG37" s="70">
        <f t="shared" si="15"/>
        <v>-7.981818181818312E-2</v>
      </c>
      <c r="CH37" s="70">
        <f t="shared" si="16"/>
        <v>3.846153846076561E-5</v>
      </c>
      <c r="CI37" s="70">
        <f t="shared" si="17"/>
        <v>-7.583924050632973E-2</v>
      </c>
      <c r="CJ37" s="70">
        <f t="shared" si="18"/>
        <v>-7.3999999999999844E-2</v>
      </c>
      <c r="CK37" s="70">
        <f t="shared" si="19"/>
        <v>-7.124171779141264E-2</v>
      </c>
      <c r="CL37" s="70">
        <f t="shared" si="20"/>
        <v>3.6363636361613771E-5</v>
      </c>
      <c r="CM37" s="70">
        <f t="shared" si="21"/>
        <v>-6.783413173652697E-2</v>
      </c>
      <c r="CN37" s="70">
        <f t="shared" si="22"/>
        <v>0</v>
      </c>
      <c r="CO37" s="70">
        <f t="shared" si="23"/>
        <v>-6.5464705882352092E-2</v>
      </c>
      <c r="CP37" s="70">
        <f t="shared" si="24"/>
        <v>-6.396511627907131E-2</v>
      </c>
      <c r="CQ37" s="70">
        <f t="shared" si="25"/>
        <v>5.7803468145323222E-7</v>
      </c>
      <c r="CR37" s="70">
        <f t="shared" si="26"/>
        <v>-6.8965517243668728E-6</v>
      </c>
      <c r="CS37" s="70">
        <f t="shared" si="27"/>
        <v>0</v>
      </c>
      <c r="CT37" s="70">
        <f t="shared" si="28"/>
        <v>0</v>
      </c>
      <c r="CU37" s="70">
        <f t="shared" si="29"/>
        <v>-6.2506896551724367E-2</v>
      </c>
      <c r="CV37" s="70">
        <f t="shared" si="30"/>
        <v>0</v>
      </c>
      <c r="CW37" s="70">
        <f t="shared" si="31"/>
        <v>0</v>
      </c>
      <c r="CX37" s="70">
        <f t="shared" si="32"/>
        <v>0</v>
      </c>
      <c r="CY37" s="70">
        <f t="shared" si="33"/>
        <v>0</v>
      </c>
      <c r="CZ37" s="70">
        <f t="shared" si="34"/>
        <v>0</v>
      </c>
      <c r="DA37" s="70">
        <f t="shared" si="35"/>
        <v>0</v>
      </c>
      <c r="DB37" s="70">
        <f t="shared" si="36"/>
        <v>0</v>
      </c>
      <c r="DC37" s="70">
        <f t="shared" si="37"/>
        <v>0</v>
      </c>
      <c r="DD37" s="71">
        <f t="shared" si="38"/>
        <v>0</v>
      </c>
    </row>
    <row r="38" spans="21:108" s="41" customFormat="1" ht="15" customHeight="1" thickBot="1">
      <c r="U38" s="282"/>
      <c r="V38" s="283"/>
      <c r="W38" s="175">
        <v>10</v>
      </c>
      <c r="X38" s="176">
        <v>20</v>
      </c>
      <c r="Y38" s="176">
        <v>30</v>
      </c>
      <c r="Z38" s="176">
        <v>40</v>
      </c>
      <c r="AA38" s="177">
        <v>50</v>
      </c>
      <c r="AB38" s="177">
        <v>60</v>
      </c>
      <c r="AC38" s="177">
        <v>70</v>
      </c>
      <c r="AD38" s="177">
        <v>80</v>
      </c>
      <c r="AE38" s="177">
        <v>90</v>
      </c>
      <c r="AF38" s="177">
        <v>100</v>
      </c>
      <c r="AG38" s="177">
        <v>120</v>
      </c>
      <c r="AH38" s="177">
        <v>140</v>
      </c>
      <c r="AI38" s="173">
        <v>150</v>
      </c>
      <c r="AJ38" s="173">
        <v>160</v>
      </c>
      <c r="AK38" s="173">
        <v>170</v>
      </c>
      <c r="AL38" s="173">
        <v>180</v>
      </c>
      <c r="AM38" s="173">
        <v>190</v>
      </c>
      <c r="AN38" s="173">
        <v>200</v>
      </c>
      <c r="AO38" s="173">
        <v>210</v>
      </c>
      <c r="AP38" s="173">
        <v>220</v>
      </c>
      <c r="AQ38" s="173">
        <v>230</v>
      </c>
      <c r="AR38" s="173">
        <v>240</v>
      </c>
      <c r="AS38" s="173">
        <v>250</v>
      </c>
      <c r="AT38" s="173">
        <v>260</v>
      </c>
      <c r="AU38" s="173">
        <v>270</v>
      </c>
      <c r="AV38" s="173">
        <v>280</v>
      </c>
      <c r="AW38" s="173">
        <v>290</v>
      </c>
      <c r="AX38" s="173">
        <v>300</v>
      </c>
      <c r="AY38" s="173">
        <v>310</v>
      </c>
      <c r="AZ38" s="174">
        <v>320</v>
      </c>
      <c r="BA38" s="60"/>
      <c r="BB38" s="60"/>
      <c r="BZ38" s="57">
        <v>11000</v>
      </c>
      <c r="CA38" s="72">
        <f t="shared" si="55"/>
        <v>-5.8823529425211518E-6</v>
      </c>
      <c r="CB38" s="73">
        <f t="shared" si="10"/>
        <v>-5.8823529425211518E-6</v>
      </c>
      <c r="CC38" s="73">
        <f t="shared" si="11"/>
        <v>-5.8823529425211518E-6</v>
      </c>
      <c r="CD38" s="73">
        <f t="shared" si="12"/>
        <v>-9.8109352517987247E-2</v>
      </c>
      <c r="CE38" s="73">
        <f t="shared" si="13"/>
        <v>-9.2658041958042503E-2</v>
      </c>
      <c r="CF38" s="73">
        <f t="shared" si="14"/>
        <v>-8.5312080536912305E-2</v>
      </c>
      <c r="CG38" s="73">
        <f t="shared" si="15"/>
        <v>-7.981818181818312E-2</v>
      </c>
      <c r="CH38" s="73">
        <f t="shared" si="16"/>
        <v>3.846153846076561E-5</v>
      </c>
      <c r="CI38" s="73">
        <f t="shared" si="17"/>
        <v>1.3375796177328425E-5</v>
      </c>
      <c r="CJ38" s="73">
        <f t="shared" si="18"/>
        <v>-7.3999999999999844E-2</v>
      </c>
      <c r="CK38" s="73">
        <f t="shared" si="19"/>
        <v>-7.124171779141264E-2</v>
      </c>
      <c r="CL38" s="73">
        <f t="shared" si="20"/>
        <v>3.6363636361613771E-5</v>
      </c>
      <c r="CM38" s="73">
        <f t="shared" si="21"/>
        <v>3.9759036145170512E-5</v>
      </c>
      <c r="CN38" s="73">
        <f t="shared" si="22"/>
        <v>0</v>
      </c>
      <c r="CO38" s="73">
        <f t="shared" si="23"/>
        <v>2.7810650887971633E-5</v>
      </c>
      <c r="CP38" s="73">
        <f t="shared" si="24"/>
        <v>8.7719298225152897E-6</v>
      </c>
      <c r="CQ38" s="73">
        <f t="shared" si="25"/>
        <v>5.7803468145323222E-7</v>
      </c>
      <c r="CR38" s="73">
        <f t="shared" si="26"/>
        <v>-6.8965517243668728E-6</v>
      </c>
      <c r="CS38" s="73">
        <f t="shared" si="27"/>
        <v>0</v>
      </c>
      <c r="CT38" s="73">
        <f t="shared" si="28"/>
        <v>0</v>
      </c>
      <c r="CU38" s="73">
        <f t="shared" si="29"/>
        <v>5.7803468145323222E-7</v>
      </c>
      <c r="CV38" s="73">
        <f t="shared" si="30"/>
        <v>0</v>
      </c>
      <c r="CW38" s="73">
        <f t="shared" si="31"/>
        <v>0</v>
      </c>
      <c r="CX38" s="73">
        <f t="shared" si="32"/>
        <v>0</v>
      </c>
      <c r="CY38" s="73">
        <f t="shared" si="33"/>
        <v>0</v>
      </c>
      <c r="CZ38" s="73">
        <f t="shared" si="34"/>
        <v>0</v>
      </c>
      <c r="DA38" s="73">
        <f t="shared" si="35"/>
        <v>0</v>
      </c>
      <c r="DB38" s="73">
        <f t="shared" si="36"/>
        <v>0</v>
      </c>
      <c r="DC38" s="73">
        <f t="shared" si="37"/>
        <v>0</v>
      </c>
      <c r="DD38" s="74">
        <f t="shared" si="38"/>
        <v>0</v>
      </c>
    </row>
    <row r="39" spans="21:108" s="41" customFormat="1" ht="15" customHeight="1">
      <c r="U39" s="301" t="s">
        <v>1</v>
      </c>
      <c r="V39" s="178">
        <v>500</v>
      </c>
      <c r="W39" s="52">
        <v>14.7</v>
      </c>
      <c r="X39" s="53">
        <v>14.7</v>
      </c>
      <c r="Y39" s="53">
        <v>14.7</v>
      </c>
      <c r="Z39" s="53">
        <v>14.7</v>
      </c>
      <c r="AA39" s="53">
        <v>14.7</v>
      </c>
      <c r="AB39" s="53">
        <v>14.7</v>
      </c>
      <c r="AC39" s="53">
        <v>14.7</v>
      </c>
      <c r="AD39" s="53">
        <v>14.7</v>
      </c>
      <c r="AE39" s="53">
        <v>14.3634</v>
      </c>
      <c r="AF39" s="202">
        <v>13.6348</v>
      </c>
      <c r="AG39" s="202">
        <v>13.3447</v>
      </c>
      <c r="AH39" s="202">
        <v>13.157999999999999</v>
      </c>
      <c r="AI39" s="202">
        <v>12.887700000000001</v>
      </c>
      <c r="AJ39" s="202">
        <v>12.6282</v>
      </c>
      <c r="AK39" s="202">
        <v>12.460900000000001</v>
      </c>
      <c r="AL39" s="202">
        <v>12.298</v>
      </c>
      <c r="AM39" s="202">
        <v>12.298</v>
      </c>
      <c r="AN39" s="202">
        <v>12.2182</v>
      </c>
      <c r="AO39" s="202">
        <v>12.2182</v>
      </c>
      <c r="AP39" s="202">
        <v>12.1394</v>
      </c>
      <c r="AQ39" s="202">
        <v>12.1394</v>
      </c>
      <c r="AR39" s="202">
        <v>12.1394</v>
      </c>
      <c r="AS39" s="202">
        <v>12.1394</v>
      </c>
      <c r="AT39" s="202">
        <v>12.1394</v>
      </c>
      <c r="AU39" s="202">
        <v>12.1394</v>
      </c>
      <c r="AV39" s="202">
        <v>12.1394</v>
      </c>
      <c r="AW39" s="202">
        <v>12.1394</v>
      </c>
      <c r="AX39" s="202">
        <v>12.1394</v>
      </c>
      <c r="AY39" s="202">
        <v>12.1394</v>
      </c>
      <c r="AZ39" s="203">
        <v>12.1394</v>
      </c>
      <c r="BA39" s="60"/>
      <c r="BB39" s="60"/>
    </row>
    <row r="40" spans="21:108" s="41" customFormat="1" ht="15" customHeight="1">
      <c r="U40" s="302"/>
      <c r="V40" s="179">
        <v>1000</v>
      </c>
      <c r="W40" s="55">
        <v>14.7</v>
      </c>
      <c r="X40" s="48">
        <v>14.7</v>
      </c>
      <c r="Y40" s="48">
        <v>14.7</v>
      </c>
      <c r="Z40" s="48">
        <v>14.7</v>
      </c>
      <c r="AA40" s="48">
        <v>14.7</v>
      </c>
      <c r="AB40" s="48">
        <v>14.7</v>
      </c>
      <c r="AC40" s="48">
        <v>14.7</v>
      </c>
      <c r="AD40" s="48">
        <v>14.7</v>
      </c>
      <c r="AE40" s="48">
        <v>14.3634</v>
      </c>
      <c r="AF40" s="48">
        <v>13.6348</v>
      </c>
      <c r="AG40" s="48">
        <v>13.3447</v>
      </c>
      <c r="AH40" s="48">
        <v>13.066700000000001</v>
      </c>
      <c r="AI40" s="48">
        <v>12.8</v>
      </c>
      <c r="AJ40" s="48">
        <v>12.544</v>
      </c>
      <c r="AK40" s="48">
        <v>12.3789</v>
      </c>
      <c r="AL40" s="48">
        <v>12.2182</v>
      </c>
      <c r="AM40" s="48">
        <v>12.2182</v>
      </c>
      <c r="AN40" s="48">
        <v>12.1394</v>
      </c>
      <c r="AO40" s="48">
        <v>12.1394</v>
      </c>
      <c r="AP40" s="48">
        <v>12.061500000000001</v>
      </c>
      <c r="AQ40" s="48">
        <v>12.061500000000001</v>
      </c>
      <c r="AR40" s="48">
        <v>12.061500000000001</v>
      </c>
      <c r="AS40" s="48">
        <v>12.061500000000001</v>
      </c>
      <c r="AT40" s="48">
        <v>12.061500000000001</v>
      </c>
      <c r="AU40" s="48">
        <v>12.061500000000001</v>
      </c>
      <c r="AV40" s="48">
        <v>12.061500000000001</v>
      </c>
      <c r="AW40" s="48">
        <v>12.061500000000001</v>
      </c>
      <c r="AX40" s="48">
        <v>12.061500000000001</v>
      </c>
      <c r="AY40" s="48">
        <v>12.061500000000001</v>
      </c>
      <c r="AZ40" s="56">
        <v>12.061500000000001</v>
      </c>
      <c r="BA40" s="60"/>
      <c r="BB40" s="60"/>
    </row>
    <row r="41" spans="21:108" s="41" customFormat="1" ht="15" customHeight="1">
      <c r="U41" s="302"/>
      <c r="V41" s="180">
        <v>1250</v>
      </c>
      <c r="W41" s="55">
        <v>14.7</v>
      </c>
      <c r="X41" s="48">
        <v>14.7</v>
      </c>
      <c r="Y41" s="48">
        <v>14.7</v>
      </c>
      <c r="Z41" s="48">
        <v>14.7</v>
      </c>
      <c r="AA41" s="48">
        <v>14.7</v>
      </c>
      <c r="AB41" s="48">
        <v>14.7</v>
      </c>
      <c r="AC41" s="48">
        <v>14.7</v>
      </c>
      <c r="AD41" s="48">
        <v>14.7</v>
      </c>
      <c r="AE41" s="48">
        <v>14.3634</v>
      </c>
      <c r="AF41" s="48">
        <v>13.734299999999999</v>
      </c>
      <c r="AG41" s="48">
        <v>13.2507</v>
      </c>
      <c r="AH41" s="48">
        <v>12.8</v>
      </c>
      <c r="AI41" s="48">
        <v>12.544</v>
      </c>
      <c r="AJ41" s="48">
        <v>12.2182</v>
      </c>
      <c r="AK41" s="48">
        <v>12.061500000000001</v>
      </c>
      <c r="AL41" s="48">
        <v>11.908899999999999</v>
      </c>
      <c r="AM41" s="48">
        <v>11.908899999999999</v>
      </c>
      <c r="AN41" s="48">
        <v>11.834</v>
      </c>
      <c r="AO41" s="48">
        <v>11.834</v>
      </c>
      <c r="AP41" s="48">
        <v>11.76</v>
      </c>
      <c r="AQ41" s="48">
        <v>11.76</v>
      </c>
      <c r="AR41" s="48">
        <v>11.76</v>
      </c>
      <c r="AS41" s="48">
        <v>11.76</v>
      </c>
      <c r="AT41" s="48">
        <v>11.76</v>
      </c>
      <c r="AU41" s="48">
        <v>11.76</v>
      </c>
      <c r="AV41" s="48">
        <v>11.76</v>
      </c>
      <c r="AW41" s="48">
        <v>11.76</v>
      </c>
      <c r="AX41" s="48">
        <v>11.76</v>
      </c>
      <c r="AY41" s="48">
        <v>11.76</v>
      </c>
      <c r="AZ41" s="56">
        <v>11.76</v>
      </c>
      <c r="BA41" s="60"/>
      <c r="BB41" s="60"/>
    </row>
    <row r="42" spans="21:108" s="41" customFormat="1" ht="15" customHeight="1">
      <c r="U42" s="302"/>
      <c r="V42" s="180">
        <v>1500</v>
      </c>
      <c r="W42" s="55">
        <v>14.7</v>
      </c>
      <c r="X42" s="48">
        <v>14.7</v>
      </c>
      <c r="Y42" s="48">
        <v>14.7</v>
      </c>
      <c r="Z42" s="48">
        <v>14.7</v>
      </c>
      <c r="AA42" s="48">
        <v>14.7</v>
      </c>
      <c r="AB42" s="48">
        <v>14.7</v>
      </c>
      <c r="AC42" s="48">
        <v>14.7</v>
      </c>
      <c r="AD42" s="48">
        <v>14.7</v>
      </c>
      <c r="AE42" s="48">
        <v>14.3634</v>
      </c>
      <c r="AF42" s="48">
        <v>13.734299999999999</v>
      </c>
      <c r="AG42" s="48">
        <v>13.066700000000001</v>
      </c>
      <c r="AH42" s="48">
        <v>12.544</v>
      </c>
      <c r="AI42" s="48">
        <v>12.1394</v>
      </c>
      <c r="AJ42" s="48">
        <v>11.834</v>
      </c>
      <c r="AK42" s="48">
        <v>11.686999999999999</v>
      </c>
      <c r="AL42" s="48">
        <v>11.5436</v>
      </c>
      <c r="AM42" s="48">
        <v>11.5436</v>
      </c>
      <c r="AN42" s="48">
        <v>11.4732</v>
      </c>
      <c r="AO42" s="48">
        <v>11.4732</v>
      </c>
      <c r="AP42" s="48">
        <v>11.403600000000001</v>
      </c>
      <c r="AQ42" s="48">
        <v>11.403600000000001</v>
      </c>
      <c r="AR42" s="48">
        <v>11.403600000000001</v>
      </c>
      <c r="AS42" s="48">
        <v>11.403600000000001</v>
      </c>
      <c r="AT42" s="48">
        <v>11.403600000000001</v>
      </c>
      <c r="AU42" s="48">
        <v>11.403600000000001</v>
      </c>
      <c r="AV42" s="48">
        <v>11.403600000000001</v>
      </c>
      <c r="AW42" s="48">
        <v>11.403600000000001</v>
      </c>
      <c r="AX42" s="48">
        <v>11.403600000000001</v>
      </c>
      <c r="AY42" s="48">
        <v>11.403600000000001</v>
      </c>
      <c r="AZ42" s="56">
        <v>11.403600000000001</v>
      </c>
    </row>
    <row r="43" spans="21:108" s="41" customFormat="1" ht="15" customHeight="1">
      <c r="U43" s="302"/>
      <c r="V43" s="180">
        <v>2000</v>
      </c>
      <c r="W43" s="55">
        <v>14.7</v>
      </c>
      <c r="X43" s="48">
        <v>14.7</v>
      </c>
      <c r="Y43" s="48">
        <v>14.7</v>
      </c>
      <c r="Z43" s="48">
        <v>14.7</v>
      </c>
      <c r="AA43" s="48">
        <v>14.7</v>
      </c>
      <c r="AB43" s="48">
        <v>14.7</v>
      </c>
      <c r="AC43" s="48">
        <v>14.7</v>
      </c>
      <c r="AD43" s="48">
        <v>14.7</v>
      </c>
      <c r="AE43" s="48">
        <v>14.2545</v>
      </c>
      <c r="AF43" s="48">
        <v>13.6348</v>
      </c>
      <c r="AG43" s="48">
        <v>12.887700000000001</v>
      </c>
      <c r="AH43" s="48">
        <v>12.3789</v>
      </c>
      <c r="AI43" s="48">
        <v>11.9847</v>
      </c>
      <c r="AJ43" s="48">
        <v>11.686999999999999</v>
      </c>
      <c r="AK43" s="48">
        <v>11.4732</v>
      </c>
      <c r="AL43" s="48">
        <v>11.334899999999999</v>
      </c>
      <c r="AM43" s="48">
        <v>11.267099999999999</v>
      </c>
      <c r="AN43" s="48">
        <v>11.267099999999999</v>
      </c>
      <c r="AO43" s="48">
        <v>11.2</v>
      </c>
      <c r="AP43" s="48">
        <v>11.2</v>
      </c>
      <c r="AQ43" s="48">
        <v>11.2</v>
      </c>
      <c r="AR43" s="48">
        <v>11.2</v>
      </c>
      <c r="AS43" s="48">
        <v>11.2</v>
      </c>
      <c r="AT43" s="48">
        <v>11.2</v>
      </c>
      <c r="AU43" s="48">
        <v>11.2</v>
      </c>
      <c r="AV43" s="48">
        <v>11.2</v>
      </c>
      <c r="AW43" s="48">
        <v>11.2</v>
      </c>
      <c r="AX43" s="48">
        <v>11.2</v>
      </c>
      <c r="AY43" s="48">
        <v>11.2</v>
      </c>
      <c r="AZ43" s="56">
        <v>11.2</v>
      </c>
      <c r="BA43" s="60"/>
      <c r="BB43" s="60"/>
    </row>
    <row r="44" spans="21:108" s="41" customFormat="1" ht="15" customHeight="1">
      <c r="U44" s="302"/>
      <c r="V44" s="181">
        <v>2500</v>
      </c>
      <c r="W44" s="55">
        <v>14.7</v>
      </c>
      <c r="X44" s="48">
        <v>14.7</v>
      </c>
      <c r="Y44" s="48">
        <v>14.7</v>
      </c>
      <c r="Z44" s="48">
        <v>14.7</v>
      </c>
      <c r="AA44" s="48">
        <v>14.7</v>
      </c>
      <c r="AB44" s="48">
        <v>14.7</v>
      </c>
      <c r="AC44" s="48">
        <v>14.7</v>
      </c>
      <c r="AD44" s="48">
        <v>14.7</v>
      </c>
      <c r="AE44" s="48">
        <v>14.2545</v>
      </c>
      <c r="AF44" s="48">
        <v>13.6348</v>
      </c>
      <c r="AG44" s="48">
        <v>12.8</v>
      </c>
      <c r="AH44" s="48">
        <v>12.2182</v>
      </c>
      <c r="AI44" s="48">
        <v>11.834</v>
      </c>
      <c r="AJ44" s="48">
        <v>11.4732</v>
      </c>
      <c r="AK44" s="48">
        <v>11.267099999999999</v>
      </c>
      <c r="AL44" s="48">
        <v>11.133699999999999</v>
      </c>
      <c r="AM44" s="48">
        <v>11.068199999999999</v>
      </c>
      <c r="AN44" s="48">
        <v>11.003500000000001</v>
      </c>
      <c r="AO44" s="48">
        <v>11.003500000000001</v>
      </c>
      <c r="AP44" s="48">
        <v>10.939500000000001</v>
      </c>
      <c r="AQ44" s="48">
        <v>10.939500000000001</v>
      </c>
      <c r="AR44" s="48">
        <v>10.939500000000001</v>
      </c>
      <c r="AS44" s="48">
        <v>10.939500000000001</v>
      </c>
      <c r="AT44" s="48">
        <v>10.939500000000001</v>
      </c>
      <c r="AU44" s="48">
        <v>10.939500000000001</v>
      </c>
      <c r="AV44" s="48">
        <v>10.939500000000001</v>
      </c>
      <c r="AW44" s="48">
        <v>10.939500000000001</v>
      </c>
      <c r="AX44" s="48">
        <v>10.939500000000001</v>
      </c>
      <c r="AY44" s="48">
        <v>10.939500000000001</v>
      </c>
      <c r="AZ44" s="56">
        <v>10.939500000000001</v>
      </c>
      <c r="BA44" s="60"/>
      <c r="BB44" s="60"/>
    </row>
    <row r="45" spans="21:108" s="41" customFormat="1" ht="15" customHeight="1">
      <c r="U45" s="302"/>
      <c r="V45" s="181">
        <v>2750</v>
      </c>
      <c r="W45" s="55">
        <v>14.7</v>
      </c>
      <c r="X45" s="48">
        <v>14.7</v>
      </c>
      <c r="Y45" s="48">
        <v>14.7</v>
      </c>
      <c r="Z45" s="48">
        <v>14.7</v>
      </c>
      <c r="AA45" s="48">
        <v>14.7</v>
      </c>
      <c r="AB45" s="48">
        <v>14.7</v>
      </c>
      <c r="AC45" s="48">
        <v>14.7</v>
      </c>
      <c r="AD45" s="48">
        <v>14.7</v>
      </c>
      <c r="AE45" s="48">
        <v>14.147399999999999</v>
      </c>
      <c r="AF45" s="48">
        <v>13.5367</v>
      </c>
      <c r="AG45" s="48">
        <v>12.6282</v>
      </c>
      <c r="AH45" s="48">
        <v>12.061500000000001</v>
      </c>
      <c r="AI45" s="48">
        <v>11.686999999999999</v>
      </c>
      <c r="AJ45" s="48">
        <v>11.267099999999999</v>
      </c>
      <c r="AK45" s="48">
        <v>11.133699999999999</v>
      </c>
      <c r="AL45" s="48">
        <v>10.939500000000001</v>
      </c>
      <c r="AM45" s="48">
        <v>10.939500000000001</v>
      </c>
      <c r="AN45" s="48">
        <v>10.876300000000001</v>
      </c>
      <c r="AO45" s="48">
        <v>10.813800000000001</v>
      </c>
      <c r="AP45" s="48">
        <v>10.752000000000001</v>
      </c>
      <c r="AQ45" s="48">
        <v>10.752000000000001</v>
      </c>
      <c r="AR45" s="48">
        <v>10.752000000000001</v>
      </c>
      <c r="AS45" s="48">
        <v>10.752000000000001</v>
      </c>
      <c r="AT45" s="48">
        <v>10.752000000000001</v>
      </c>
      <c r="AU45" s="48">
        <v>10.752000000000001</v>
      </c>
      <c r="AV45" s="48">
        <v>10.752000000000001</v>
      </c>
      <c r="AW45" s="48">
        <v>10.752000000000001</v>
      </c>
      <c r="AX45" s="48">
        <v>10.752000000000001</v>
      </c>
      <c r="AY45" s="48">
        <v>10.752000000000001</v>
      </c>
      <c r="AZ45" s="56">
        <v>10.752000000000001</v>
      </c>
      <c r="BA45" s="60"/>
      <c r="BB45" s="60"/>
    </row>
    <row r="46" spans="21:108" s="41" customFormat="1" ht="15" customHeight="1">
      <c r="U46" s="302"/>
      <c r="V46" s="181">
        <v>3000</v>
      </c>
      <c r="W46" s="55">
        <v>14.7</v>
      </c>
      <c r="X46" s="48">
        <v>14.7</v>
      </c>
      <c r="Y46" s="48">
        <v>14.7</v>
      </c>
      <c r="Z46" s="48">
        <v>14.7</v>
      </c>
      <c r="AA46" s="48">
        <v>14.7</v>
      </c>
      <c r="AB46" s="48">
        <v>14.7</v>
      </c>
      <c r="AC46" s="48">
        <v>14.7</v>
      </c>
      <c r="AD46" s="48">
        <v>14.7</v>
      </c>
      <c r="AE46" s="48">
        <v>14.147399999999999</v>
      </c>
      <c r="AF46" s="48">
        <v>13.44</v>
      </c>
      <c r="AG46" s="48">
        <v>12.544</v>
      </c>
      <c r="AH46" s="48">
        <v>11.908899999999999</v>
      </c>
      <c r="AI46" s="48">
        <v>11.4732</v>
      </c>
      <c r="AJ46" s="48">
        <v>11.2</v>
      </c>
      <c r="AK46" s="48">
        <v>11.003500000000001</v>
      </c>
      <c r="AL46" s="48">
        <v>10.813800000000001</v>
      </c>
      <c r="AM46" s="48">
        <v>10.752000000000001</v>
      </c>
      <c r="AN46" s="48">
        <v>10.813800000000001</v>
      </c>
      <c r="AO46" s="48">
        <v>10.6305</v>
      </c>
      <c r="AP46" s="48">
        <v>10.5708</v>
      </c>
      <c r="AQ46" s="48">
        <v>10.5708</v>
      </c>
      <c r="AR46" s="48">
        <v>10.5708</v>
      </c>
      <c r="AS46" s="48">
        <v>10.5708</v>
      </c>
      <c r="AT46" s="48">
        <v>10.5708</v>
      </c>
      <c r="AU46" s="48">
        <v>10.5708</v>
      </c>
      <c r="AV46" s="48">
        <v>10.5708</v>
      </c>
      <c r="AW46" s="48">
        <v>10.5708</v>
      </c>
      <c r="AX46" s="48">
        <v>10.5708</v>
      </c>
      <c r="AY46" s="48">
        <v>10.5708</v>
      </c>
      <c r="AZ46" s="56">
        <v>10.5708</v>
      </c>
      <c r="BA46" s="60"/>
      <c r="BB46" s="60"/>
    </row>
    <row r="47" spans="21:108" s="41" customFormat="1" ht="15" customHeight="1">
      <c r="U47" s="302"/>
      <c r="V47" s="181">
        <v>3250</v>
      </c>
      <c r="W47" s="55">
        <v>14.7</v>
      </c>
      <c r="X47" s="48">
        <v>14.7</v>
      </c>
      <c r="Y47" s="48">
        <v>14.7</v>
      </c>
      <c r="Z47" s="48">
        <v>14.7</v>
      </c>
      <c r="AA47" s="48">
        <v>14.7</v>
      </c>
      <c r="AB47" s="48">
        <v>14.7</v>
      </c>
      <c r="AC47" s="48">
        <v>14.7</v>
      </c>
      <c r="AD47" s="48">
        <v>14.7</v>
      </c>
      <c r="AE47" s="48">
        <v>14.147399999999999</v>
      </c>
      <c r="AF47" s="48">
        <v>13.2507</v>
      </c>
      <c r="AG47" s="48">
        <v>12.3789</v>
      </c>
      <c r="AH47" s="48">
        <v>11.76</v>
      </c>
      <c r="AI47" s="48">
        <v>11.334899999999999</v>
      </c>
      <c r="AJ47" s="48">
        <v>11.068199999999999</v>
      </c>
      <c r="AK47" s="48">
        <v>10.876300000000001</v>
      </c>
      <c r="AL47" s="48">
        <v>10.690899999999999</v>
      </c>
      <c r="AM47" s="48">
        <v>10.752000000000001</v>
      </c>
      <c r="AN47" s="48">
        <v>10.690899999999999</v>
      </c>
      <c r="AO47" s="48">
        <v>10.511699999999999</v>
      </c>
      <c r="AP47" s="48">
        <v>10.511699999999999</v>
      </c>
      <c r="AQ47" s="48">
        <v>10.4533</v>
      </c>
      <c r="AR47" s="48">
        <v>10.4533</v>
      </c>
      <c r="AS47" s="48">
        <v>10.4533</v>
      </c>
      <c r="AT47" s="48">
        <v>10.4533</v>
      </c>
      <c r="AU47" s="48">
        <v>10.4533</v>
      </c>
      <c r="AV47" s="48">
        <v>10.4533</v>
      </c>
      <c r="AW47" s="48">
        <v>10.4533</v>
      </c>
      <c r="AX47" s="48">
        <v>10.4533</v>
      </c>
      <c r="AY47" s="48">
        <v>10.4533</v>
      </c>
      <c r="AZ47" s="56">
        <v>10.4533</v>
      </c>
      <c r="BA47" s="60"/>
      <c r="BB47" s="60"/>
    </row>
    <row r="48" spans="21:108" s="41" customFormat="1" ht="15" customHeight="1" thickBot="1">
      <c r="U48" s="302"/>
      <c r="V48" s="181">
        <v>3500</v>
      </c>
      <c r="W48" s="55">
        <v>14.7</v>
      </c>
      <c r="X48" s="48">
        <v>14.7</v>
      </c>
      <c r="Y48" s="48">
        <v>14.7</v>
      </c>
      <c r="Z48" s="48">
        <v>14.7</v>
      </c>
      <c r="AA48" s="48">
        <v>14.7</v>
      </c>
      <c r="AB48" s="48">
        <v>14.7</v>
      </c>
      <c r="AC48" s="48">
        <v>14.7</v>
      </c>
      <c r="AD48" s="48">
        <v>14.7</v>
      </c>
      <c r="AE48" s="48">
        <v>14.147399999999999</v>
      </c>
      <c r="AF48" s="48">
        <v>13.157999999999999</v>
      </c>
      <c r="AG48" s="48">
        <v>12.298</v>
      </c>
      <c r="AH48" s="48">
        <v>11.686999999999999</v>
      </c>
      <c r="AI48" s="48">
        <v>11.267099999999999</v>
      </c>
      <c r="AJ48" s="48">
        <v>11.068199999999999</v>
      </c>
      <c r="AK48" s="48">
        <v>10.939500000000001</v>
      </c>
      <c r="AL48" s="48">
        <v>10.752000000000001</v>
      </c>
      <c r="AM48" s="48">
        <v>10.690899999999999</v>
      </c>
      <c r="AN48" s="48">
        <v>10.752000000000001</v>
      </c>
      <c r="AO48" s="48">
        <v>10.5708</v>
      </c>
      <c r="AP48" s="48">
        <v>10.511699999999999</v>
      </c>
      <c r="AQ48" s="48">
        <v>10.4533</v>
      </c>
      <c r="AR48" s="48">
        <v>10.4533</v>
      </c>
      <c r="AS48" s="48">
        <v>10.4533</v>
      </c>
      <c r="AT48" s="48">
        <v>10.4533</v>
      </c>
      <c r="AU48" s="48">
        <v>10.4533</v>
      </c>
      <c r="AV48" s="48">
        <v>10.4533</v>
      </c>
      <c r="AW48" s="48">
        <v>10.4533</v>
      </c>
      <c r="AX48" s="48">
        <v>10.4533</v>
      </c>
      <c r="AY48" s="48">
        <v>10.4533</v>
      </c>
      <c r="AZ48" s="56">
        <v>10.4533</v>
      </c>
      <c r="BA48" s="60"/>
      <c r="BB48" s="60"/>
    </row>
    <row r="49" spans="21:108" s="41" customFormat="1" ht="15" customHeight="1" thickBot="1">
      <c r="U49" s="302"/>
      <c r="V49" s="181">
        <v>3750</v>
      </c>
      <c r="W49" s="55">
        <v>14.7</v>
      </c>
      <c r="X49" s="48">
        <v>14.7</v>
      </c>
      <c r="Y49" s="48">
        <v>14.7</v>
      </c>
      <c r="Z49" s="48">
        <v>14.7</v>
      </c>
      <c r="AA49" s="48">
        <v>14.7</v>
      </c>
      <c r="AB49" s="48">
        <v>14.7</v>
      </c>
      <c r="AC49" s="48">
        <v>14.586</v>
      </c>
      <c r="AD49" s="48">
        <v>14.586</v>
      </c>
      <c r="AE49" s="48">
        <v>14.0418</v>
      </c>
      <c r="AF49" s="48">
        <v>12.976599999999999</v>
      </c>
      <c r="AG49" s="48">
        <v>12.1394</v>
      </c>
      <c r="AH49" s="48">
        <v>11.5436</v>
      </c>
      <c r="AI49" s="48">
        <v>11.334899999999999</v>
      </c>
      <c r="AJ49" s="48">
        <v>11.003500000000001</v>
      </c>
      <c r="AK49" s="48">
        <v>10.876300000000001</v>
      </c>
      <c r="AL49" s="48">
        <v>10.690899999999999</v>
      </c>
      <c r="AM49" s="48">
        <v>10.690899999999999</v>
      </c>
      <c r="AN49" s="48">
        <v>10.6305</v>
      </c>
      <c r="AO49" s="48">
        <v>10.5708</v>
      </c>
      <c r="AP49" s="48">
        <v>10.4533</v>
      </c>
      <c r="AQ49" s="48">
        <v>10.3956</v>
      </c>
      <c r="AR49" s="48">
        <v>10.3956</v>
      </c>
      <c r="AS49" s="48">
        <v>10.3956</v>
      </c>
      <c r="AT49" s="48">
        <v>10.3956</v>
      </c>
      <c r="AU49" s="48">
        <v>10.3956</v>
      </c>
      <c r="AV49" s="48">
        <v>10.3956</v>
      </c>
      <c r="AW49" s="48">
        <v>10.3956</v>
      </c>
      <c r="AX49" s="48">
        <v>10.3956</v>
      </c>
      <c r="AY49" s="48">
        <v>10.3956</v>
      </c>
      <c r="AZ49" s="56">
        <v>10.3956</v>
      </c>
      <c r="BA49" s="60"/>
      <c r="BB49" s="60"/>
      <c r="BZ49" s="338" t="s">
        <v>6</v>
      </c>
      <c r="CA49" s="339"/>
      <c r="CB49" s="339"/>
      <c r="CC49" s="339"/>
      <c r="CD49" s="339"/>
      <c r="CE49" s="339"/>
      <c r="CF49" s="339"/>
      <c r="CG49" s="339"/>
      <c r="CH49" s="339"/>
      <c r="CI49" s="339"/>
      <c r="CJ49" s="339"/>
      <c r="CK49" s="339"/>
      <c r="CL49" s="339"/>
      <c r="CM49" s="339"/>
      <c r="CN49" s="339"/>
      <c r="CO49" s="339"/>
      <c r="CP49" s="339"/>
      <c r="CQ49" s="339"/>
      <c r="CR49" s="339"/>
      <c r="CS49" s="339"/>
      <c r="CT49" s="339"/>
      <c r="CU49" s="339"/>
      <c r="CV49" s="339"/>
      <c r="CW49" s="339"/>
      <c r="CX49" s="339"/>
      <c r="CY49" s="339"/>
      <c r="CZ49" s="339"/>
      <c r="DA49" s="339"/>
      <c r="DB49" s="339"/>
      <c r="DC49" s="339"/>
      <c r="DD49" s="340"/>
    </row>
    <row r="50" spans="21:108" s="41" customFormat="1" ht="15" customHeight="1" thickBot="1">
      <c r="U50" s="302"/>
      <c r="V50" s="181">
        <v>4000</v>
      </c>
      <c r="W50" s="55">
        <v>14.7</v>
      </c>
      <c r="X50" s="48">
        <v>14.7</v>
      </c>
      <c r="Y50" s="48">
        <v>14.7</v>
      </c>
      <c r="Z50" s="48">
        <v>14.7</v>
      </c>
      <c r="AA50" s="48">
        <v>14.7</v>
      </c>
      <c r="AB50" s="48">
        <v>14.7</v>
      </c>
      <c r="AC50" s="48">
        <v>14.586</v>
      </c>
      <c r="AD50" s="48">
        <v>14.586</v>
      </c>
      <c r="AE50" s="48">
        <v>13.937799999999999</v>
      </c>
      <c r="AF50" s="48">
        <v>12.8</v>
      </c>
      <c r="AG50" s="48">
        <v>12.061500000000001</v>
      </c>
      <c r="AH50" s="48">
        <v>11.4732</v>
      </c>
      <c r="AI50" s="48">
        <v>11.267099999999999</v>
      </c>
      <c r="AJ50" s="48">
        <v>10.939500000000001</v>
      </c>
      <c r="AK50" s="48">
        <v>10.813800000000001</v>
      </c>
      <c r="AL50" s="48">
        <v>10.690899999999999</v>
      </c>
      <c r="AM50" s="48">
        <v>10.752000000000001</v>
      </c>
      <c r="AN50" s="48">
        <v>10.5708</v>
      </c>
      <c r="AO50" s="48">
        <v>10.511699999999999</v>
      </c>
      <c r="AP50" s="48">
        <v>10.4533</v>
      </c>
      <c r="AQ50" s="48">
        <v>10.4533</v>
      </c>
      <c r="AR50" s="48">
        <v>10.3385</v>
      </c>
      <c r="AS50" s="48">
        <v>10.3385</v>
      </c>
      <c r="AT50" s="48">
        <v>10.3385</v>
      </c>
      <c r="AU50" s="48">
        <v>10.3385</v>
      </c>
      <c r="AV50" s="48">
        <v>10.3385</v>
      </c>
      <c r="AW50" s="48">
        <v>10.3385</v>
      </c>
      <c r="AX50" s="48">
        <v>10.3385</v>
      </c>
      <c r="AY50" s="48">
        <v>10.3385</v>
      </c>
      <c r="AZ50" s="56">
        <v>10.3385</v>
      </c>
      <c r="BZ50" s="207"/>
      <c r="CA50" s="175">
        <v>10</v>
      </c>
      <c r="CB50" s="176">
        <v>20</v>
      </c>
      <c r="CC50" s="176">
        <v>30</v>
      </c>
      <c r="CD50" s="176">
        <v>40</v>
      </c>
      <c r="CE50" s="177">
        <v>50</v>
      </c>
      <c r="CF50" s="177">
        <v>60</v>
      </c>
      <c r="CG50" s="177">
        <v>70</v>
      </c>
      <c r="CH50" s="177">
        <v>80</v>
      </c>
      <c r="CI50" s="177">
        <v>90</v>
      </c>
      <c r="CJ50" s="177">
        <v>100</v>
      </c>
      <c r="CK50" s="177">
        <v>120</v>
      </c>
      <c r="CL50" s="177">
        <v>140</v>
      </c>
      <c r="CM50" s="173">
        <v>160</v>
      </c>
      <c r="CN50" s="173">
        <v>180</v>
      </c>
      <c r="CO50" s="173">
        <v>200</v>
      </c>
      <c r="CP50" s="173">
        <v>210</v>
      </c>
      <c r="CQ50" s="173">
        <v>220</v>
      </c>
      <c r="CR50" s="173">
        <v>230</v>
      </c>
      <c r="CS50" s="173">
        <v>240</v>
      </c>
      <c r="CT50" s="173">
        <v>250</v>
      </c>
      <c r="CU50" s="173">
        <v>260</v>
      </c>
      <c r="CV50" s="173">
        <v>270</v>
      </c>
      <c r="CW50" s="173">
        <v>280</v>
      </c>
      <c r="CX50" s="173">
        <v>290</v>
      </c>
      <c r="CY50" s="173">
        <v>300</v>
      </c>
      <c r="CZ50" s="173">
        <v>310</v>
      </c>
      <c r="DA50" s="173">
        <v>320</v>
      </c>
      <c r="DB50" s="173">
        <v>330</v>
      </c>
      <c r="DC50" s="173">
        <v>340</v>
      </c>
      <c r="DD50" s="174">
        <v>350</v>
      </c>
    </row>
    <row r="51" spans="21:108" s="41" customFormat="1" ht="15" customHeight="1" thickBot="1">
      <c r="U51" s="302"/>
      <c r="V51" s="181">
        <v>4250</v>
      </c>
      <c r="W51" s="55">
        <v>14.7</v>
      </c>
      <c r="X51" s="48">
        <v>14.7</v>
      </c>
      <c r="Y51" s="48">
        <v>14.7</v>
      </c>
      <c r="Z51" s="48">
        <v>14.7</v>
      </c>
      <c r="AA51" s="48">
        <v>14.586</v>
      </c>
      <c r="AB51" s="48">
        <v>14.586</v>
      </c>
      <c r="AC51" s="48">
        <v>14.147399999999999</v>
      </c>
      <c r="AD51" s="48">
        <v>14.0418</v>
      </c>
      <c r="AE51" s="48">
        <v>13.6348</v>
      </c>
      <c r="AF51" s="48">
        <v>12.6282</v>
      </c>
      <c r="AG51" s="48">
        <v>11.908899999999999</v>
      </c>
      <c r="AH51" s="48">
        <v>11.403600000000001</v>
      </c>
      <c r="AI51" s="48">
        <v>11.267099999999999</v>
      </c>
      <c r="AJ51" s="48">
        <v>10.939500000000001</v>
      </c>
      <c r="AK51" s="48">
        <v>10.752000000000001</v>
      </c>
      <c r="AL51" s="48">
        <v>10.690899999999999</v>
      </c>
      <c r="AM51" s="48">
        <v>10.752000000000001</v>
      </c>
      <c r="AN51" s="48">
        <v>10.511699999999999</v>
      </c>
      <c r="AO51" s="48">
        <v>10.4533</v>
      </c>
      <c r="AP51" s="48">
        <v>10.3956</v>
      </c>
      <c r="AQ51" s="48">
        <v>10.4533</v>
      </c>
      <c r="AR51" s="48">
        <v>10.3385</v>
      </c>
      <c r="AS51" s="48">
        <v>10.226100000000001</v>
      </c>
      <c r="AT51" s="48">
        <v>10.226100000000001</v>
      </c>
      <c r="AU51" s="48">
        <v>10.226100000000001</v>
      </c>
      <c r="AV51" s="48">
        <v>10.226100000000001</v>
      </c>
      <c r="AW51" s="48">
        <v>10.226100000000001</v>
      </c>
      <c r="AX51" s="48">
        <v>10.226100000000001</v>
      </c>
      <c r="AY51" s="48">
        <v>10.226100000000001</v>
      </c>
      <c r="AZ51" s="56">
        <v>10.226100000000001</v>
      </c>
      <c r="BZ51" s="178">
        <v>500</v>
      </c>
      <c r="CA51" s="66">
        <f t="shared" ref="CA51:CA66" si="56">W39-W69</f>
        <v>0</v>
      </c>
      <c r="CB51" s="67">
        <f t="shared" ref="CB51:CB75" si="57">X39-X69</f>
        <v>0</v>
      </c>
      <c r="CC51" s="67">
        <f t="shared" ref="CC51:CC75" si="58">Y39-Y69</f>
        <v>0</v>
      </c>
      <c r="CD51" s="67">
        <f t="shared" ref="CD51:CD75" si="59">Z39-Z69</f>
        <v>0</v>
      </c>
      <c r="CE51" s="67">
        <f t="shared" ref="CE51:CE75" si="60">AA39-AA69</f>
        <v>0</v>
      </c>
      <c r="CF51" s="67">
        <f t="shared" ref="CF51:CF75" si="61">AB39-AB69</f>
        <v>0</v>
      </c>
      <c r="CG51" s="67">
        <f t="shared" ref="CG51:CG75" si="62">AC39-AC69</f>
        <v>0</v>
      </c>
      <c r="CH51" s="67">
        <f t="shared" ref="CH51:CH75" si="63">AD39-AD69</f>
        <v>0</v>
      </c>
      <c r="CI51" s="67">
        <f t="shared" ref="CI51:CI75" si="64">AE39-AE69</f>
        <v>1.2966999999999995</v>
      </c>
      <c r="CJ51" s="67">
        <f t="shared" ref="CJ51:CJ75" si="65">AF39-AF69</f>
        <v>1.0066000000000006</v>
      </c>
      <c r="CK51" s="67">
        <f t="shared" ref="CK51:CK75" si="66">AG39-AG69</f>
        <v>1.0466999999999995</v>
      </c>
      <c r="CL51" s="67">
        <f t="shared" ref="CL51:CL75" si="67">AH39-AH69</f>
        <v>1.1732999999999993</v>
      </c>
      <c r="CM51" s="67">
        <f t="shared" ref="CM51:CM75" si="68">AI39-AI69</f>
        <v>1.2007000000000012</v>
      </c>
      <c r="CN51" s="67">
        <f t="shared" ref="CN51:CN75" si="69">AJ39-AJ69</f>
        <v>1.2245999999999988</v>
      </c>
      <c r="CO51" s="67">
        <f t="shared" ref="CO51:CO75" si="70">AK39-AK69</f>
        <v>1.3272000000000013</v>
      </c>
      <c r="CP51" s="67">
        <f t="shared" ref="CP51:CP75" si="71">AL39-AL69</f>
        <v>1.2944999999999993</v>
      </c>
      <c r="CQ51" s="67">
        <f t="shared" ref="CQ51:CQ75" si="72">AM39-AM69</f>
        <v>1.4216999999999995</v>
      </c>
      <c r="CR51" s="67">
        <f t="shared" ref="CR51:CR75" si="73">AN39-AN69</f>
        <v>1.4661999999999988</v>
      </c>
      <c r="CS51" s="67">
        <f t="shared" ref="CS51:CS75" si="74">AO39-AO69</f>
        <v>1.5876999999999999</v>
      </c>
      <c r="CT51" s="67">
        <f t="shared" ref="CT51:CT75" si="75">AP39-AP69</f>
        <v>1.6277000000000008</v>
      </c>
      <c r="CU51" s="67">
        <f t="shared" ref="CU51:CU75" si="76">AQ39-AQ69</f>
        <v>1.7438000000000002</v>
      </c>
      <c r="CV51" s="67">
        <f t="shared" ref="CV51:CV75" si="77">AR39-AR69</f>
        <v>1.8574000000000002</v>
      </c>
      <c r="CW51" s="67">
        <f t="shared" ref="CW51:CW75" si="78">AS39-AS69</f>
        <v>1.9686000000000003</v>
      </c>
      <c r="CX51" s="67">
        <f t="shared" ref="CX51:CX75" si="79">AT39-AT69</f>
        <v>2.0774000000000008</v>
      </c>
      <c r="CY51" s="67">
        <f t="shared" ref="CY51:CY75" si="80">AU39-AU69</f>
        <v>2.18384</v>
      </c>
      <c r="CZ51" s="67">
        <f t="shared" ref="CZ51:CZ75" si="81">AV39-AV69</f>
        <v>2.18384</v>
      </c>
      <c r="DA51" s="67">
        <f t="shared" ref="DA51:DA75" si="82">AW39-AW69</f>
        <v>2.18384</v>
      </c>
      <c r="DB51" s="67">
        <f t="shared" ref="DB51:DB75" si="83">AX39-AX69</f>
        <v>2.18384</v>
      </c>
      <c r="DC51" s="67">
        <f t="shared" ref="DC51:DC75" si="84">AY39-AY69</f>
        <v>2.18384</v>
      </c>
      <c r="DD51" s="68">
        <f t="shared" ref="DD51:DD75" si="85">AZ39-AZ69</f>
        <v>2.18384</v>
      </c>
    </row>
    <row r="52" spans="21:108" s="41" customFormat="1" ht="15" customHeight="1" thickBot="1">
      <c r="U52" s="302"/>
      <c r="V52" s="181">
        <v>4500</v>
      </c>
      <c r="W52" s="55">
        <v>14.7</v>
      </c>
      <c r="X52" s="48">
        <v>14.7</v>
      </c>
      <c r="Y52" s="48">
        <v>14.7</v>
      </c>
      <c r="Z52" s="48">
        <v>14.7</v>
      </c>
      <c r="AA52" s="48">
        <v>14.586</v>
      </c>
      <c r="AB52" s="48">
        <v>14.586</v>
      </c>
      <c r="AC52" s="48">
        <v>14.147399999999999</v>
      </c>
      <c r="AD52" s="48">
        <v>13.8353</v>
      </c>
      <c r="AE52" s="48">
        <v>13.3447</v>
      </c>
      <c r="AF52" s="48">
        <v>12.3789</v>
      </c>
      <c r="AG52" s="48">
        <v>11.834</v>
      </c>
      <c r="AH52" s="48">
        <v>11.334899999999999</v>
      </c>
      <c r="AI52" s="48">
        <v>11.267099999999999</v>
      </c>
      <c r="AJ52" s="48">
        <v>10.939500000000001</v>
      </c>
      <c r="AK52" s="48">
        <v>10.813800000000001</v>
      </c>
      <c r="AL52" s="48">
        <v>10.6305</v>
      </c>
      <c r="AM52" s="48">
        <v>10.752000000000001</v>
      </c>
      <c r="AN52" s="48">
        <v>10.511699999999999</v>
      </c>
      <c r="AO52" s="48">
        <v>10.3956</v>
      </c>
      <c r="AP52" s="48">
        <v>10.4533</v>
      </c>
      <c r="AQ52" s="48">
        <v>10.3956</v>
      </c>
      <c r="AR52" s="48">
        <v>10.282</v>
      </c>
      <c r="AS52" s="48">
        <v>10.1708</v>
      </c>
      <c r="AT52" s="48">
        <v>10.1708</v>
      </c>
      <c r="AU52" s="48">
        <v>10.1708</v>
      </c>
      <c r="AV52" s="48">
        <v>10.1708</v>
      </c>
      <c r="AW52" s="48">
        <v>10.1708</v>
      </c>
      <c r="AX52" s="48">
        <v>10.1708</v>
      </c>
      <c r="AY52" s="48">
        <v>10.1708</v>
      </c>
      <c r="AZ52" s="56">
        <v>10.1708</v>
      </c>
      <c r="BA52" s="210"/>
      <c r="BB52" s="304" t="s">
        <v>8</v>
      </c>
      <c r="BC52" s="305"/>
      <c r="BD52" s="305"/>
      <c r="BE52" s="305"/>
      <c r="BF52" s="305"/>
      <c r="BG52" s="305"/>
      <c r="BH52" s="305"/>
      <c r="BI52" s="305"/>
      <c r="BJ52" s="305"/>
      <c r="BK52" s="305"/>
      <c r="BL52" s="305"/>
      <c r="BM52" s="305"/>
      <c r="BN52" s="305"/>
      <c r="BO52" s="305"/>
      <c r="BP52" s="305"/>
      <c r="BQ52" s="305"/>
      <c r="BR52" s="305"/>
      <c r="BS52" s="305"/>
      <c r="BT52" s="305"/>
      <c r="BU52" s="305"/>
      <c r="BV52" s="305"/>
      <c r="BW52" s="305"/>
      <c r="BX52" s="306"/>
      <c r="BZ52" s="179">
        <v>1000</v>
      </c>
      <c r="CA52" s="69">
        <f t="shared" si="56"/>
        <v>0</v>
      </c>
      <c r="CB52" s="70">
        <f t="shared" si="57"/>
        <v>0</v>
      </c>
      <c r="CC52" s="70">
        <f t="shared" si="58"/>
        <v>0</v>
      </c>
      <c r="CD52" s="70">
        <f t="shared" si="59"/>
        <v>0</v>
      </c>
      <c r="CE52" s="70">
        <f t="shared" si="60"/>
        <v>0</v>
      </c>
      <c r="CF52" s="70">
        <f t="shared" si="61"/>
        <v>0</v>
      </c>
      <c r="CG52" s="70">
        <f t="shared" si="62"/>
        <v>0</v>
      </c>
      <c r="CH52" s="70">
        <f t="shared" si="63"/>
        <v>0</v>
      </c>
      <c r="CI52" s="70">
        <f t="shared" si="64"/>
        <v>1.2966999999999995</v>
      </c>
      <c r="CJ52" s="70">
        <f t="shared" si="65"/>
        <v>1.0066000000000006</v>
      </c>
      <c r="CK52" s="70">
        <f t="shared" si="66"/>
        <v>1.0466999999999995</v>
      </c>
      <c r="CL52" s="70">
        <f t="shared" si="67"/>
        <v>1.0820000000000007</v>
      </c>
      <c r="CM52" s="70">
        <f t="shared" si="68"/>
        <v>1.1130000000000013</v>
      </c>
      <c r="CN52" s="70">
        <f t="shared" si="69"/>
        <v>1.1403999999999996</v>
      </c>
      <c r="CO52" s="70">
        <f t="shared" si="70"/>
        <v>1.2452000000000005</v>
      </c>
      <c r="CP52" s="70">
        <f t="shared" si="71"/>
        <v>1.2146999999999988</v>
      </c>
      <c r="CQ52" s="70">
        <f t="shared" si="72"/>
        <v>1.341899999999999</v>
      </c>
      <c r="CR52" s="70">
        <f t="shared" si="73"/>
        <v>1.3873999999999995</v>
      </c>
      <c r="CS52" s="70">
        <f t="shared" si="74"/>
        <v>1.5089000000000006</v>
      </c>
      <c r="CT52" s="70">
        <f t="shared" si="75"/>
        <v>1.5498000000000012</v>
      </c>
      <c r="CU52" s="70">
        <f t="shared" si="76"/>
        <v>1.6659000000000006</v>
      </c>
      <c r="CV52" s="70">
        <f t="shared" si="77"/>
        <v>1.7230000000000008</v>
      </c>
      <c r="CW52" s="70">
        <f t="shared" si="78"/>
        <v>1.8907000000000007</v>
      </c>
      <c r="CX52" s="70">
        <f t="shared" si="79"/>
        <v>1.9454000000000011</v>
      </c>
      <c r="CY52" s="70">
        <f t="shared" si="80"/>
        <v>2.1059400000000004</v>
      </c>
      <c r="CZ52" s="70">
        <f t="shared" si="81"/>
        <v>2.1059400000000004</v>
      </c>
      <c r="DA52" s="70">
        <f t="shared" si="82"/>
        <v>2.1059400000000004</v>
      </c>
      <c r="DB52" s="70">
        <f t="shared" si="83"/>
        <v>2.1059400000000004</v>
      </c>
      <c r="DC52" s="70">
        <f t="shared" si="84"/>
        <v>2.1059400000000004</v>
      </c>
      <c r="DD52" s="71">
        <f t="shared" si="85"/>
        <v>2.1059400000000004</v>
      </c>
    </row>
    <row r="53" spans="21:108" s="41" customFormat="1" ht="15" customHeight="1">
      <c r="U53" s="302"/>
      <c r="V53" s="181">
        <v>4750</v>
      </c>
      <c r="W53" s="55">
        <v>14.7</v>
      </c>
      <c r="X53" s="48">
        <v>14.7</v>
      </c>
      <c r="Y53" s="48">
        <v>14.7</v>
      </c>
      <c r="Z53" s="48">
        <v>14.586</v>
      </c>
      <c r="AA53" s="48">
        <v>14.473800000000001</v>
      </c>
      <c r="AB53" s="48">
        <v>14.473800000000001</v>
      </c>
      <c r="AC53" s="48">
        <v>14.0418</v>
      </c>
      <c r="AD53" s="48">
        <v>13.5367</v>
      </c>
      <c r="AE53" s="48">
        <v>13.066700000000001</v>
      </c>
      <c r="AF53" s="48">
        <v>12.2182</v>
      </c>
      <c r="AG53" s="48">
        <v>11.834</v>
      </c>
      <c r="AH53" s="48">
        <v>11.334899999999999</v>
      </c>
      <c r="AI53" s="48">
        <v>11.267099999999999</v>
      </c>
      <c r="AJ53" s="48">
        <v>10.939500000000001</v>
      </c>
      <c r="AK53" s="48">
        <v>10.813800000000001</v>
      </c>
      <c r="AL53" s="48">
        <v>10.690899999999999</v>
      </c>
      <c r="AM53" s="48">
        <v>10.752000000000001</v>
      </c>
      <c r="AN53" s="48">
        <v>10.511699999999999</v>
      </c>
      <c r="AO53" s="48">
        <v>10.3956</v>
      </c>
      <c r="AP53" s="48">
        <v>10.4533</v>
      </c>
      <c r="AQ53" s="48">
        <v>10.3956</v>
      </c>
      <c r="AR53" s="48">
        <v>10.282</v>
      </c>
      <c r="AS53" s="48">
        <v>10.1708</v>
      </c>
      <c r="AT53" s="48">
        <v>10.1708</v>
      </c>
      <c r="AU53" s="48">
        <v>10.1708</v>
      </c>
      <c r="AV53" s="48">
        <v>10.1708</v>
      </c>
      <c r="AW53" s="48">
        <v>10.1708</v>
      </c>
      <c r="AX53" s="48">
        <v>10.1708</v>
      </c>
      <c r="AY53" s="48">
        <v>10.1708</v>
      </c>
      <c r="AZ53" s="56">
        <v>10.1708</v>
      </c>
      <c r="BA53" s="59"/>
      <c r="BB53" s="59"/>
      <c r="BZ53" s="180">
        <v>1500</v>
      </c>
      <c r="CA53" s="69">
        <f t="shared" si="56"/>
        <v>0</v>
      </c>
      <c r="CB53" s="70">
        <f t="shared" si="57"/>
        <v>0</v>
      </c>
      <c r="CC53" s="70">
        <f t="shared" si="58"/>
        <v>0</v>
      </c>
      <c r="CD53" s="70">
        <f t="shared" si="59"/>
        <v>0</v>
      </c>
      <c r="CE53" s="70">
        <f t="shared" si="60"/>
        <v>0</v>
      </c>
      <c r="CF53" s="70">
        <f t="shared" si="61"/>
        <v>0</v>
      </c>
      <c r="CG53" s="70">
        <f t="shared" si="62"/>
        <v>0</v>
      </c>
      <c r="CH53" s="70">
        <f t="shared" si="63"/>
        <v>0</v>
      </c>
      <c r="CI53" s="70">
        <f t="shared" si="64"/>
        <v>-0.3365999999999989</v>
      </c>
      <c r="CJ53" s="70">
        <f t="shared" si="65"/>
        <v>1.0207999999999995</v>
      </c>
      <c r="CK53" s="70">
        <f t="shared" si="66"/>
        <v>0.87180000000000035</v>
      </c>
      <c r="CL53" s="70">
        <f t="shared" si="67"/>
        <v>0.73850000000000016</v>
      </c>
      <c r="CM53" s="70">
        <f t="shared" si="68"/>
        <v>0.7840000000000007</v>
      </c>
      <c r="CN53" s="70">
        <f t="shared" si="69"/>
        <v>0.74499999999999922</v>
      </c>
      <c r="CO53" s="70">
        <f t="shared" si="70"/>
        <v>0.86150000000000126</v>
      </c>
      <c r="CP53" s="70">
        <f t="shared" si="71"/>
        <v>0.8407</v>
      </c>
      <c r="CQ53" s="70">
        <f t="shared" si="72"/>
        <v>0.96939999999999849</v>
      </c>
      <c r="CR53" s="70">
        <f t="shared" si="73"/>
        <v>1.0201999999999991</v>
      </c>
      <c r="CS53" s="70">
        <f t="shared" si="74"/>
        <v>1.1431000000000004</v>
      </c>
      <c r="CT53" s="70">
        <f t="shared" si="75"/>
        <v>1.1891999999999996</v>
      </c>
      <c r="CU53" s="70">
        <f t="shared" si="76"/>
        <v>1.3066999999999993</v>
      </c>
      <c r="CV53" s="70">
        <f t="shared" si="77"/>
        <v>1.3643999999999998</v>
      </c>
      <c r="CW53" s="70">
        <f t="shared" si="78"/>
        <v>1.3066999999999993</v>
      </c>
      <c r="CX53" s="70">
        <f t="shared" si="79"/>
        <v>1.3643999999999998</v>
      </c>
      <c r="CY53" s="70">
        <f t="shared" si="80"/>
        <v>1.3066999999999993</v>
      </c>
      <c r="CZ53" s="70">
        <f t="shared" si="81"/>
        <v>1.3066999999999993</v>
      </c>
      <c r="DA53" s="70">
        <f t="shared" si="82"/>
        <v>1.3066999999999993</v>
      </c>
      <c r="DB53" s="70">
        <f t="shared" si="83"/>
        <v>1.3066999999999993</v>
      </c>
      <c r="DC53" s="70">
        <f t="shared" si="84"/>
        <v>1.3066999999999993</v>
      </c>
      <c r="DD53" s="71">
        <f t="shared" si="85"/>
        <v>1.3066999999999993</v>
      </c>
    </row>
    <row r="54" spans="21:108" s="41" customFormat="1" ht="15" customHeight="1">
      <c r="U54" s="302"/>
      <c r="V54" s="181">
        <v>5000</v>
      </c>
      <c r="W54" s="55">
        <v>14.7</v>
      </c>
      <c r="X54" s="48">
        <v>14.7</v>
      </c>
      <c r="Y54" s="48">
        <v>14.7</v>
      </c>
      <c r="Z54" s="48">
        <v>14.586</v>
      </c>
      <c r="AA54" s="48">
        <v>14.473800000000001</v>
      </c>
      <c r="AB54" s="48">
        <v>14.2545</v>
      </c>
      <c r="AC54" s="48">
        <v>13.8353</v>
      </c>
      <c r="AD54" s="48">
        <v>13.2507</v>
      </c>
      <c r="AE54" s="48">
        <v>12.7135</v>
      </c>
      <c r="AF54" s="48">
        <v>12.061500000000001</v>
      </c>
      <c r="AG54" s="48">
        <v>11.686999999999999</v>
      </c>
      <c r="AH54" s="48">
        <v>11.334899999999999</v>
      </c>
      <c r="AI54" s="48">
        <v>11.267099999999999</v>
      </c>
      <c r="AJ54" s="48">
        <v>10.939500000000001</v>
      </c>
      <c r="AK54" s="48">
        <v>10.752000000000001</v>
      </c>
      <c r="AL54" s="48">
        <v>10.690899999999999</v>
      </c>
      <c r="AM54" s="48">
        <v>10.752000000000001</v>
      </c>
      <c r="AN54" s="48">
        <v>10.511699999999999</v>
      </c>
      <c r="AO54" s="48">
        <v>10.3956</v>
      </c>
      <c r="AP54" s="48">
        <v>10.4533</v>
      </c>
      <c r="AQ54" s="48">
        <v>10.3956</v>
      </c>
      <c r="AR54" s="48">
        <v>10.282</v>
      </c>
      <c r="AS54" s="48">
        <v>10.1708</v>
      </c>
      <c r="AT54" s="48">
        <v>10.1708</v>
      </c>
      <c r="AU54" s="48">
        <v>10.1708</v>
      </c>
      <c r="AV54" s="48">
        <v>10.1708</v>
      </c>
      <c r="AW54" s="48">
        <v>10.1708</v>
      </c>
      <c r="AX54" s="48">
        <v>10.1708</v>
      </c>
      <c r="AY54" s="48">
        <v>10.1708</v>
      </c>
      <c r="AZ54" s="56">
        <v>10.1708</v>
      </c>
      <c r="BA54" s="59"/>
      <c r="BB54" s="59"/>
      <c r="BZ54" s="180">
        <v>2000</v>
      </c>
      <c r="CA54" s="69">
        <f t="shared" si="56"/>
        <v>0</v>
      </c>
      <c r="CB54" s="70">
        <f t="shared" si="57"/>
        <v>0</v>
      </c>
      <c r="CC54" s="70">
        <f t="shared" si="58"/>
        <v>0</v>
      </c>
      <c r="CD54" s="70">
        <f t="shared" si="59"/>
        <v>0</v>
      </c>
      <c r="CE54" s="70">
        <f t="shared" si="60"/>
        <v>0</v>
      </c>
      <c r="CF54" s="70">
        <f t="shared" si="61"/>
        <v>0</v>
      </c>
      <c r="CG54" s="70">
        <f t="shared" si="62"/>
        <v>0</v>
      </c>
      <c r="CH54" s="70">
        <f t="shared" si="63"/>
        <v>0</v>
      </c>
      <c r="CI54" s="70">
        <f t="shared" si="64"/>
        <v>-0.3365999999999989</v>
      </c>
      <c r="CJ54" s="70">
        <f t="shared" si="65"/>
        <v>-0.9657</v>
      </c>
      <c r="CK54" s="70">
        <f t="shared" si="66"/>
        <v>0.35320000000000107</v>
      </c>
      <c r="CL54" s="70">
        <f t="shared" si="67"/>
        <v>0.16510000000000069</v>
      </c>
      <c r="CM54" s="70">
        <f t="shared" si="68"/>
        <v>7.7899999999999636E-2</v>
      </c>
      <c r="CN54" s="70">
        <f t="shared" si="69"/>
        <v>7.3999999999999844E-2</v>
      </c>
      <c r="CO54" s="70">
        <f t="shared" si="70"/>
        <v>0.2137999999999991</v>
      </c>
      <c r="CP54" s="70">
        <f t="shared" si="71"/>
        <v>0.20870000000000033</v>
      </c>
      <c r="CQ54" s="70">
        <f t="shared" si="72"/>
        <v>0.34360000000000035</v>
      </c>
      <c r="CR54" s="70">
        <f t="shared" si="73"/>
        <v>0.40500000000000114</v>
      </c>
      <c r="CS54" s="70">
        <f t="shared" si="74"/>
        <v>0.53369999999999962</v>
      </c>
      <c r="CT54" s="70">
        <f t="shared" si="75"/>
        <v>0.58980000000000032</v>
      </c>
      <c r="CU54" s="70">
        <f t="shared" si="76"/>
        <v>0.71270000000000167</v>
      </c>
      <c r="CV54" s="70">
        <f t="shared" si="77"/>
        <v>0.83280000000000065</v>
      </c>
      <c r="CW54" s="70">
        <f t="shared" si="78"/>
        <v>0.95030000000000037</v>
      </c>
      <c r="CX54" s="70">
        <f t="shared" si="79"/>
        <v>1.065100000000001</v>
      </c>
      <c r="CY54" s="70">
        <f t="shared" si="80"/>
        <v>1.1775000000000002</v>
      </c>
      <c r="CZ54" s="70">
        <f t="shared" si="81"/>
        <v>1.1775000000000002</v>
      </c>
      <c r="DA54" s="70">
        <f t="shared" si="82"/>
        <v>1.1775000000000002</v>
      </c>
      <c r="DB54" s="70">
        <f t="shared" si="83"/>
        <v>1.1775000000000002</v>
      </c>
      <c r="DC54" s="70">
        <f t="shared" si="84"/>
        <v>1.1775000000000002</v>
      </c>
      <c r="DD54" s="71">
        <f t="shared" si="85"/>
        <v>1.1775000000000002</v>
      </c>
    </row>
    <row r="55" spans="21:108" s="41" customFormat="1" ht="15" customHeight="1">
      <c r="U55" s="302"/>
      <c r="V55" s="181">
        <v>5250</v>
      </c>
      <c r="W55" s="55">
        <v>14.7</v>
      </c>
      <c r="X55" s="48">
        <v>14.7</v>
      </c>
      <c r="Y55" s="48">
        <v>14.586</v>
      </c>
      <c r="Z55" s="48">
        <v>14.586</v>
      </c>
      <c r="AA55" s="48">
        <v>14.3634</v>
      </c>
      <c r="AB55" s="48">
        <v>14.0418</v>
      </c>
      <c r="AC55" s="48">
        <v>13.6348</v>
      </c>
      <c r="AD55" s="48">
        <v>12.887700000000001</v>
      </c>
      <c r="AE55" s="48">
        <v>12.544</v>
      </c>
      <c r="AF55" s="48">
        <v>11.9847</v>
      </c>
      <c r="AG55" s="48">
        <v>11.614800000000001</v>
      </c>
      <c r="AH55" s="48">
        <v>11.334899999999999</v>
      </c>
      <c r="AI55" s="48">
        <v>11.267099999999999</v>
      </c>
      <c r="AJ55" s="48">
        <v>10.939500000000001</v>
      </c>
      <c r="AK55" s="48">
        <v>10.813800000000001</v>
      </c>
      <c r="AL55" s="48">
        <v>10.690899999999999</v>
      </c>
      <c r="AM55" s="48">
        <v>10.752000000000001</v>
      </c>
      <c r="AN55" s="48">
        <v>10.511699999999999</v>
      </c>
      <c r="AO55" s="48">
        <v>10.4533</v>
      </c>
      <c r="AP55" s="48">
        <v>10.5708</v>
      </c>
      <c r="AQ55" s="48">
        <v>10.4533</v>
      </c>
      <c r="AR55" s="48">
        <v>10.3385</v>
      </c>
      <c r="AS55" s="48">
        <v>10.3385</v>
      </c>
      <c r="AT55" s="48">
        <v>10.3385</v>
      </c>
      <c r="AU55" s="48">
        <v>10.3385</v>
      </c>
      <c r="AV55" s="48">
        <v>10.3385</v>
      </c>
      <c r="AW55" s="48">
        <v>10.3385</v>
      </c>
      <c r="AX55" s="48">
        <v>10.3385</v>
      </c>
      <c r="AY55" s="48">
        <v>10.3385</v>
      </c>
      <c r="AZ55" s="56">
        <v>10.3385</v>
      </c>
      <c r="BA55" s="59"/>
      <c r="BB55" s="59"/>
      <c r="BZ55" s="180">
        <v>2250</v>
      </c>
      <c r="CA55" s="69">
        <f t="shared" si="56"/>
        <v>0</v>
      </c>
      <c r="CB55" s="70">
        <f t="shared" si="57"/>
        <v>0</v>
      </c>
      <c r="CC55" s="70">
        <f t="shared" si="58"/>
        <v>0</v>
      </c>
      <c r="CD55" s="70">
        <f t="shared" si="59"/>
        <v>0</v>
      </c>
      <c r="CE55" s="70">
        <f t="shared" si="60"/>
        <v>0</v>
      </c>
      <c r="CF55" s="70">
        <f t="shared" si="61"/>
        <v>0</v>
      </c>
      <c r="CG55" s="70">
        <f t="shared" si="62"/>
        <v>0</v>
      </c>
      <c r="CH55" s="70">
        <f t="shared" si="63"/>
        <v>0</v>
      </c>
      <c r="CI55" s="70">
        <f t="shared" si="64"/>
        <v>-0.44549999999999912</v>
      </c>
      <c r="CJ55" s="70">
        <f t="shared" si="65"/>
        <v>-1.065199999999999</v>
      </c>
      <c r="CK55" s="70">
        <f t="shared" si="66"/>
        <v>-0.74709999999999965</v>
      </c>
      <c r="CL55" s="70">
        <f t="shared" si="67"/>
        <v>-0.59769999999999968</v>
      </c>
      <c r="CM55" s="70">
        <f t="shared" si="68"/>
        <v>-0.4762000000000004</v>
      </c>
      <c r="CN55" s="70">
        <f t="shared" si="69"/>
        <v>-0.29770000000000074</v>
      </c>
      <c r="CO55" s="70">
        <f t="shared" si="70"/>
        <v>-0.2137999999999991</v>
      </c>
      <c r="CP55" s="70">
        <f t="shared" si="71"/>
        <v>-0.20870000000000033</v>
      </c>
      <c r="CQ55" s="70">
        <f t="shared" si="72"/>
        <v>-0.13650000000000162</v>
      </c>
      <c r="CR55" s="70">
        <f t="shared" si="73"/>
        <v>0</v>
      </c>
      <c r="CS55" s="70">
        <f t="shared" si="74"/>
        <v>6.6300000000000026E-2</v>
      </c>
      <c r="CT55" s="70">
        <f t="shared" si="75"/>
        <v>0.19649999999999856</v>
      </c>
      <c r="CU55" s="70">
        <f t="shared" si="76"/>
        <v>0.32369999999999877</v>
      </c>
      <c r="CV55" s="70">
        <f t="shared" si="77"/>
        <v>0.44799999999999862</v>
      </c>
      <c r="CW55" s="70">
        <f t="shared" si="78"/>
        <v>0.56949999999999967</v>
      </c>
      <c r="CX55" s="70">
        <f t="shared" si="79"/>
        <v>0.68829999999999991</v>
      </c>
      <c r="CY55" s="70">
        <f t="shared" si="80"/>
        <v>0.80439999999999934</v>
      </c>
      <c r="CZ55" s="70">
        <f t="shared" si="81"/>
        <v>0.80439999999999934</v>
      </c>
      <c r="DA55" s="70">
        <f t="shared" si="82"/>
        <v>0.80439999999999934</v>
      </c>
      <c r="DB55" s="70">
        <f t="shared" si="83"/>
        <v>0.80439999999999934</v>
      </c>
      <c r="DC55" s="70">
        <f t="shared" si="84"/>
        <v>0.80439999999999934</v>
      </c>
      <c r="DD55" s="71">
        <f t="shared" si="85"/>
        <v>0.80439999999999934</v>
      </c>
    </row>
    <row r="56" spans="21:108" s="41" customFormat="1" ht="15" customHeight="1">
      <c r="U56" s="302"/>
      <c r="V56" s="181">
        <v>5500</v>
      </c>
      <c r="W56" s="55">
        <v>14.7</v>
      </c>
      <c r="X56" s="48">
        <v>14.7</v>
      </c>
      <c r="Y56" s="48">
        <v>14.586</v>
      </c>
      <c r="Z56" s="48">
        <v>14.586</v>
      </c>
      <c r="AA56" s="48">
        <v>14.2545</v>
      </c>
      <c r="AB56" s="48">
        <v>13.8353</v>
      </c>
      <c r="AC56" s="48">
        <v>13.3447</v>
      </c>
      <c r="AD56" s="48">
        <v>12.7135</v>
      </c>
      <c r="AE56" s="48">
        <v>12.3789</v>
      </c>
      <c r="AF56" s="48">
        <v>11.9847</v>
      </c>
      <c r="AG56" s="48">
        <v>11.614800000000001</v>
      </c>
      <c r="AH56" s="48">
        <v>11.334899999999999</v>
      </c>
      <c r="AI56" s="48">
        <v>11.267099999999999</v>
      </c>
      <c r="AJ56" s="48">
        <v>10.939500000000001</v>
      </c>
      <c r="AK56" s="48">
        <v>10.876300000000001</v>
      </c>
      <c r="AL56" s="48">
        <v>10.752000000000001</v>
      </c>
      <c r="AM56" s="48">
        <v>10.752000000000001</v>
      </c>
      <c r="AN56" s="48">
        <v>10.5708</v>
      </c>
      <c r="AO56" s="48">
        <v>10.752000000000001</v>
      </c>
      <c r="AP56" s="48">
        <v>10.6305</v>
      </c>
      <c r="AQ56" s="48">
        <v>10.4533</v>
      </c>
      <c r="AR56" s="48">
        <v>10.4533</v>
      </c>
      <c r="AS56" s="48">
        <v>10.4533</v>
      </c>
      <c r="AT56" s="48">
        <v>10.3385</v>
      </c>
      <c r="AU56" s="48">
        <v>10.3385</v>
      </c>
      <c r="AV56" s="48">
        <v>10.3385</v>
      </c>
      <c r="AW56" s="48">
        <v>10.3385</v>
      </c>
      <c r="AX56" s="48">
        <v>10.3385</v>
      </c>
      <c r="AY56" s="48">
        <v>10.3385</v>
      </c>
      <c r="AZ56" s="56">
        <v>10.3385</v>
      </c>
      <c r="BA56" s="59"/>
      <c r="BB56" s="59"/>
      <c r="BZ56" s="181">
        <v>2500</v>
      </c>
      <c r="CA56" s="69">
        <f t="shared" si="56"/>
        <v>0</v>
      </c>
      <c r="CB56" s="70">
        <f t="shared" si="57"/>
        <v>0</v>
      </c>
      <c r="CC56" s="70">
        <f t="shared" si="58"/>
        <v>0</v>
      </c>
      <c r="CD56" s="70">
        <f t="shared" si="59"/>
        <v>0</v>
      </c>
      <c r="CE56" s="70">
        <f t="shared" si="60"/>
        <v>0</v>
      </c>
      <c r="CF56" s="70">
        <f t="shared" si="61"/>
        <v>0</v>
      </c>
      <c r="CG56" s="70">
        <f t="shared" si="62"/>
        <v>0</v>
      </c>
      <c r="CH56" s="70">
        <f t="shared" si="63"/>
        <v>0</v>
      </c>
      <c r="CI56" s="70">
        <f t="shared" si="64"/>
        <v>-0.44549999999999912</v>
      </c>
      <c r="CJ56" s="70">
        <f t="shared" si="65"/>
        <v>-1.065199999999999</v>
      </c>
      <c r="CK56" s="70">
        <f t="shared" si="66"/>
        <v>-1.6738</v>
      </c>
      <c r="CL56" s="70">
        <f t="shared" si="67"/>
        <v>-1.3185000000000002</v>
      </c>
      <c r="CM56" s="70">
        <f t="shared" si="68"/>
        <v>-1.053700000000001</v>
      </c>
      <c r="CN56" s="70">
        <f t="shared" si="69"/>
        <v>-0.74499999999999922</v>
      </c>
      <c r="CO56" s="70">
        <f t="shared" si="70"/>
        <v>-0.64179999999999993</v>
      </c>
      <c r="CP56" s="70">
        <f t="shared" si="71"/>
        <v>-0.62630000000000052</v>
      </c>
      <c r="CQ56" s="70">
        <f t="shared" si="72"/>
        <v>-0.54660000000000153</v>
      </c>
      <c r="CR56" s="70">
        <f t="shared" si="73"/>
        <v>-0.46969999999999956</v>
      </c>
      <c r="CS56" s="70">
        <f t="shared" si="74"/>
        <v>-0.33139999999999858</v>
      </c>
      <c r="CT56" s="70">
        <f t="shared" si="75"/>
        <v>-0.26049999999999862</v>
      </c>
      <c r="CU56" s="70">
        <f t="shared" si="76"/>
        <v>-0.12869999999999848</v>
      </c>
      <c r="CV56" s="70">
        <f t="shared" si="77"/>
        <v>0</v>
      </c>
      <c r="CW56" s="70">
        <f t="shared" si="78"/>
        <v>0.12570000000000014</v>
      </c>
      <c r="CX56" s="70">
        <f t="shared" si="79"/>
        <v>0.30900000000000105</v>
      </c>
      <c r="CY56" s="70">
        <f t="shared" si="80"/>
        <v>0.36870000000000047</v>
      </c>
      <c r="CZ56" s="70">
        <f t="shared" si="81"/>
        <v>0.36870000000000047</v>
      </c>
      <c r="DA56" s="70">
        <f t="shared" si="82"/>
        <v>0.36870000000000047</v>
      </c>
      <c r="DB56" s="70">
        <f t="shared" si="83"/>
        <v>0.36870000000000047</v>
      </c>
      <c r="DC56" s="70">
        <f t="shared" si="84"/>
        <v>0.36870000000000047</v>
      </c>
      <c r="DD56" s="71">
        <f t="shared" si="85"/>
        <v>0.36870000000000047</v>
      </c>
    </row>
    <row r="57" spans="21:108" s="41" customFormat="1" ht="15" customHeight="1">
      <c r="U57" s="302"/>
      <c r="V57" s="181">
        <v>5750</v>
      </c>
      <c r="W57" s="55">
        <v>14.473800000000001</v>
      </c>
      <c r="X57" s="48">
        <v>14.3634</v>
      </c>
      <c r="Y57" s="48">
        <v>14.3634</v>
      </c>
      <c r="Z57" s="48">
        <v>14.147399999999999</v>
      </c>
      <c r="AA57" s="48">
        <v>13.937799999999999</v>
      </c>
      <c r="AB57" s="48">
        <v>13.44</v>
      </c>
      <c r="AC57" s="48">
        <v>12.887700000000001</v>
      </c>
      <c r="AD57" s="48">
        <v>12.3789</v>
      </c>
      <c r="AE57" s="48">
        <v>12.2182</v>
      </c>
      <c r="AF57" s="48">
        <v>11.834</v>
      </c>
      <c r="AG57" s="48">
        <v>11.614800000000001</v>
      </c>
      <c r="AH57" s="48">
        <v>11.403600000000001</v>
      </c>
      <c r="AI57" s="48">
        <v>11.267099999999999</v>
      </c>
      <c r="AJ57" s="48">
        <v>11.068199999999999</v>
      </c>
      <c r="AK57" s="48">
        <v>10.939500000000001</v>
      </c>
      <c r="AL57" s="48">
        <v>10.752000000000001</v>
      </c>
      <c r="AM57" s="48">
        <v>10.690899999999999</v>
      </c>
      <c r="AN57" s="48">
        <v>10.6305</v>
      </c>
      <c r="AO57" s="48">
        <v>10.752000000000001</v>
      </c>
      <c r="AP57" s="48">
        <v>10.6305</v>
      </c>
      <c r="AQ57" s="48">
        <v>10.511699999999999</v>
      </c>
      <c r="AR57" s="48">
        <v>10.3956</v>
      </c>
      <c r="AS57" s="48">
        <v>10.3956</v>
      </c>
      <c r="AT57" s="48">
        <v>10.3956</v>
      </c>
      <c r="AU57" s="48">
        <v>10.3956</v>
      </c>
      <c r="AV57" s="48">
        <v>10.282</v>
      </c>
      <c r="AW57" s="48">
        <v>10.282</v>
      </c>
      <c r="AX57" s="48">
        <v>10.282</v>
      </c>
      <c r="AY57" s="48">
        <v>10.282</v>
      </c>
      <c r="AZ57" s="56">
        <v>10.282</v>
      </c>
      <c r="BA57" s="59"/>
      <c r="BB57" s="59"/>
      <c r="BZ57" s="181">
        <v>2750</v>
      </c>
      <c r="CA57" s="69">
        <f t="shared" si="56"/>
        <v>0</v>
      </c>
      <c r="CB57" s="70">
        <f t="shared" si="57"/>
        <v>0</v>
      </c>
      <c r="CC57" s="70">
        <f t="shared" si="58"/>
        <v>0</v>
      </c>
      <c r="CD57" s="70">
        <f t="shared" si="59"/>
        <v>0</v>
      </c>
      <c r="CE57" s="70">
        <f t="shared" si="60"/>
        <v>0</v>
      </c>
      <c r="CF57" s="70">
        <f t="shared" si="61"/>
        <v>0</v>
      </c>
      <c r="CG57" s="70">
        <f t="shared" si="62"/>
        <v>0</v>
      </c>
      <c r="CH57" s="70">
        <f t="shared" si="63"/>
        <v>0</v>
      </c>
      <c r="CI57" s="70">
        <f t="shared" si="64"/>
        <v>-0.55259999999999998</v>
      </c>
      <c r="CJ57" s="70">
        <f t="shared" si="65"/>
        <v>-1.1632999999999996</v>
      </c>
      <c r="CK57" s="70">
        <f t="shared" si="66"/>
        <v>-1.7352000000000007</v>
      </c>
      <c r="CL57" s="70">
        <f t="shared" si="67"/>
        <v>-1.283199999999999</v>
      </c>
      <c r="CM57" s="70">
        <f t="shared" si="68"/>
        <v>-0.61100000000000065</v>
      </c>
      <c r="CN57" s="70">
        <f t="shared" si="69"/>
        <v>-0.20610000000000106</v>
      </c>
      <c r="CO57" s="70">
        <f t="shared" si="70"/>
        <v>6.5500000000000114E-2</v>
      </c>
      <c r="CP57" s="70">
        <f t="shared" si="71"/>
        <v>-6.4000000000000057E-2</v>
      </c>
      <c r="CQ57" s="70">
        <f t="shared" si="72"/>
        <v>6.3200000000000145E-2</v>
      </c>
      <c r="CR57" s="70">
        <f t="shared" si="73"/>
        <v>0.12429999999999986</v>
      </c>
      <c r="CS57" s="70">
        <f t="shared" si="74"/>
        <v>0.18330000000000091</v>
      </c>
      <c r="CT57" s="70">
        <f t="shared" si="75"/>
        <v>0.24030000000000129</v>
      </c>
      <c r="CU57" s="70">
        <f t="shared" si="76"/>
        <v>0.35640000000000072</v>
      </c>
      <c r="CV57" s="70">
        <f t="shared" si="77"/>
        <v>0.47000000000000064</v>
      </c>
      <c r="CW57" s="70">
        <f t="shared" si="78"/>
        <v>0.58120000000000083</v>
      </c>
      <c r="CX57" s="70">
        <f t="shared" si="79"/>
        <v>0.79644000000000048</v>
      </c>
      <c r="CY57" s="70">
        <f t="shared" si="80"/>
        <v>1.0027800000000013</v>
      </c>
      <c r="CZ57" s="70">
        <f t="shared" si="81"/>
        <v>1.0027800000000013</v>
      </c>
      <c r="DA57" s="70">
        <f t="shared" si="82"/>
        <v>1.0027800000000013</v>
      </c>
      <c r="DB57" s="70">
        <f t="shared" si="83"/>
        <v>1.0027800000000013</v>
      </c>
      <c r="DC57" s="70">
        <f t="shared" si="84"/>
        <v>1.0027800000000013</v>
      </c>
      <c r="DD57" s="71">
        <f t="shared" si="85"/>
        <v>1.0027800000000013</v>
      </c>
    </row>
    <row r="58" spans="21:108" s="41" customFormat="1" ht="15" customHeight="1">
      <c r="U58" s="302"/>
      <c r="V58" s="181">
        <v>6000</v>
      </c>
      <c r="W58" s="55">
        <v>14.0418</v>
      </c>
      <c r="X58" s="48">
        <v>14.0418</v>
      </c>
      <c r="Y58" s="48">
        <v>14.0418</v>
      </c>
      <c r="Z58" s="48">
        <v>13.8353</v>
      </c>
      <c r="AA58" s="48">
        <v>13.5367</v>
      </c>
      <c r="AB58" s="48">
        <v>13.066700000000001</v>
      </c>
      <c r="AC58" s="48">
        <v>12.6282</v>
      </c>
      <c r="AD58" s="48">
        <v>12.2182</v>
      </c>
      <c r="AE58" s="48">
        <v>12.1394</v>
      </c>
      <c r="AF58" s="48">
        <v>11.834</v>
      </c>
      <c r="AG58" s="48">
        <v>11.614800000000001</v>
      </c>
      <c r="AH58" s="48">
        <v>11.403600000000001</v>
      </c>
      <c r="AI58" s="48">
        <v>11.267099999999999</v>
      </c>
      <c r="AJ58" s="48">
        <v>11.068199999999999</v>
      </c>
      <c r="AK58" s="48">
        <v>10.939500000000001</v>
      </c>
      <c r="AL58" s="48">
        <v>10.752000000000001</v>
      </c>
      <c r="AM58" s="48">
        <v>10.752000000000001</v>
      </c>
      <c r="AN58" s="48">
        <v>10.5708</v>
      </c>
      <c r="AO58" s="48">
        <v>10.6305</v>
      </c>
      <c r="AP58" s="48">
        <v>10.5708</v>
      </c>
      <c r="AQ58" s="48">
        <v>10.5708</v>
      </c>
      <c r="AR58" s="48">
        <v>10.4533</v>
      </c>
      <c r="AS58" s="48">
        <v>10.4533</v>
      </c>
      <c r="AT58" s="48">
        <v>10.4533</v>
      </c>
      <c r="AU58" s="48">
        <v>10.4533</v>
      </c>
      <c r="AV58" s="48">
        <v>10.3385</v>
      </c>
      <c r="AW58" s="48">
        <v>10.3385</v>
      </c>
      <c r="AX58" s="48">
        <v>10.3385</v>
      </c>
      <c r="AY58" s="48">
        <v>10.3385</v>
      </c>
      <c r="AZ58" s="56">
        <v>10.3385</v>
      </c>
      <c r="BA58" s="59"/>
      <c r="BB58" s="59"/>
      <c r="BZ58" s="181">
        <v>3000</v>
      </c>
      <c r="CA58" s="69">
        <f t="shared" si="56"/>
        <v>0</v>
      </c>
      <c r="CB58" s="70">
        <f t="shared" si="57"/>
        <v>0</v>
      </c>
      <c r="CC58" s="70">
        <f t="shared" si="58"/>
        <v>0</v>
      </c>
      <c r="CD58" s="70">
        <f t="shared" si="59"/>
        <v>0</v>
      </c>
      <c r="CE58" s="70">
        <f t="shared" si="60"/>
        <v>0</v>
      </c>
      <c r="CF58" s="70">
        <f t="shared" si="61"/>
        <v>0</v>
      </c>
      <c r="CG58" s="70">
        <f t="shared" si="62"/>
        <v>0</v>
      </c>
      <c r="CH58" s="70">
        <f t="shared" si="63"/>
        <v>0</v>
      </c>
      <c r="CI58" s="70">
        <f t="shared" si="64"/>
        <v>-0.55259999999999998</v>
      </c>
      <c r="CJ58" s="70">
        <f t="shared" si="65"/>
        <v>-1.2599999999999998</v>
      </c>
      <c r="CK58" s="70">
        <f t="shared" si="66"/>
        <v>-1.7104999999999997</v>
      </c>
      <c r="CL58" s="70">
        <f t="shared" si="67"/>
        <v>-1.1578000000000017</v>
      </c>
      <c r="CM58" s="70">
        <f t="shared" si="68"/>
        <v>-0.2867999999999995</v>
      </c>
      <c r="CN58" s="70">
        <f t="shared" si="69"/>
        <v>0.44799999999999862</v>
      </c>
      <c r="CO58" s="70">
        <f t="shared" si="70"/>
        <v>0.7215000000000007</v>
      </c>
      <c r="CP58" s="70">
        <f t="shared" si="71"/>
        <v>0.64300000000000068</v>
      </c>
      <c r="CQ58" s="70">
        <f t="shared" si="72"/>
        <v>0.63590000000000124</v>
      </c>
      <c r="CR58" s="70">
        <f t="shared" si="73"/>
        <v>0.80530000000000079</v>
      </c>
      <c r="CS58" s="70">
        <f t="shared" si="74"/>
        <v>0.72733999999999988</v>
      </c>
      <c r="CT58" s="70">
        <f t="shared" si="75"/>
        <v>0.77079999999999949</v>
      </c>
      <c r="CU58" s="70">
        <f t="shared" si="76"/>
        <v>0.87183000000000099</v>
      </c>
      <c r="CV58" s="70">
        <f t="shared" si="77"/>
        <v>0.97080000000000055</v>
      </c>
      <c r="CW58" s="70">
        <f t="shared" si="78"/>
        <v>1.0677699999999994</v>
      </c>
      <c r="CX58" s="70">
        <f t="shared" si="79"/>
        <v>1.2559500000000003</v>
      </c>
      <c r="CY58" s="70">
        <f t="shared" si="80"/>
        <v>1.6107999999999993</v>
      </c>
      <c r="CZ58" s="70">
        <f t="shared" si="81"/>
        <v>1.6107999999999993</v>
      </c>
      <c r="DA58" s="70">
        <f t="shared" si="82"/>
        <v>1.6107999999999993</v>
      </c>
      <c r="DB58" s="70">
        <f t="shared" si="83"/>
        <v>1.6107999999999993</v>
      </c>
      <c r="DC58" s="70">
        <f t="shared" si="84"/>
        <v>1.6107999999999993</v>
      </c>
      <c r="DD58" s="71">
        <f t="shared" si="85"/>
        <v>1.6107999999999993</v>
      </c>
    </row>
    <row r="59" spans="21:108" s="41" customFormat="1" ht="15" customHeight="1">
      <c r="U59" s="302"/>
      <c r="V59" s="181">
        <v>6250</v>
      </c>
      <c r="W59" s="55">
        <v>13.8353</v>
      </c>
      <c r="X59" s="48">
        <v>13.8353</v>
      </c>
      <c r="Y59" s="48">
        <v>13.8353</v>
      </c>
      <c r="Z59" s="48">
        <v>13.6348</v>
      </c>
      <c r="AA59" s="48">
        <v>13.2507</v>
      </c>
      <c r="AB59" s="48">
        <v>12.8</v>
      </c>
      <c r="AC59" s="48">
        <v>12.3789</v>
      </c>
      <c r="AD59" s="48">
        <v>12.1394</v>
      </c>
      <c r="AE59" s="48">
        <v>11.9847</v>
      </c>
      <c r="AF59" s="48">
        <v>11.834</v>
      </c>
      <c r="AG59" s="48">
        <v>11.614800000000001</v>
      </c>
      <c r="AH59" s="48">
        <v>11.403600000000001</v>
      </c>
      <c r="AI59" s="48">
        <v>11.334899999999999</v>
      </c>
      <c r="AJ59" s="48">
        <v>11.133699999999999</v>
      </c>
      <c r="AK59" s="48">
        <v>11.068199999999999</v>
      </c>
      <c r="AL59" s="48">
        <v>10.939500000000001</v>
      </c>
      <c r="AM59" s="48">
        <v>10.876300000000001</v>
      </c>
      <c r="AN59" s="48">
        <v>10.5708</v>
      </c>
      <c r="AO59" s="48">
        <v>10.752000000000001</v>
      </c>
      <c r="AP59" s="48">
        <v>10.690899999999999</v>
      </c>
      <c r="AQ59" s="48">
        <v>10.752000000000001</v>
      </c>
      <c r="AR59" s="48">
        <v>10.511699999999999</v>
      </c>
      <c r="AS59" s="48">
        <v>10.511699999999999</v>
      </c>
      <c r="AT59" s="48">
        <v>10.511699999999999</v>
      </c>
      <c r="AU59" s="48">
        <v>10.511699999999999</v>
      </c>
      <c r="AV59" s="48">
        <v>10.3956</v>
      </c>
      <c r="AW59" s="48">
        <v>10.3956</v>
      </c>
      <c r="AX59" s="48">
        <v>10.3956</v>
      </c>
      <c r="AY59" s="48">
        <v>10.3956</v>
      </c>
      <c r="AZ59" s="56">
        <v>10.3956</v>
      </c>
      <c r="BA59" s="59"/>
      <c r="BB59" s="59"/>
      <c r="BZ59" s="181">
        <v>3250</v>
      </c>
      <c r="CA59" s="69">
        <f t="shared" si="56"/>
        <v>0</v>
      </c>
      <c r="CB59" s="70">
        <f t="shared" si="57"/>
        <v>0</v>
      </c>
      <c r="CC59" s="70">
        <f t="shared" si="58"/>
        <v>0</v>
      </c>
      <c r="CD59" s="70">
        <f t="shared" si="59"/>
        <v>0</v>
      </c>
      <c r="CE59" s="70">
        <f t="shared" si="60"/>
        <v>0</v>
      </c>
      <c r="CF59" s="70">
        <f t="shared" si="61"/>
        <v>0</v>
      </c>
      <c r="CG59" s="70">
        <f t="shared" si="62"/>
        <v>0</v>
      </c>
      <c r="CH59" s="70">
        <f t="shared" si="63"/>
        <v>0</v>
      </c>
      <c r="CI59" s="70">
        <f t="shared" si="64"/>
        <v>-0.55259999999999998</v>
      </c>
      <c r="CJ59" s="70">
        <f t="shared" si="65"/>
        <v>-1.1127000000000002</v>
      </c>
      <c r="CK59" s="70">
        <f t="shared" si="66"/>
        <v>-1.3553999999999995</v>
      </c>
      <c r="CL59" s="70">
        <f t="shared" si="67"/>
        <v>-0.70090000000000074</v>
      </c>
      <c r="CM59" s="70">
        <f t="shared" si="68"/>
        <v>-6.8700000000001538E-2</v>
      </c>
      <c r="CN59" s="70">
        <f t="shared" si="69"/>
        <v>0.49739999999999895</v>
      </c>
      <c r="CO59" s="70">
        <f t="shared" si="70"/>
        <v>0.70550000000000068</v>
      </c>
      <c r="CP59" s="70">
        <f t="shared" si="71"/>
        <v>0.62889999999999979</v>
      </c>
      <c r="CQ59" s="70">
        <f t="shared" si="72"/>
        <v>0.84884000000000093</v>
      </c>
      <c r="CR59" s="70">
        <f t="shared" si="73"/>
        <v>0.89089999999999847</v>
      </c>
      <c r="CS59" s="70">
        <f t="shared" si="74"/>
        <v>0.81273000000000017</v>
      </c>
      <c r="CT59" s="70">
        <f t="shared" si="75"/>
        <v>0.91169999999999973</v>
      </c>
      <c r="CU59" s="70">
        <f t="shared" si="76"/>
        <v>0.95026999999999973</v>
      </c>
      <c r="CV59" s="70">
        <f t="shared" si="77"/>
        <v>1.045300000000001</v>
      </c>
      <c r="CW59" s="70">
        <f t="shared" si="78"/>
        <v>1.1384500000000006</v>
      </c>
      <c r="CX59" s="70">
        <f t="shared" si="79"/>
        <v>1.3193200000000012</v>
      </c>
      <c r="CY59" s="70">
        <f t="shared" si="80"/>
        <v>1.4932999999999996</v>
      </c>
      <c r="CZ59" s="70">
        <f t="shared" si="81"/>
        <v>1.4932999999999996</v>
      </c>
      <c r="DA59" s="70">
        <f t="shared" si="82"/>
        <v>1.4932999999999996</v>
      </c>
      <c r="DB59" s="70">
        <f t="shared" si="83"/>
        <v>1.4932999999999996</v>
      </c>
      <c r="DC59" s="70">
        <f t="shared" si="84"/>
        <v>1.4932999999999996</v>
      </c>
      <c r="DD59" s="71">
        <f t="shared" si="85"/>
        <v>1.4932999999999996</v>
      </c>
    </row>
    <row r="60" spans="21:108" s="41" customFormat="1" ht="15" customHeight="1">
      <c r="U60" s="302"/>
      <c r="V60" s="181">
        <v>6500</v>
      </c>
      <c r="W60" s="55">
        <v>13.8353</v>
      </c>
      <c r="X60" s="48">
        <v>13.8353</v>
      </c>
      <c r="Y60" s="48">
        <v>13.8353</v>
      </c>
      <c r="Z60" s="48">
        <v>13.6348</v>
      </c>
      <c r="AA60" s="48">
        <v>13.2507</v>
      </c>
      <c r="AB60" s="48">
        <v>12.7135</v>
      </c>
      <c r="AC60" s="48">
        <v>12.298</v>
      </c>
      <c r="AD60" s="48">
        <v>12.061500000000001</v>
      </c>
      <c r="AE60" s="48">
        <v>11.9847</v>
      </c>
      <c r="AF60" s="48">
        <v>11.834</v>
      </c>
      <c r="AG60" s="48">
        <v>11.614800000000001</v>
      </c>
      <c r="AH60" s="48">
        <v>11.403600000000001</v>
      </c>
      <c r="AI60" s="48">
        <v>11.334899999999999</v>
      </c>
      <c r="AJ60" s="48">
        <v>11.2</v>
      </c>
      <c r="AK60" s="48">
        <v>11.133699999999999</v>
      </c>
      <c r="AL60" s="48">
        <v>10.876300000000001</v>
      </c>
      <c r="AM60" s="48">
        <v>10.876300000000001</v>
      </c>
      <c r="AN60" s="48">
        <v>10.690899999999999</v>
      </c>
      <c r="AO60" s="48">
        <v>10.752000000000001</v>
      </c>
      <c r="AP60" s="48">
        <v>10.752000000000001</v>
      </c>
      <c r="AQ60" s="48">
        <v>10.752000000000001</v>
      </c>
      <c r="AR60" s="48">
        <v>10.6305</v>
      </c>
      <c r="AS60" s="48">
        <v>10.6305</v>
      </c>
      <c r="AT60" s="48">
        <v>10.6305</v>
      </c>
      <c r="AU60" s="48">
        <v>10.6305</v>
      </c>
      <c r="AV60" s="48">
        <v>10.511699999999999</v>
      </c>
      <c r="AW60" s="48">
        <v>10.511699999999999</v>
      </c>
      <c r="AX60" s="48">
        <v>10.511699999999999</v>
      </c>
      <c r="AY60" s="48">
        <v>10.511699999999999</v>
      </c>
      <c r="AZ60" s="56">
        <v>10.511699999999999</v>
      </c>
      <c r="BA60" s="60"/>
      <c r="BB60" s="60"/>
      <c r="BZ60" s="181">
        <v>3500</v>
      </c>
      <c r="CA60" s="69">
        <f t="shared" si="56"/>
        <v>0</v>
      </c>
      <c r="CB60" s="70">
        <f t="shared" si="57"/>
        <v>0</v>
      </c>
      <c r="CC60" s="70">
        <f t="shared" si="58"/>
        <v>0</v>
      </c>
      <c r="CD60" s="70">
        <f t="shared" si="59"/>
        <v>0</v>
      </c>
      <c r="CE60" s="70">
        <f t="shared" si="60"/>
        <v>0</v>
      </c>
      <c r="CF60" s="70">
        <f t="shared" si="61"/>
        <v>0</v>
      </c>
      <c r="CG60" s="70">
        <f t="shared" si="62"/>
        <v>0</v>
      </c>
      <c r="CH60" s="70">
        <f t="shared" si="63"/>
        <v>0</v>
      </c>
      <c r="CI60" s="70">
        <f t="shared" si="64"/>
        <v>-0.55259999999999998</v>
      </c>
      <c r="CJ60" s="70">
        <f t="shared" si="65"/>
        <v>-0.88380000000000081</v>
      </c>
      <c r="CK60" s="70">
        <f t="shared" si="66"/>
        <v>-0.9527000000000001</v>
      </c>
      <c r="CL60" s="70">
        <f t="shared" si="67"/>
        <v>-0.22189999999999976</v>
      </c>
      <c r="CM60" s="70">
        <f t="shared" si="68"/>
        <v>0.19890000000000008</v>
      </c>
      <c r="CN60" s="70">
        <f t="shared" si="69"/>
        <v>0.72969999999999935</v>
      </c>
      <c r="CO60" s="70">
        <f t="shared" si="70"/>
        <v>0.87750000000000128</v>
      </c>
      <c r="CP60" s="70">
        <f t="shared" si="71"/>
        <v>0.90069000000000088</v>
      </c>
      <c r="CQ60" s="70">
        <f t="shared" si="72"/>
        <v>0.99192999999999998</v>
      </c>
      <c r="CR60" s="70">
        <f t="shared" si="73"/>
        <v>1.152000000000001</v>
      </c>
      <c r="CS60" s="70">
        <f t="shared" si="74"/>
        <v>1.0677699999999994</v>
      </c>
      <c r="CT60" s="70">
        <f t="shared" si="75"/>
        <v>1.1036999999999999</v>
      </c>
      <c r="CU60" s="70">
        <f t="shared" si="76"/>
        <v>1.1384500000000006</v>
      </c>
      <c r="CV60" s="70">
        <f t="shared" si="77"/>
        <v>1.2297700000000003</v>
      </c>
      <c r="CW60" s="70">
        <f t="shared" si="78"/>
        <v>1.3193200000000012</v>
      </c>
      <c r="CX60" s="70">
        <f t="shared" si="79"/>
        <v>1.4071499999999997</v>
      </c>
      <c r="CY60" s="70">
        <f t="shared" si="80"/>
        <v>1.4932999999999996</v>
      </c>
      <c r="CZ60" s="70">
        <f t="shared" si="81"/>
        <v>1.4932999999999996</v>
      </c>
      <c r="DA60" s="70">
        <f t="shared" si="82"/>
        <v>1.4932999999999996</v>
      </c>
      <c r="DB60" s="70">
        <f t="shared" si="83"/>
        <v>1.4932999999999996</v>
      </c>
      <c r="DC60" s="70">
        <f t="shared" si="84"/>
        <v>1.4932999999999996</v>
      </c>
      <c r="DD60" s="71">
        <f t="shared" si="85"/>
        <v>1.4932999999999996</v>
      </c>
    </row>
    <row r="61" spans="21:108" s="41" customFormat="1" ht="15" customHeight="1">
      <c r="U61" s="302"/>
      <c r="V61" s="181">
        <v>6750</v>
      </c>
      <c r="W61" s="55">
        <v>13.8353</v>
      </c>
      <c r="X61" s="48">
        <v>13.8353</v>
      </c>
      <c r="Y61" s="48">
        <v>13.8353</v>
      </c>
      <c r="Z61" s="48">
        <v>13.6348</v>
      </c>
      <c r="AA61" s="48">
        <v>13.2507</v>
      </c>
      <c r="AB61" s="48">
        <v>12.7135</v>
      </c>
      <c r="AC61" s="48">
        <v>12.298</v>
      </c>
      <c r="AD61" s="48">
        <v>12.061500000000001</v>
      </c>
      <c r="AE61" s="48">
        <v>11.9847</v>
      </c>
      <c r="AF61" s="48">
        <v>11.834</v>
      </c>
      <c r="AG61" s="48">
        <v>11.614800000000001</v>
      </c>
      <c r="AH61" s="48">
        <v>11.403600000000001</v>
      </c>
      <c r="AI61" s="48">
        <v>11.334899999999999</v>
      </c>
      <c r="AJ61" s="48">
        <v>11.2</v>
      </c>
      <c r="AK61" s="48">
        <v>11.133699999999999</v>
      </c>
      <c r="AL61" s="48">
        <v>11.003500000000001</v>
      </c>
      <c r="AM61" s="48">
        <v>10.876300000000001</v>
      </c>
      <c r="AN61" s="48">
        <v>10.813800000000001</v>
      </c>
      <c r="AO61" s="48">
        <v>10.752000000000001</v>
      </c>
      <c r="AP61" s="48">
        <v>10.752000000000001</v>
      </c>
      <c r="AQ61" s="48">
        <v>10.876300000000001</v>
      </c>
      <c r="AR61" s="48">
        <v>10.752000000000001</v>
      </c>
      <c r="AS61" s="48">
        <v>10.752000000000001</v>
      </c>
      <c r="AT61" s="48">
        <v>10.752000000000001</v>
      </c>
      <c r="AU61" s="48">
        <v>10.752000000000001</v>
      </c>
      <c r="AV61" s="48">
        <v>10.6305</v>
      </c>
      <c r="AW61" s="48">
        <v>10.6305</v>
      </c>
      <c r="AX61" s="48">
        <v>10.6305</v>
      </c>
      <c r="AY61" s="48">
        <v>10.6305</v>
      </c>
      <c r="AZ61" s="56">
        <v>10.6305</v>
      </c>
      <c r="BA61" s="60"/>
      <c r="BB61" s="60"/>
      <c r="BZ61" s="181">
        <v>3750</v>
      </c>
      <c r="CA61" s="69">
        <f t="shared" si="56"/>
        <v>0</v>
      </c>
      <c r="CB61" s="70">
        <f t="shared" si="57"/>
        <v>0</v>
      </c>
      <c r="CC61" s="70">
        <f t="shared" si="58"/>
        <v>0</v>
      </c>
      <c r="CD61" s="70">
        <f t="shared" si="59"/>
        <v>0</v>
      </c>
      <c r="CE61" s="70">
        <f t="shared" si="60"/>
        <v>0</v>
      </c>
      <c r="CF61" s="70">
        <f t="shared" si="61"/>
        <v>0</v>
      </c>
      <c r="CG61" s="70">
        <f t="shared" si="62"/>
        <v>-0.11399999999999899</v>
      </c>
      <c r="CH61" s="70">
        <f t="shared" si="63"/>
        <v>0.22259999999999991</v>
      </c>
      <c r="CI61" s="70">
        <f t="shared" si="64"/>
        <v>-0.21269999999999989</v>
      </c>
      <c r="CJ61" s="70">
        <f t="shared" si="65"/>
        <v>-0.75769999999999982</v>
      </c>
      <c r="CK61" s="70">
        <f t="shared" si="66"/>
        <v>-0.66060000000000052</v>
      </c>
      <c r="CL61" s="70">
        <f t="shared" si="67"/>
        <v>-0.14339999999999975</v>
      </c>
      <c r="CM61" s="70">
        <f t="shared" si="68"/>
        <v>0.39539999999999864</v>
      </c>
      <c r="CN61" s="70">
        <f t="shared" si="69"/>
        <v>0.7215000000000007</v>
      </c>
      <c r="CO61" s="70">
        <f t="shared" si="70"/>
        <v>1.0249900000000007</v>
      </c>
      <c r="CP61" s="70">
        <f t="shared" si="71"/>
        <v>1.0416699999999999</v>
      </c>
      <c r="CQ61" s="70">
        <f t="shared" si="72"/>
        <v>1.2828999999999997</v>
      </c>
      <c r="CR61" s="70">
        <f t="shared" si="73"/>
        <v>1.3156499999999998</v>
      </c>
      <c r="CS61" s="70">
        <f t="shared" si="74"/>
        <v>1.34727</v>
      </c>
      <c r="CT61" s="70">
        <f t="shared" si="75"/>
        <v>1.3193200000000012</v>
      </c>
      <c r="CU61" s="70">
        <f t="shared" si="76"/>
        <v>1.3494499999999992</v>
      </c>
      <c r="CV61" s="70">
        <f t="shared" si="77"/>
        <v>1.4355999999999991</v>
      </c>
      <c r="CW61" s="70">
        <f t="shared" si="78"/>
        <v>1.52013</v>
      </c>
      <c r="CX61" s="70">
        <f t="shared" si="79"/>
        <v>1.6030800000000003</v>
      </c>
      <c r="CY61" s="70">
        <f t="shared" si="80"/>
        <v>1.6844900000000003</v>
      </c>
      <c r="CZ61" s="70">
        <f t="shared" si="81"/>
        <v>1.6844900000000003</v>
      </c>
      <c r="DA61" s="70">
        <f t="shared" si="82"/>
        <v>1.6844900000000003</v>
      </c>
      <c r="DB61" s="70">
        <f t="shared" si="83"/>
        <v>1.6844900000000003</v>
      </c>
      <c r="DC61" s="70">
        <f t="shared" si="84"/>
        <v>1.6844900000000003</v>
      </c>
      <c r="DD61" s="71">
        <f t="shared" si="85"/>
        <v>1.6844900000000003</v>
      </c>
    </row>
    <row r="62" spans="21:108" s="41" customFormat="1" ht="15" customHeight="1">
      <c r="U62" s="302"/>
      <c r="V62" s="181">
        <v>7000</v>
      </c>
      <c r="W62" s="55">
        <v>13.8353</v>
      </c>
      <c r="X62" s="48">
        <v>13.8353</v>
      </c>
      <c r="Y62" s="48">
        <v>13.8353</v>
      </c>
      <c r="Z62" s="48">
        <v>13.6348</v>
      </c>
      <c r="AA62" s="48">
        <v>13.2507</v>
      </c>
      <c r="AB62" s="48">
        <v>12.7135</v>
      </c>
      <c r="AC62" s="48">
        <v>12.298</v>
      </c>
      <c r="AD62" s="48">
        <v>12.061500000000001</v>
      </c>
      <c r="AE62" s="48">
        <v>11.9847</v>
      </c>
      <c r="AF62" s="48">
        <v>11.834</v>
      </c>
      <c r="AG62" s="48">
        <v>11.614800000000001</v>
      </c>
      <c r="AH62" s="48">
        <v>11.403600000000001</v>
      </c>
      <c r="AI62" s="48">
        <v>11.334899999999999</v>
      </c>
      <c r="AJ62" s="48">
        <v>11.2</v>
      </c>
      <c r="AK62" s="48">
        <v>11.133699999999999</v>
      </c>
      <c r="AL62" s="48">
        <v>11.003500000000001</v>
      </c>
      <c r="AM62" s="48">
        <v>10.876300000000001</v>
      </c>
      <c r="AN62" s="48">
        <v>10.813800000000001</v>
      </c>
      <c r="AO62" s="48">
        <v>10.752000000000001</v>
      </c>
      <c r="AP62" s="48">
        <v>10.752000000000001</v>
      </c>
      <c r="AQ62" s="48">
        <v>10.876300000000001</v>
      </c>
      <c r="AR62" s="48">
        <v>10.752000000000001</v>
      </c>
      <c r="AS62" s="48">
        <v>10.752000000000001</v>
      </c>
      <c r="AT62" s="48">
        <v>10.752000000000001</v>
      </c>
      <c r="AU62" s="48">
        <v>10.752000000000001</v>
      </c>
      <c r="AV62" s="48">
        <v>10.752000000000001</v>
      </c>
      <c r="AW62" s="48">
        <v>10.752000000000001</v>
      </c>
      <c r="AX62" s="48">
        <v>10.752000000000001</v>
      </c>
      <c r="AY62" s="48">
        <v>10.752000000000001</v>
      </c>
      <c r="AZ62" s="56">
        <v>10.752000000000001</v>
      </c>
      <c r="BA62" s="60"/>
      <c r="BB62" s="60"/>
      <c r="BZ62" s="181">
        <v>4000</v>
      </c>
      <c r="CA62" s="69">
        <f t="shared" si="56"/>
        <v>0</v>
      </c>
      <c r="CB62" s="70">
        <f t="shared" si="57"/>
        <v>0</v>
      </c>
      <c r="CC62" s="70">
        <f t="shared" si="58"/>
        <v>0</v>
      </c>
      <c r="CD62" s="70">
        <f t="shared" si="59"/>
        <v>0</v>
      </c>
      <c r="CE62" s="70">
        <f t="shared" si="60"/>
        <v>0</v>
      </c>
      <c r="CF62" s="70">
        <f t="shared" si="61"/>
        <v>0</v>
      </c>
      <c r="CG62" s="70">
        <f t="shared" si="62"/>
        <v>-0.11399999999999899</v>
      </c>
      <c r="CH62" s="70">
        <f t="shared" si="63"/>
        <v>0.54420000000000002</v>
      </c>
      <c r="CI62" s="70">
        <f t="shared" si="64"/>
        <v>0.10249999999999915</v>
      </c>
      <c r="CJ62" s="70">
        <f t="shared" si="65"/>
        <v>-0.54469999999999885</v>
      </c>
      <c r="CK62" s="70">
        <f t="shared" si="66"/>
        <v>-0.31739999999999924</v>
      </c>
      <c r="CL62" s="70">
        <f t="shared" si="67"/>
        <v>0</v>
      </c>
      <c r="CM62" s="70">
        <f t="shared" si="68"/>
        <v>0.51509999999999856</v>
      </c>
      <c r="CN62" s="70">
        <f t="shared" si="69"/>
        <v>0.71340000000000003</v>
      </c>
      <c r="CO62" s="70">
        <f t="shared" si="70"/>
        <v>1.1645700000000012</v>
      </c>
      <c r="CP62" s="70">
        <f t="shared" si="71"/>
        <v>1.2828999999999997</v>
      </c>
      <c r="CQ62" s="70">
        <f t="shared" si="72"/>
        <v>1.6180200000000013</v>
      </c>
      <c r="CR62" s="70">
        <f t="shared" si="73"/>
        <v>1.5246499999999994</v>
      </c>
      <c r="CS62" s="70">
        <f t="shared" si="74"/>
        <v>1.5516999999999985</v>
      </c>
      <c r="CT62" s="70">
        <f t="shared" si="75"/>
        <v>1.5778300000000005</v>
      </c>
      <c r="CU62" s="70">
        <f t="shared" si="76"/>
        <v>1.6607800000000008</v>
      </c>
      <c r="CV62" s="70">
        <f t="shared" si="77"/>
        <v>1.6273900000000001</v>
      </c>
      <c r="CW62" s="70">
        <f t="shared" si="78"/>
        <v>1.7073099999999997</v>
      </c>
      <c r="CX62" s="70">
        <f t="shared" si="79"/>
        <v>1.7857699999999994</v>
      </c>
      <c r="CY62" s="70">
        <f t="shared" si="80"/>
        <v>1.8628199999999993</v>
      </c>
      <c r="CZ62" s="70">
        <f t="shared" si="81"/>
        <v>1.8628199999999993</v>
      </c>
      <c r="DA62" s="70">
        <f t="shared" si="82"/>
        <v>1.8628199999999993</v>
      </c>
      <c r="DB62" s="70">
        <f t="shared" si="83"/>
        <v>1.8628199999999993</v>
      </c>
      <c r="DC62" s="70">
        <f t="shared" si="84"/>
        <v>1.8628199999999993</v>
      </c>
      <c r="DD62" s="71">
        <f t="shared" si="85"/>
        <v>1.8628199999999993</v>
      </c>
    </row>
    <row r="63" spans="21:108" s="41" customFormat="1" ht="15" customHeight="1" thickBot="1">
      <c r="U63" s="303"/>
      <c r="V63" s="182">
        <v>7500</v>
      </c>
      <c r="W63" s="61">
        <v>13.8353</v>
      </c>
      <c r="X63" s="62">
        <v>13.8353</v>
      </c>
      <c r="Y63" s="62">
        <v>13.8353</v>
      </c>
      <c r="Z63" s="62">
        <v>13.6348</v>
      </c>
      <c r="AA63" s="62">
        <v>13.2507</v>
      </c>
      <c r="AB63" s="62">
        <v>12.7135</v>
      </c>
      <c r="AC63" s="62">
        <v>12.298</v>
      </c>
      <c r="AD63" s="62">
        <v>12.061500000000001</v>
      </c>
      <c r="AE63" s="62">
        <v>11.9847</v>
      </c>
      <c r="AF63" s="62">
        <v>11.834</v>
      </c>
      <c r="AG63" s="62">
        <v>11.614800000000001</v>
      </c>
      <c r="AH63" s="62">
        <v>11.403600000000001</v>
      </c>
      <c r="AI63" s="62">
        <v>11.334899999999999</v>
      </c>
      <c r="AJ63" s="62">
        <v>11.2</v>
      </c>
      <c r="AK63" s="62">
        <v>11.133699999999999</v>
      </c>
      <c r="AL63" s="62">
        <v>11.003500000000001</v>
      </c>
      <c r="AM63" s="62">
        <v>10.876300000000001</v>
      </c>
      <c r="AN63" s="62">
        <v>10.813800000000001</v>
      </c>
      <c r="AO63" s="62">
        <v>10.752000000000001</v>
      </c>
      <c r="AP63" s="62">
        <v>10.752000000000001</v>
      </c>
      <c r="AQ63" s="62">
        <v>10.876300000000001</v>
      </c>
      <c r="AR63" s="62">
        <v>10.752000000000001</v>
      </c>
      <c r="AS63" s="62">
        <v>10.752000000000001</v>
      </c>
      <c r="AT63" s="62">
        <v>10.752000000000001</v>
      </c>
      <c r="AU63" s="62">
        <v>10.752000000000001</v>
      </c>
      <c r="AV63" s="62">
        <v>10.752000000000001</v>
      </c>
      <c r="AW63" s="62">
        <v>10.752000000000001</v>
      </c>
      <c r="AX63" s="62">
        <v>10.752000000000001</v>
      </c>
      <c r="AY63" s="62">
        <v>10.752000000000001</v>
      </c>
      <c r="AZ63" s="63">
        <v>10.752000000000001</v>
      </c>
      <c r="BA63" s="60"/>
      <c r="BB63" s="60"/>
      <c r="BZ63" s="181">
        <v>4250</v>
      </c>
      <c r="CA63" s="69">
        <f t="shared" si="56"/>
        <v>0</v>
      </c>
      <c r="CB63" s="70">
        <f t="shared" si="57"/>
        <v>0</v>
      </c>
      <c r="CC63" s="70">
        <f t="shared" si="58"/>
        <v>0</v>
      </c>
      <c r="CD63" s="70">
        <f t="shared" si="59"/>
        <v>0</v>
      </c>
      <c r="CE63" s="70">
        <f t="shared" si="60"/>
        <v>-0.11399999999999899</v>
      </c>
      <c r="CF63" s="70">
        <f t="shared" si="61"/>
        <v>-0.11399999999999899</v>
      </c>
      <c r="CG63" s="70">
        <f t="shared" si="62"/>
        <v>-0.55259999999999998</v>
      </c>
      <c r="CH63" s="70">
        <f t="shared" si="63"/>
        <v>0.30750000000000099</v>
      </c>
      <c r="CI63" s="70">
        <f t="shared" si="64"/>
        <v>0.19480000000000075</v>
      </c>
      <c r="CJ63" s="70">
        <f t="shared" si="65"/>
        <v>-0.34839999999999982</v>
      </c>
      <c r="CK63" s="70">
        <f t="shared" si="66"/>
        <v>-0.30930000000000035</v>
      </c>
      <c r="CL63" s="70">
        <f t="shared" si="67"/>
        <v>6.8700000000001538E-2</v>
      </c>
      <c r="CM63" s="70">
        <f t="shared" si="68"/>
        <v>0.63659999999999961</v>
      </c>
      <c r="CN63" s="70">
        <f t="shared" si="69"/>
        <v>0.76870000000000083</v>
      </c>
      <c r="CO63" s="70">
        <f t="shared" si="70"/>
        <v>1.1027700000000014</v>
      </c>
      <c r="CP63" s="70">
        <f t="shared" si="71"/>
        <v>1.2356199999999991</v>
      </c>
      <c r="CQ63" s="70">
        <f t="shared" si="72"/>
        <v>1.5734600000000007</v>
      </c>
      <c r="CR63" s="70">
        <f t="shared" si="73"/>
        <v>1.4218399999999995</v>
      </c>
      <c r="CS63" s="70">
        <f t="shared" si="74"/>
        <v>1.4504300000000008</v>
      </c>
      <c r="CT63" s="70">
        <f t="shared" si="75"/>
        <v>1.4355999999999991</v>
      </c>
      <c r="CU63" s="70">
        <f t="shared" si="76"/>
        <v>1.5778300000000005</v>
      </c>
      <c r="CV63" s="70">
        <f t="shared" si="77"/>
        <v>1.5868699999999993</v>
      </c>
      <c r="CW63" s="70">
        <f t="shared" si="78"/>
        <v>1.5551300000000001</v>
      </c>
      <c r="CX63" s="70">
        <f t="shared" si="79"/>
        <v>1.6343200000000007</v>
      </c>
      <c r="CY63" s="70">
        <f t="shared" si="80"/>
        <v>1.7120700000000006</v>
      </c>
      <c r="CZ63" s="70">
        <f t="shared" si="81"/>
        <v>1.7120700000000006</v>
      </c>
      <c r="DA63" s="70">
        <f t="shared" si="82"/>
        <v>1.7120700000000006</v>
      </c>
      <c r="DB63" s="70">
        <f t="shared" si="83"/>
        <v>1.7120700000000006</v>
      </c>
      <c r="DC63" s="70">
        <f t="shared" si="84"/>
        <v>1.7120700000000006</v>
      </c>
      <c r="DD63" s="71">
        <f t="shared" si="85"/>
        <v>1.7120700000000006</v>
      </c>
    </row>
    <row r="64" spans="21:108" s="41" customFormat="1" ht="15" customHeight="1">
      <c r="BA64" s="60"/>
      <c r="BB64" s="60"/>
      <c r="BZ64" s="181">
        <v>4500</v>
      </c>
      <c r="CA64" s="69">
        <f t="shared" si="56"/>
        <v>0</v>
      </c>
      <c r="CB64" s="70">
        <f t="shared" si="57"/>
        <v>0</v>
      </c>
      <c r="CC64" s="70">
        <f t="shared" si="58"/>
        <v>0</v>
      </c>
      <c r="CD64" s="70">
        <f t="shared" si="59"/>
        <v>0</v>
      </c>
      <c r="CE64" s="70">
        <f t="shared" si="60"/>
        <v>-0.11399999999999899</v>
      </c>
      <c r="CF64" s="70">
        <f t="shared" si="61"/>
        <v>-0.11399999999999899</v>
      </c>
      <c r="CG64" s="70">
        <f t="shared" si="62"/>
        <v>-0.55259999999999998</v>
      </c>
      <c r="CH64" s="70">
        <f t="shared" si="63"/>
        <v>0.39530000000000065</v>
      </c>
      <c r="CI64" s="70">
        <f t="shared" si="64"/>
        <v>0.27799999999999869</v>
      </c>
      <c r="CJ64" s="70">
        <f t="shared" si="65"/>
        <v>-0.24929999999999986</v>
      </c>
      <c r="CK64" s="70">
        <f t="shared" si="66"/>
        <v>-0.22750000000000092</v>
      </c>
      <c r="CL64" s="70">
        <f t="shared" si="67"/>
        <v>0.13490000000000002</v>
      </c>
      <c r="CM64" s="70">
        <f t="shared" si="68"/>
        <v>0.69629999999999903</v>
      </c>
      <c r="CN64" s="70">
        <f t="shared" si="69"/>
        <v>0.82340000000000124</v>
      </c>
      <c r="CO64" s="70">
        <f t="shared" si="70"/>
        <v>1.1148300000000013</v>
      </c>
      <c r="CP64" s="70">
        <f t="shared" si="71"/>
        <v>1.1274699999999989</v>
      </c>
      <c r="CQ64" s="70">
        <f t="shared" si="72"/>
        <v>1.4830300000000012</v>
      </c>
      <c r="CR64" s="70">
        <f t="shared" si="73"/>
        <v>1.3331599999999995</v>
      </c>
      <c r="CS64" s="70">
        <f t="shared" si="74"/>
        <v>1.3057400000000001</v>
      </c>
      <c r="CT64" s="70">
        <f t="shared" si="75"/>
        <v>1.4504300000000008</v>
      </c>
      <c r="CU64" s="70">
        <f t="shared" si="76"/>
        <v>1.4780599999999993</v>
      </c>
      <c r="CV64" s="70">
        <f t="shared" si="77"/>
        <v>1.4481999999999999</v>
      </c>
      <c r="CW64" s="70">
        <f t="shared" si="78"/>
        <v>1.4191699999999994</v>
      </c>
      <c r="CX64" s="70">
        <f t="shared" si="79"/>
        <v>1.4998299999999993</v>
      </c>
      <c r="CY64" s="70">
        <f t="shared" si="80"/>
        <v>1.5790199999999999</v>
      </c>
      <c r="CZ64" s="70">
        <f t="shared" si="81"/>
        <v>1.5790199999999999</v>
      </c>
      <c r="DA64" s="70">
        <f t="shared" si="82"/>
        <v>1.5790199999999999</v>
      </c>
      <c r="DB64" s="70">
        <f t="shared" si="83"/>
        <v>1.5790199999999999</v>
      </c>
      <c r="DC64" s="70">
        <f t="shared" si="84"/>
        <v>1.5790199999999999</v>
      </c>
      <c r="DD64" s="71">
        <f t="shared" si="85"/>
        <v>1.5790199999999999</v>
      </c>
    </row>
    <row r="65" spans="21:109" s="41" customFormat="1" ht="15" customHeight="1" thickBot="1">
      <c r="BA65" s="60"/>
      <c r="BB65" s="60"/>
      <c r="BZ65" s="181">
        <v>4750</v>
      </c>
      <c r="CA65" s="69">
        <f t="shared" si="56"/>
        <v>0</v>
      </c>
      <c r="CB65" s="70">
        <f t="shared" si="57"/>
        <v>0</v>
      </c>
      <c r="CC65" s="70">
        <f t="shared" si="58"/>
        <v>0</v>
      </c>
      <c r="CD65" s="70">
        <f t="shared" si="59"/>
        <v>-0.11399999999999899</v>
      </c>
      <c r="CE65" s="70">
        <f t="shared" si="60"/>
        <v>-0.22619999999999862</v>
      </c>
      <c r="CF65" s="70">
        <f t="shared" si="61"/>
        <v>-0.22619999999999862</v>
      </c>
      <c r="CG65" s="70">
        <f t="shared" si="62"/>
        <v>-0.10559999999999903</v>
      </c>
      <c r="CH65" s="70">
        <f t="shared" si="63"/>
        <v>0.19200000000000017</v>
      </c>
      <c r="CI65" s="70">
        <f t="shared" si="64"/>
        <v>0.17900000000000027</v>
      </c>
      <c r="CJ65" s="70">
        <f t="shared" si="65"/>
        <v>-0.24270000000000103</v>
      </c>
      <c r="CK65" s="70">
        <f t="shared" si="66"/>
        <v>-0.1507000000000005</v>
      </c>
      <c r="CL65" s="70">
        <f t="shared" si="67"/>
        <v>0.13490000000000002</v>
      </c>
      <c r="CM65" s="70">
        <f t="shared" si="68"/>
        <v>0.69629999999999903</v>
      </c>
      <c r="CN65" s="70">
        <f t="shared" si="69"/>
        <v>0.82340000000000124</v>
      </c>
      <c r="CO65" s="70">
        <f t="shared" si="70"/>
        <v>1.1148300000000013</v>
      </c>
      <c r="CP65" s="70">
        <f t="shared" si="71"/>
        <v>1.1878699999999984</v>
      </c>
      <c r="CQ65" s="70">
        <f t="shared" si="72"/>
        <v>1.4830300000000012</v>
      </c>
      <c r="CR65" s="70">
        <f t="shared" si="73"/>
        <v>1.3331599999999995</v>
      </c>
      <c r="CS65" s="70">
        <f t="shared" si="74"/>
        <v>1.3057400000000001</v>
      </c>
      <c r="CT65" s="70">
        <f t="shared" si="75"/>
        <v>1.4504300000000008</v>
      </c>
      <c r="CU65" s="70">
        <f t="shared" si="76"/>
        <v>1.4780599999999993</v>
      </c>
      <c r="CV65" s="70">
        <f t="shared" si="77"/>
        <v>1.4481999999999999</v>
      </c>
      <c r="CW65" s="70">
        <f t="shared" si="78"/>
        <v>1.4191699999999994</v>
      </c>
      <c r="CX65" s="70">
        <f t="shared" si="79"/>
        <v>1.4998299999999993</v>
      </c>
      <c r="CY65" s="70">
        <f t="shared" si="80"/>
        <v>1.5790199999999999</v>
      </c>
      <c r="CZ65" s="70">
        <f t="shared" si="81"/>
        <v>1.5790199999999999</v>
      </c>
      <c r="DA65" s="70">
        <f t="shared" si="82"/>
        <v>1.5790199999999999</v>
      </c>
      <c r="DB65" s="70">
        <f t="shared" si="83"/>
        <v>1.5790199999999999</v>
      </c>
      <c r="DC65" s="70">
        <f t="shared" si="84"/>
        <v>1.5790199999999999</v>
      </c>
      <c r="DD65" s="71">
        <f t="shared" si="85"/>
        <v>1.5790199999999999</v>
      </c>
    </row>
    <row r="66" spans="21:109" s="41" customFormat="1" ht="15" customHeight="1">
      <c r="U66" s="278">
        <v>3</v>
      </c>
      <c r="V66" s="279"/>
      <c r="W66" s="288" t="s">
        <v>24</v>
      </c>
      <c r="X66" s="289"/>
      <c r="Y66" s="289"/>
      <c r="Z66" s="289"/>
      <c r="AA66" s="289"/>
      <c r="AB66" s="289"/>
      <c r="AC66" s="289"/>
      <c r="AD66" s="289"/>
      <c r="AE66" s="289"/>
      <c r="AF66" s="289"/>
      <c r="AG66" s="289"/>
      <c r="AH66" s="289"/>
      <c r="AI66" s="289"/>
      <c r="AJ66" s="289"/>
      <c r="AK66" s="289"/>
      <c r="AL66" s="289"/>
      <c r="AM66" s="289"/>
      <c r="AN66" s="289"/>
      <c r="AO66" s="289"/>
      <c r="AP66" s="289"/>
      <c r="AQ66" s="289"/>
      <c r="AR66" s="289"/>
      <c r="AS66" s="289"/>
      <c r="AT66" s="289"/>
      <c r="AU66" s="289"/>
      <c r="AV66" s="289"/>
      <c r="AW66" s="289"/>
      <c r="AX66" s="289"/>
      <c r="AY66" s="289"/>
      <c r="AZ66" s="290"/>
      <c r="BA66" s="60"/>
      <c r="BB66" s="60"/>
      <c r="BZ66" s="181">
        <v>5000</v>
      </c>
      <c r="CA66" s="69">
        <f t="shared" si="56"/>
        <v>0</v>
      </c>
      <c r="CB66" s="70">
        <f t="shared" si="57"/>
        <v>0</v>
      </c>
      <c r="CC66" s="70">
        <f t="shared" si="58"/>
        <v>0</v>
      </c>
      <c r="CD66" s="70">
        <f t="shared" si="59"/>
        <v>-0.11399999999999899</v>
      </c>
      <c r="CE66" s="70">
        <f t="shared" si="60"/>
        <v>-0.22619999999999862</v>
      </c>
      <c r="CF66" s="70">
        <f t="shared" si="61"/>
        <v>-0.44549999999999912</v>
      </c>
      <c r="CG66" s="70">
        <f t="shared" si="62"/>
        <v>0.2004999999999999</v>
      </c>
      <c r="CH66" s="70">
        <f t="shared" si="63"/>
        <v>0</v>
      </c>
      <c r="CI66" s="70">
        <f t="shared" si="64"/>
        <v>8.5300000000000153E-2</v>
      </c>
      <c r="CJ66" s="70">
        <f t="shared" si="65"/>
        <v>-0.15669999999999895</v>
      </c>
      <c r="CK66" s="70">
        <f t="shared" si="66"/>
        <v>-0.22189999999999976</v>
      </c>
      <c r="CL66" s="70">
        <f t="shared" si="67"/>
        <v>0.13490000000000002</v>
      </c>
      <c r="CM66" s="70">
        <f t="shared" si="68"/>
        <v>0.69629999999999903</v>
      </c>
      <c r="CN66" s="70">
        <f t="shared" si="69"/>
        <v>0.82340000000000124</v>
      </c>
      <c r="CO66" s="70">
        <f t="shared" si="70"/>
        <v>1.0530300000000015</v>
      </c>
      <c r="CP66" s="70">
        <f t="shared" si="71"/>
        <v>1.1396299999999986</v>
      </c>
      <c r="CQ66" s="70">
        <f t="shared" si="72"/>
        <v>1.4830300000000012</v>
      </c>
      <c r="CR66" s="70">
        <f t="shared" si="73"/>
        <v>1.3331599999999995</v>
      </c>
      <c r="CS66" s="70">
        <f t="shared" si="74"/>
        <v>1.3057400000000001</v>
      </c>
      <c r="CT66" s="70">
        <f t="shared" si="75"/>
        <v>1.4504300000000008</v>
      </c>
      <c r="CU66" s="70">
        <f t="shared" si="76"/>
        <v>1.4780599999999993</v>
      </c>
      <c r="CV66" s="70">
        <f t="shared" si="77"/>
        <v>1.4481999999999999</v>
      </c>
      <c r="CW66" s="70">
        <f t="shared" si="78"/>
        <v>1.4191699999999994</v>
      </c>
      <c r="CX66" s="70">
        <f t="shared" si="79"/>
        <v>1.4998299999999993</v>
      </c>
      <c r="CY66" s="70">
        <f t="shared" si="80"/>
        <v>1.5790199999999999</v>
      </c>
      <c r="CZ66" s="70">
        <f t="shared" si="81"/>
        <v>1.5790199999999999</v>
      </c>
      <c r="DA66" s="70">
        <f t="shared" si="82"/>
        <v>1.5790199999999999</v>
      </c>
      <c r="DB66" s="70">
        <f t="shared" si="83"/>
        <v>1.5790199999999999</v>
      </c>
      <c r="DC66" s="70">
        <f t="shared" si="84"/>
        <v>1.5790199999999999</v>
      </c>
      <c r="DD66" s="71">
        <f t="shared" si="85"/>
        <v>1.5790199999999999</v>
      </c>
    </row>
    <row r="67" spans="21:109" s="41" customFormat="1" ht="15" customHeight="1" thickBot="1">
      <c r="U67" s="280"/>
      <c r="V67" s="281"/>
      <c r="W67" s="291" t="s">
        <v>0</v>
      </c>
      <c r="X67" s="292"/>
      <c r="Y67" s="292"/>
      <c r="Z67" s="292"/>
      <c r="AA67" s="292"/>
      <c r="AB67" s="292"/>
      <c r="AC67" s="292"/>
      <c r="AD67" s="292"/>
      <c r="AE67" s="292"/>
      <c r="AF67" s="292"/>
      <c r="AG67" s="292"/>
      <c r="AH67" s="292"/>
      <c r="AI67" s="292"/>
      <c r="AJ67" s="292"/>
      <c r="AK67" s="292"/>
      <c r="AL67" s="292"/>
      <c r="AM67" s="292"/>
      <c r="AN67" s="292"/>
      <c r="AO67" s="292"/>
      <c r="AP67" s="292"/>
      <c r="AQ67" s="292"/>
      <c r="AR67" s="292"/>
      <c r="AS67" s="292"/>
      <c r="AT67" s="292"/>
      <c r="AU67" s="292"/>
      <c r="AV67" s="292"/>
      <c r="AW67" s="292"/>
      <c r="AX67" s="292"/>
      <c r="AY67" s="292"/>
      <c r="AZ67" s="293"/>
      <c r="BA67" s="60"/>
      <c r="BZ67" s="181">
        <v>5250</v>
      </c>
      <c r="CA67" s="69">
        <f t="shared" ref="CA67:CA75" si="86">W55-W85</f>
        <v>0</v>
      </c>
      <c r="CB67" s="70">
        <f t="shared" si="57"/>
        <v>0</v>
      </c>
      <c r="CC67" s="70">
        <f t="shared" si="58"/>
        <v>-0.11399999999999899</v>
      </c>
      <c r="CD67" s="70">
        <f t="shared" si="59"/>
        <v>-0.11399999999999899</v>
      </c>
      <c r="CE67" s="70">
        <f t="shared" si="60"/>
        <v>-0.3365999999999989</v>
      </c>
      <c r="CF67" s="70">
        <f t="shared" si="61"/>
        <v>-0.65819999999999901</v>
      </c>
      <c r="CG67" s="70">
        <f t="shared" si="62"/>
        <v>0</v>
      </c>
      <c r="CH67" s="70">
        <f t="shared" si="63"/>
        <v>-0.17900000000000027</v>
      </c>
      <c r="CI67" s="70">
        <f t="shared" si="64"/>
        <v>8.3099999999999952E-2</v>
      </c>
      <c r="CJ67" s="70">
        <f t="shared" si="65"/>
        <v>-7.6800000000000423E-2</v>
      </c>
      <c r="CK67" s="70">
        <f t="shared" si="66"/>
        <v>-7.219999999999871E-2</v>
      </c>
      <c r="CL67" s="70">
        <f t="shared" si="67"/>
        <v>0.26670000000000016</v>
      </c>
      <c r="CM67" s="70">
        <f t="shared" si="68"/>
        <v>0.81379999999999875</v>
      </c>
      <c r="CN67" s="70">
        <f t="shared" si="69"/>
        <v>0.82340000000000124</v>
      </c>
      <c r="CO67" s="70">
        <f t="shared" si="70"/>
        <v>1.0137999999999998</v>
      </c>
      <c r="CP67" s="70">
        <f t="shared" si="71"/>
        <v>1.0416699999999999</v>
      </c>
      <c r="CQ67" s="70">
        <f t="shared" si="72"/>
        <v>1.2489699999999999</v>
      </c>
      <c r="CR67" s="70">
        <f t="shared" si="73"/>
        <v>1.1036999999999999</v>
      </c>
      <c r="CS67" s="70">
        <f t="shared" si="74"/>
        <v>1.1384500000000006</v>
      </c>
      <c r="CT67" s="70">
        <f t="shared" si="75"/>
        <v>1.34727</v>
      </c>
      <c r="CU67" s="70">
        <f t="shared" si="76"/>
        <v>1.3193200000000012</v>
      </c>
      <c r="CV67" s="70">
        <f t="shared" si="77"/>
        <v>1.292349999999999</v>
      </c>
      <c r="CW67" s="70">
        <f t="shared" si="78"/>
        <v>1.3784999999999989</v>
      </c>
      <c r="CX67" s="70">
        <f t="shared" si="79"/>
        <v>1.4630299999999998</v>
      </c>
      <c r="CY67" s="70">
        <f t="shared" si="80"/>
        <v>1.5459800000000001</v>
      </c>
      <c r="CZ67" s="70">
        <f t="shared" si="81"/>
        <v>1.5459800000000001</v>
      </c>
      <c r="DA67" s="70">
        <f t="shared" si="82"/>
        <v>1.5459800000000001</v>
      </c>
      <c r="DB67" s="70">
        <f t="shared" si="83"/>
        <v>1.5459800000000001</v>
      </c>
      <c r="DC67" s="70">
        <f t="shared" si="84"/>
        <v>1.5459800000000001</v>
      </c>
      <c r="DD67" s="71">
        <f t="shared" si="85"/>
        <v>1.5459800000000001</v>
      </c>
    </row>
    <row r="68" spans="21:109" s="41" customFormat="1" ht="15" customHeight="1" thickBot="1">
      <c r="U68" s="282"/>
      <c r="V68" s="283"/>
      <c r="W68" s="175">
        <v>10</v>
      </c>
      <c r="X68" s="176">
        <v>20</v>
      </c>
      <c r="Y68" s="176">
        <v>30</v>
      </c>
      <c r="Z68" s="176">
        <v>40</v>
      </c>
      <c r="AA68" s="177">
        <v>50</v>
      </c>
      <c r="AB68" s="177">
        <v>60</v>
      </c>
      <c r="AC68" s="177">
        <v>70</v>
      </c>
      <c r="AD68" s="177">
        <v>80</v>
      </c>
      <c r="AE68" s="177">
        <v>90</v>
      </c>
      <c r="AF68" s="177">
        <v>100</v>
      </c>
      <c r="AG68" s="177">
        <v>120</v>
      </c>
      <c r="AH68" s="177">
        <v>140</v>
      </c>
      <c r="AI68" s="173">
        <v>150</v>
      </c>
      <c r="AJ68" s="173">
        <v>160</v>
      </c>
      <c r="AK68" s="173">
        <v>170</v>
      </c>
      <c r="AL68" s="173">
        <v>180</v>
      </c>
      <c r="AM68" s="173">
        <v>190</v>
      </c>
      <c r="AN68" s="173">
        <v>200</v>
      </c>
      <c r="AO68" s="173">
        <v>210</v>
      </c>
      <c r="AP68" s="173">
        <v>220</v>
      </c>
      <c r="AQ68" s="173">
        <v>230</v>
      </c>
      <c r="AR68" s="173">
        <v>240</v>
      </c>
      <c r="AS68" s="173">
        <v>250</v>
      </c>
      <c r="AT68" s="173">
        <v>260</v>
      </c>
      <c r="AU68" s="173">
        <v>270</v>
      </c>
      <c r="AV68" s="173">
        <v>280</v>
      </c>
      <c r="AW68" s="173">
        <v>290</v>
      </c>
      <c r="AX68" s="173">
        <v>300</v>
      </c>
      <c r="AY68" s="173">
        <v>310</v>
      </c>
      <c r="AZ68" s="174">
        <v>320</v>
      </c>
      <c r="BA68" s="60"/>
      <c r="BZ68" s="181">
        <v>5500</v>
      </c>
      <c r="CA68" s="69">
        <f t="shared" si="86"/>
        <v>0</v>
      </c>
      <c r="CB68" s="70">
        <f t="shared" si="57"/>
        <v>0</v>
      </c>
      <c r="CC68" s="70">
        <f t="shared" si="58"/>
        <v>-0.11399999999999899</v>
      </c>
      <c r="CD68" s="70">
        <f t="shared" si="59"/>
        <v>-0.11399999999999899</v>
      </c>
      <c r="CE68" s="70">
        <f t="shared" si="60"/>
        <v>-0.44549999999999912</v>
      </c>
      <c r="CF68" s="70">
        <f t="shared" si="61"/>
        <v>-0.86469999999999914</v>
      </c>
      <c r="CG68" s="70">
        <f t="shared" si="62"/>
        <v>-0.29010000000000069</v>
      </c>
      <c r="CH68" s="70">
        <f t="shared" si="63"/>
        <v>-0.1742000000000008</v>
      </c>
      <c r="CI68" s="70">
        <f t="shared" si="64"/>
        <v>0.16070000000000029</v>
      </c>
      <c r="CJ68" s="70">
        <f t="shared" si="65"/>
        <v>7.5800000000000978E-2</v>
      </c>
      <c r="CK68" s="70">
        <f t="shared" si="66"/>
        <v>0.21119999999999983</v>
      </c>
      <c r="CL68" s="70">
        <f t="shared" si="67"/>
        <v>0.45859999999999879</v>
      </c>
      <c r="CM68" s="70">
        <f t="shared" si="68"/>
        <v>0.87149999999999928</v>
      </c>
      <c r="CN68" s="70">
        <f t="shared" si="69"/>
        <v>0.82340000000000124</v>
      </c>
      <c r="CO68" s="70">
        <f t="shared" si="70"/>
        <v>0.97314000000000078</v>
      </c>
      <c r="CP68" s="70">
        <f t="shared" si="71"/>
        <v>0.95199999999999996</v>
      </c>
      <c r="CQ68" s="70">
        <f t="shared" si="72"/>
        <v>1.0530300000000015</v>
      </c>
      <c r="CR68" s="70">
        <f t="shared" si="73"/>
        <v>0.97080000000000055</v>
      </c>
      <c r="CS68" s="70">
        <f t="shared" si="74"/>
        <v>1.2489699999999999</v>
      </c>
      <c r="CT68" s="70">
        <f t="shared" si="75"/>
        <v>1.2225000000000001</v>
      </c>
      <c r="CU68" s="70">
        <f t="shared" si="76"/>
        <v>1.1384500000000006</v>
      </c>
      <c r="CV68" s="70">
        <f t="shared" si="77"/>
        <v>1.2297700000000003</v>
      </c>
      <c r="CW68" s="70">
        <f t="shared" si="78"/>
        <v>1.3193200000000012</v>
      </c>
      <c r="CX68" s="70">
        <f t="shared" si="79"/>
        <v>1.292349999999999</v>
      </c>
      <c r="CY68" s="70">
        <f t="shared" si="80"/>
        <v>1.3784999999999989</v>
      </c>
      <c r="CZ68" s="70">
        <f t="shared" si="81"/>
        <v>1.3784999999999989</v>
      </c>
      <c r="DA68" s="70">
        <f t="shared" si="82"/>
        <v>1.3784999999999989</v>
      </c>
      <c r="DB68" s="70">
        <f t="shared" si="83"/>
        <v>1.3784999999999989</v>
      </c>
      <c r="DC68" s="70">
        <f t="shared" si="84"/>
        <v>1.3784999999999989</v>
      </c>
      <c r="DD68" s="71">
        <f t="shared" si="85"/>
        <v>1.3784999999999989</v>
      </c>
    </row>
    <row r="69" spans="21:109" s="41" customFormat="1" ht="15" customHeight="1">
      <c r="U69" s="301" t="s">
        <v>1</v>
      </c>
      <c r="V69" s="178">
        <v>500</v>
      </c>
      <c r="W69" s="52">
        <v>14.7</v>
      </c>
      <c r="X69" s="53">
        <v>14.7</v>
      </c>
      <c r="Y69" s="53">
        <v>14.7</v>
      </c>
      <c r="Z69" s="53">
        <v>14.7</v>
      </c>
      <c r="AA69" s="53">
        <v>14.7</v>
      </c>
      <c r="AB69" s="53">
        <v>14.7</v>
      </c>
      <c r="AC69" s="53">
        <v>14.7</v>
      </c>
      <c r="AD69" s="53">
        <v>14.7</v>
      </c>
      <c r="AE69" s="53">
        <v>13.066700000000001</v>
      </c>
      <c r="AF69" s="53">
        <v>12.6282</v>
      </c>
      <c r="AG69" s="53">
        <v>12.298</v>
      </c>
      <c r="AH69" s="53">
        <v>11.9847</v>
      </c>
      <c r="AI69" s="53">
        <v>11.686999999999999</v>
      </c>
      <c r="AJ69" s="53">
        <v>11.403600000000001</v>
      </c>
      <c r="AK69" s="53">
        <v>11.133699999999999</v>
      </c>
      <c r="AL69" s="53">
        <v>11.003500000000001</v>
      </c>
      <c r="AM69" s="53">
        <v>10.876300000000001</v>
      </c>
      <c r="AN69" s="53">
        <v>10.752000000000001</v>
      </c>
      <c r="AO69" s="53">
        <v>10.6305</v>
      </c>
      <c r="AP69" s="53">
        <v>10.511699999999999</v>
      </c>
      <c r="AQ69" s="53">
        <v>10.3956</v>
      </c>
      <c r="AR69" s="53">
        <v>10.282</v>
      </c>
      <c r="AS69" s="53">
        <v>10.1708</v>
      </c>
      <c r="AT69" s="53">
        <v>10.061999999999999</v>
      </c>
      <c r="AU69" s="53">
        <v>9.9555600000000002</v>
      </c>
      <c r="AV69" s="53">
        <v>9.9555600000000002</v>
      </c>
      <c r="AW69" s="53">
        <v>9.9555600000000002</v>
      </c>
      <c r="AX69" s="53">
        <v>9.9555600000000002</v>
      </c>
      <c r="AY69" s="53">
        <v>9.9555600000000002</v>
      </c>
      <c r="AZ69" s="54">
        <v>9.9555600000000002</v>
      </c>
      <c r="BA69" s="60"/>
      <c r="BZ69" s="181">
        <v>6000</v>
      </c>
      <c r="CA69" s="69">
        <f t="shared" si="86"/>
        <v>-0.22619999999999862</v>
      </c>
      <c r="CB69" s="70">
        <f t="shared" si="57"/>
        <v>-0.3365999999999989</v>
      </c>
      <c r="CC69" s="70">
        <f t="shared" si="58"/>
        <v>-0.3365999999999989</v>
      </c>
      <c r="CD69" s="70">
        <f t="shared" si="59"/>
        <v>-0.55259999999999998</v>
      </c>
      <c r="CE69" s="70">
        <f t="shared" si="60"/>
        <v>-0.76219999999999999</v>
      </c>
      <c r="CF69" s="70">
        <f t="shared" si="61"/>
        <v>-1.2599999999999998</v>
      </c>
      <c r="CG69" s="70">
        <f t="shared" si="62"/>
        <v>0.1742000000000008</v>
      </c>
      <c r="CH69" s="70">
        <f t="shared" si="63"/>
        <v>0.16070000000000029</v>
      </c>
      <c r="CI69" s="70">
        <f t="shared" si="64"/>
        <v>0.30930000000000035</v>
      </c>
      <c r="CJ69" s="70">
        <f t="shared" si="65"/>
        <v>0.14700000000000024</v>
      </c>
      <c r="CK69" s="70">
        <f t="shared" si="66"/>
        <v>0.41480000000000139</v>
      </c>
      <c r="CL69" s="70">
        <f t="shared" si="67"/>
        <v>0.71270000000000167</v>
      </c>
      <c r="CM69" s="70">
        <f t="shared" si="68"/>
        <v>0.87149999999999928</v>
      </c>
      <c r="CN69" s="70">
        <f t="shared" si="69"/>
        <v>0.89739999999999931</v>
      </c>
      <c r="CO69" s="70">
        <f t="shared" si="70"/>
        <v>1.4842200000000005</v>
      </c>
      <c r="CP69" s="70">
        <f t="shared" si="71"/>
        <v>1.4371500000000008</v>
      </c>
      <c r="CQ69" s="70">
        <f t="shared" si="72"/>
        <v>1.467369999999999</v>
      </c>
      <c r="CR69" s="70">
        <f t="shared" si="73"/>
        <v>1.4965200000000003</v>
      </c>
      <c r="CS69" s="70">
        <f t="shared" si="74"/>
        <v>1.7058499999999999</v>
      </c>
      <c r="CT69" s="70">
        <f t="shared" si="75"/>
        <v>1.6704999999999988</v>
      </c>
      <c r="CU69" s="70">
        <f t="shared" si="76"/>
        <v>1.6362299999999994</v>
      </c>
      <c r="CV69" s="70">
        <f t="shared" si="77"/>
        <v>1.6030800000000003</v>
      </c>
      <c r="CW69" s="70">
        <f t="shared" si="78"/>
        <v>1.6844900000000003</v>
      </c>
      <c r="CX69" s="70">
        <f t="shared" si="79"/>
        <v>1.7644099999999998</v>
      </c>
      <c r="CY69" s="70">
        <f t="shared" si="80"/>
        <v>1.8428699999999996</v>
      </c>
      <c r="CZ69" s="70">
        <f t="shared" si="81"/>
        <v>1.7292699999999996</v>
      </c>
      <c r="DA69" s="70">
        <f t="shared" si="82"/>
        <v>1.7292699999999996</v>
      </c>
      <c r="DB69" s="70">
        <f t="shared" si="83"/>
        <v>1.7292699999999996</v>
      </c>
      <c r="DC69" s="70">
        <f t="shared" si="84"/>
        <v>1.7292699999999996</v>
      </c>
      <c r="DD69" s="71">
        <f t="shared" si="85"/>
        <v>1.7292699999999996</v>
      </c>
    </row>
    <row r="70" spans="21:109" s="41" customFormat="1" ht="15" customHeight="1">
      <c r="U70" s="302"/>
      <c r="V70" s="179">
        <v>1000</v>
      </c>
      <c r="W70" s="55">
        <v>14.7</v>
      </c>
      <c r="X70" s="48">
        <v>14.7</v>
      </c>
      <c r="Y70" s="48">
        <v>14.7</v>
      </c>
      <c r="Z70" s="48">
        <v>14.7</v>
      </c>
      <c r="AA70" s="48">
        <v>14.7</v>
      </c>
      <c r="AB70" s="48">
        <v>14.7</v>
      </c>
      <c r="AC70" s="48">
        <v>14.7</v>
      </c>
      <c r="AD70" s="48">
        <v>14.7</v>
      </c>
      <c r="AE70" s="48">
        <v>13.066700000000001</v>
      </c>
      <c r="AF70" s="48">
        <v>12.6282</v>
      </c>
      <c r="AG70" s="48">
        <v>12.298</v>
      </c>
      <c r="AH70" s="48">
        <v>11.9847</v>
      </c>
      <c r="AI70" s="48">
        <v>11.686999999999999</v>
      </c>
      <c r="AJ70" s="48">
        <v>11.403600000000001</v>
      </c>
      <c r="AK70" s="48">
        <v>11.133699999999999</v>
      </c>
      <c r="AL70" s="48">
        <v>11.003500000000001</v>
      </c>
      <c r="AM70" s="48">
        <v>10.876300000000001</v>
      </c>
      <c r="AN70" s="48">
        <v>10.752000000000001</v>
      </c>
      <c r="AO70" s="48">
        <v>10.6305</v>
      </c>
      <c r="AP70" s="48">
        <v>10.511699999999999</v>
      </c>
      <c r="AQ70" s="48">
        <v>10.3956</v>
      </c>
      <c r="AR70" s="48">
        <v>10.3385</v>
      </c>
      <c r="AS70" s="48">
        <v>10.1708</v>
      </c>
      <c r="AT70" s="48">
        <v>10.116099999999999</v>
      </c>
      <c r="AU70" s="48">
        <v>9.9555600000000002</v>
      </c>
      <c r="AV70" s="48">
        <v>9.9555600000000002</v>
      </c>
      <c r="AW70" s="48">
        <v>9.9555600000000002</v>
      </c>
      <c r="AX70" s="48">
        <v>9.9555600000000002</v>
      </c>
      <c r="AY70" s="48">
        <v>9.9555600000000002</v>
      </c>
      <c r="AZ70" s="56">
        <v>9.9555600000000002</v>
      </c>
      <c r="BA70" s="60"/>
      <c r="BZ70" s="181">
        <v>6500</v>
      </c>
      <c r="CA70" s="69">
        <f t="shared" si="86"/>
        <v>-0.65819999999999901</v>
      </c>
      <c r="CB70" s="70">
        <f t="shared" si="57"/>
        <v>-0.65819999999999901</v>
      </c>
      <c r="CC70" s="70">
        <f t="shared" si="58"/>
        <v>-0.65819999999999901</v>
      </c>
      <c r="CD70" s="70">
        <f t="shared" si="59"/>
        <v>-0.86469999999999914</v>
      </c>
      <c r="CE70" s="70">
        <f t="shared" si="60"/>
        <v>-1.1632999999999996</v>
      </c>
      <c r="CF70" s="70">
        <f t="shared" si="61"/>
        <v>-1.6332999999999984</v>
      </c>
      <c r="CG70" s="70">
        <f t="shared" si="62"/>
        <v>0.71930000000000049</v>
      </c>
      <c r="CH70" s="70">
        <f t="shared" si="63"/>
        <v>0.60339999999999883</v>
      </c>
      <c r="CI70" s="70">
        <f t="shared" si="64"/>
        <v>0.6661999999999999</v>
      </c>
      <c r="CJ70" s="70">
        <f t="shared" si="65"/>
        <v>0.63400000000000034</v>
      </c>
      <c r="CK70" s="70">
        <f t="shared" si="66"/>
        <v>0.86280000000000001</v>
      </c>
      <c r="CL70" s="70">
        <f t="shared" si="67"/>
        <v>1.065100000000001</v>
      </c>
      <c r="CM70" s="70">
        <f t="shared" si="68"/>
        <v>1.1509999999999998</v>
      </c>
      <c r="CN70" s="70">
        <f t="shared" si="69"/>
        <v>1.1650399999999994</v>
      </c>
      <c r="CO70" s="70">
        <f t="shared" si="70"/>
        <v>1.4842200000000005</v>
      </c>
      <c r="CP70" s="70">
        <f t="shared" si="71"/>
        <v>1.4371500000000008</v>
      </c>
      <c r="CQ70" s="70">
        <f t="shared" si="72"/>
        <v>1.6180200000000013</v>
      </c>
      <c r="CR70" s="70">
        <f t="shared" si="73"/>
        <v>1.5246499999999994</v>
      </c>
      <c r="CS70" s="70">
        <f t="shared" si="74"/>
        <v>1.6704999999999988</v>
      </c>
      <c r="CT70" s="70">
        <f t="shared" si="75"/>
        <v>1.6953300000000002</v>
      </c>
      <c r="CU70" s="70">
        <f t="shared" si="76"/>
        <v>1.7782800000000005</v>
      </c>
      <c r="CV70" s="70">
        <f t="shared" si="77"/>
        <v>1.7421900000000008</v>
      </c>
      <c r="CW70" s="70">
        <f t="shared" si="78"/>
        <v>1.8221100000000003</v>
      </c>
      <c r="CX70" s="70">
        <f t="shared" si="79"/>
        <v>1.9005700000000001</v>
      </c>
      <c r="CY70" s="70">
        <f t="shared" si="80"/>
        <v>1.9776199999999999</v>
      </c>
      <c r="CZ70" s="70">
        <f t="shared" si="81"/>
        <v>1.8628199999999993</v>
      </c>
      <c r="DA70" s="70">
        <f t="shared" si="82"/>
        <v>1.8628199999999993</v>
      </c>
      <c r="DB70" s="70">
        <f t="shared" si="83"/>
        <v>1.8628199999999993</v>
      </c>
      <c r="DC70" s="70">
        <f t="shared" si="84"/>
        <v>1.8628199999999993</v>
      </c>
      <c r="DD70" s="71">
        <f t="shared" si="85"/>
        <v>1.8628199999999993</v>
      </c>
    </row>
    <row r="71" spans="21:109" s="41" customFormat="1" ht="15" customHeight="1">
      <c r="U71" s="302"/>
      <c r="V71" s="180">
        <v>1250</v>
      </c>
      <c r="W71" s="55">
        <v>14.7</v>
      </c>
      <c r="X71" s="48">
        <v>14.7</v>
      </c>
      <c r="Y71" s="48">
        <v>14.7</v>
      </c>
      <c r="Z71" s="48">
        <v>14.7</v>
      </c>
      <c r="AA71" s="48">
        <v>14.7</v>
      </c>
      <c r="AB71" s="48">
        <v>14.7</v>
      </c>
      <c r="AC71" s="48">
        <v>14.7</v>
      </c>
      <c r="AD71" s="48">
        <v>14.7</v>
      </c>
      <c r="AE71" s="48">
        <v>14.7</v>
      </c>
      <c r="AF71" s="48">
        <v>12.7135</v>
      </c>
      <c r="AG71" s="48">
        <v>12.3789</v>
      </c>
      <c r="AH71" s="48">
        <v>12.061500000000001</v>
      </c>
      <c r="AI71" s="48">
        <v>11.76</v>
      </c>
      <c r="AJ71" s="48">
        <v>11.4732</v>
      </c>
      <c r="AK71" s="48">
        <v>11.2</v>
      </c>
      <c r="AL71" s="48">
        <v>11.068199999999999</v>
      </c>
      <c r="AM71" s="48">
        <v>10.939500000000001</v>
      </c>
      <c r="AN71" s="48">
        <v>10.813800000000001</v>
      </c>
      <c r="AO71" s="48">
        <v>10.690899999999999</v>
      </c>
      <c r="AP71" s="48">
        <v>10.5708</v>
      </c>
      <c r="AQ71" s="48">
        <v>10.4533</v>
      </c>
      <c r="AR71" s="48">
        <v>10.3956</v>
      </c>
      <c r="AS71" s="48">
        <v>10.4533</v>
      </c>
      <c r="AT71" s="48">
        <v>10.3956</v>
      </c>
      <c r="AU71" s="48">
        <v>10.4533</v>
      </c>
      <c r="AV71" s="48">
        <v>10.4533</v>
      </c>
      <c r="AW71" s="48">
        <v>10.4533</v>
      </c>
      <c r="AX71" s="48">
        <v>10.4533</v>
      </c>
      <c r="AY71" s="48">
        <v>10.4533</v>
      </c>
      <c r="AZ71" s="56">
        <v>10.4533</v>
      </c>
      <c r="BA71" s="60"/>
      <c r="BZ71" s="181">
        <v>7000</v>
      </c>
      <c r="CA71" s="69">
        <f t="shared" si="86"/>
        <v>-0.86469999999999914</v>
      </c>
      <c r="CB71" s="70">
        <f t="shared" si="57"/>
        <v>-0.86469999999999914</v>
      </c>
      <c r="CC71" s="70">
        <f t="shared" si="58"/>
        <v>-0.86469999999999914</v>
      </c>
      <c r="CD71" s="70">
        <f t="shared" si="59"/>
        <v>-1.065199999999999</v>
      </c>
      <c r="CE71" s="70">
        <f t="shared" si="60"/>
        <v>-1.4492999999999991</v>
      </c>
      <c r="CF71" s="70">
        <f t="shared" si="61"/>
        <v>-1.8999999999999986</v>
      </c>
      <c r="CG71" s="70">
        <f t="shared" si="62"/>
        <v>0.90569999999999951</v>
      </c>
      <c r="CH71" s="70">
        <f t="shared" si="63"/>
        <v>0.9394000000000009</v>
      </c>
      <c r="CI71" s="70">
        <f t="shared" si="64"/>
        <v>1.0451999999999995</v>
      </c>
      <c r="CJ71" s="70">
        <f t="shared" si="65"/>
        <v>0.95769999999999911</v>
      </c>
      <c r="CK71" s="70">
        <f t="shared" si="66"/>
        <v>1.1615000000000002</v>
      </c>
      <c r="CL71" s="70">
        <f t="shared" si="67"/>
        <v>1.1775000000000002</v>
      </c>
      <c r="CM71" s="70">
        <f t="shared" si="68"/>
        <v>1.5348999999999986</v>
      </c>
      <c r="CN71" s="70">
        <f t="shared" si="69"/>
        <v>1.7256999999999998</v>
      </c>
      <c r="CO71" s="70">
        <f t="shared" si="70"/>
        <v>1.9342199999999998</v>
      </c>
      <c r="CP71" s="70">
        <f t="shared" si="71"/>
        <v>1.8933499999999999</v>
      </c>
      <c r="CQ71" s="70">
        <f t="shared" si="72"/>
        <v>1.9587599999999998</v>
      </c>
      <c r="CR71" s="70">
        <f t="shared" si="73"/>
        <v>1.6953300000000002</v>
      </c>
      <c r="CS71" s="70">
        <f t="shared" si="74"/>
        <v>1.959480000000001</v>
      </c>
      <c r="CT71" s="70">
        <f t="shared" si="75"/>
        <v>1.9797899999999995</v>
      </c>
      <c r="CU71" s="70">
        <f t="shared" si="76"/>
        <v>2.1208100000000005</v>
      </c>
      <c r="CV71" s="70">
        <f t="shared" si="77"/>
        <v>1.958969999999999</v>
      </c>
      <c r="CW71" s="70">
        <f t="shared" si="78"/>
        <v>2.0360199999999988</v>
      </c>
      <c r="CX71" s="70">
        <f t="shared" si="79"/>
        <v>2.111699999999999</v>
      </c>
      <c r="CY71" s="70">
        <f t="shared" si="80"/>
        <v>2.1860400000000002</v>
      </c>
      <c r="CZ71" s="70">
        <f t="shared" si="81"/>
        <v>2.0699400000000008</v>
      </c>
      <c r="DA71" s="70">
        <f t="shared" si="82"/>
        <v>2.0699400000000008</v>
      </c>
      <c r="DB71" s="70">
        <f t="shared" si="83"/>
        <v>2.0699400000000008</v>
      </c>
      <c r="DC71" s="70">
        <f t="shared" si="84"/>
        <v>2.0699400000000008</v>
      </c>
      <c r="DD71" s="71">
        <f t="shared" si="85"/>
        <v>2.0699400000000008</v>
      </c>
    </row>
    <row r="72" spans="21:109" s="41" customFormat="1" ht="15" customHeight="1">
      <c r="U72" s="302"/>
      <c r="V72" s="180">
        <v>1500</v>
      </c>
      <c r="W72" s="55">
        <v>14.7</v>
      </c>
      <c r="X72" s="48">
        <v>14.7</v>
      </c>
      <c r="Y72" s="48">
        <v>14.7</v>
      </c>
      <c r="Z72" s="48">
        <v>14.7</v>
      </c>
      <c r="AA72" s="48">
        <v>14.7</v>
      </c>
      <c r="AB72" s="48">
        <v>14.7</v>
      </c>
      <c r="AC72" s="48">
        <v>14.7</v>
      </c>
      <c r="AD72" s="48">
        <v>14.7</v>
      </c>
      <c r="AE72" s="48">
        <v>14.7</v>
      </c>
      <c r="AF72" s="48">
        <v>14.7</v>
      </c>
      <c r="AG72" s="48">
        <v>12.7135</v>
      </c>
      <c r="AH72" s="48">
        <v>12.3789</v>
      </c>
      <c r="AI72" s="48">
        <v>12.061500000000001</v>
      </c>
      <c r="AJ72" s="48">
        <v>11.76</v>
      </c>
      <c r="AK72" s="48">
        <v>11.4732</v>
      </c>
      <c r="AL72" s="48">
        <v>11.334899999999999</v>
      </c>
      <c r="AM72" s="48">
        <v>11.2</v>
      </c>
      <c r="AN72" s="48">
        <v>11.068199999999999</v>
      </c>
      <c r="AO72" s="48">
        <v>10.939500000000001</v>
      </c>
      <c r="AP72" s="48">
        <v>10.813800000000001</v>
      </c>
      <c r="AQ72" s="48">
        <v>10.690899999999999</v>
      </c>
      <c r="AR72" s="48">
        <v>10.5708</v>
      </c>
      <c r="AS72" s="48">
        <v>10.4533</v>
      </c>
      <c r="AT72" s="48">
        <v>10.3385</v>
      </c>
      <c r="AU72" s="48">
        <v>10.226100000000001</v>
      </c>
      <c r="AV72" s="48">
        <v>10.226100000000001</v>
      </c>
      <c r="AW72" s="48">
        <v>10.226100000000001</v>
      </c>
      <c r="AX72" s="48">
        <v>10.226100000000001</v>
      </c>
      <c r="AY72" s="48">
        <v>10.226100000000001</v>
      </c>
      <c r="AZ72" s="56">
        <v>10.226100000000001</v>
      </c>
      <c r="BA72" s="60"/>
      <c r="BZ72" s="181">
        <v>7500</v>
      </c>
      <c r="CA72" s="69">
        <f t="shared" si="86"/>
        <v>-0.86469999999999914</v>
      </c>
      <c r="CB72" s="70">
        <f t="shared" si="57"/>
        <v>-0.86469999999999914</v>
      </c>
      <c r="CC72" s="70">
        <f t="shared" si="58"/>
        <v>-0.86469999999999914</v>
      </c>
      <c r="CD72" s="70">
        <f t="shared" si="59"/>
        <v>-1.065199999999999</v>
      </c>
      <c r="CE72" s="70">
        <f t="shared" si="60"/>
        <v>-1.4492999999999991</v>
      </c>
      <c r="CF72" s="70">
        <f t="shared" si="61"/>
        <v>-1.9864999999999995</v>
      </c>
      <c r="CG72" s="70">
        <f t="shared" si="62"/>
        <v>0.82479999999999976</v>
      </c>
      <c r="CH72" s="70">
        <f t="shared" si="63"/>
        <v>0.86150000000000126</v>
      </c>
      <c r="CI72" s="70">
        <f t="shared" si="64"/>
        <v>1.0451999999999995</v>
      </c>
      <c r="CJ72" s="70">
        <f t="shared" si="65"/>
        <v>0.95769999999999911</v>
      </c>
      <c r="CK72" s="70">
        <f t="shared" si="66"/>
        <v>1.1615000000000002</v>
      </c>
      <c r="CL72" s="70">
        <f t="shared" si="67"/>
        <v>1.1775000000000002</v>
      </c>
      <c r="CM72" s="70">
        <f t="shared" si="68"/>
        <v>1.5348999999999986</v>
      </c>
      <c r="CN72" s="70">
        <f t="shared" si="69"/>
        <v>1.7919999999999998</v>
      </c>
      <c r="CO72" s="70">
        <f t="shared" si="70"/>
        <v>1.9997199999999999</v>
      </c>
      <c r="CP72" s="70">
        <f t="shared" si="71"/>
        <v>1.7864400000000007</v>
      </c>
      <c r="CQ72" s="70">
        <f t="shared" si="72"/>
        <v>1.9587599999999998</v>
      </c>
      <c r="CR72" s="70">
        <f t="shared" si="73"/>
        <v>1.8154299999999992</v>
      </c>
      <c r="CS72" s="70">
        <f t="shared" si="74"/>
        <v>1.959480000000001</v>
      </c>
      <c r="CT72" s="70">
        <f t="shared" si="75"/>
        <v>2.0003700000000002</v>
      </c>
      <c r="CU72" s="70">
        <f t="shared" si="76"/>
        <v>2.1208100000000005</v>
      </c>
      <c r="CV72" s="70">
        <f t="shared" si="77"/>
        <v>2.0387199999999996</v>
      </c>
      <c r="CW72" s="70">
        <f t="shared" si="78"/>
        <v>2.1548199999999991</v>
      </c>
      <c r="CX72" s="70">
        <f t="shared" si="79"/>
        <v>2.1928299999999989</v>
      </c>
      <c r="CY72" s="70">
        <f t="shared" si="80"/>
        <v>2.3048400000000004</v>
      </c>
      <c r="CZ72" s="70">
        <f t="shared" si="81"/>
        <v>2.1860400000000002</v>
      </c>
      <c r="DA72" s="70">
        <f t="shared" si="82"/>
        <v>2.1860400000000002</v>
      </c>
      <c r="DB72" s="70">
        <f t="shared" si="83"/>
        <v>2.1860400000000002</v>
      </c>
      <c r="DC72" s="70">
        <f t="shared" si="84"/>
        <v>2.1860400000000002</v>
      </c>
      <c r="DD72" s="71">
        <f t="shared" si="85"/>
        <v>2.1860400000000002</v>
      </c>
    </row>
    <row r="73" spans="21:109" s="41" customFormat="1" ht="15" customHeight="1">
      <c r="U73" s="302"/>
      <c r="V73" s="180">
        <v>2000</v>
      </c>
      <c r="W73" s="55">
        <v>14.7</v>
      </c>
      <c r="X73" s="48">
        <v>14.7</v>
      </c>
      <c r="Y73" s="48">
        <v>14.7</v>
      </c>
      <c r="Z73" s="48">
        <v>14.7</v>
      </c>
      <c r="AA73" s="48">
        <v>14.7</v>
      </c>
      <c r="AB73" s="48">
        <v>14.7</v>
      </c>
      <c r="AC73" s="48">
        <v>14.7</v>
      </c>
      <c r="AD73" s="48">
        <v>14.7</v>
      </c>
      <c r="AE73" s="48">
        <v>14.7</v>
      </c>
      <c r="AF73" s="48">
        <v>14.7</v>
      </c>
      <c r="AG73" s="48">
        <v>13.6348</v>
      </c>
      <c r="AH73" s="48">
        <v>12.976599999999999</v>
      </c>
      <c r="AI73" s="48">
        <v>12.460900000000001</v>
      </c>
      <c r="AJ73" s="48">
        <v>11.9847</v>
      </c>
      <c r="AK73" s="48">
        <v>11.686999999999999</v>
      </c>
      <c r="AL73" s="48">
        <v>11.5436</v>
      </c>
      <c r="AM73" s="48">
        <v>11.403600000000001</v>
      </c>
      <c r="AN73" s="48">
        <v>11.267099999999999</v>
      </c>
      <c r="AO73" s="48">
        <v>11.133699999999999</v>
      </c>
      <c r="AP73" s="48">
        <v>11.003500000000001</v>
      </c>
      <c r="AQ73" s="48">
        <v>10.876300000000001</v>
      </c>
      <c r="AR73" s="48">
        <v>10.752000000000001</v>
      </c>
      <c r="AS73" s="48">
        <v>10.6305</v>
      </c>
      <c r="AT73" s="48">
        <v>10.511699999999999</v>
      </c>
      <c r="AU73" s="48">
        <v>10.3956</v>
      </c>
      <c r="AV73" s="48">
        <v>10.3956</v>
      </c>
      <c r="AW73" s="48">
        <v>10.3956</v>
      </c>
      <c r="AX73" s="48">
        <v>10.3956</v>
      </c>
      <c r="AY73" s="48">
        <v>10.3956</v>
      </c>
      <c r="AZ73" s="56">
        <v>10.3956</v>
      </c>
      <c r="BA73" s="60"/>
      <c r="BZ73" s="181">
        <v>8000</v>
      </c>
      <c r="CA73" s="69">
        <f t="shared" si="86"/>
        <v>-0.86469999999999914</v>
      </c>
      <c r="CB73" s="70">
        <f t="shared" si="57"/>
        <v>-0.86469999999999914</v>
      </c>
      <c r="CC73" s="70">
        <f t="shared" si="58"/>
        <v>-0.86469999999999914</v>
      </c>
      <c r="CD73" s="70">
        <f t="shared" si="59"/>
        <v>-1.065199999999999</v>
      </c>
      <c r="CE73" s="70">
        <f t="shared" si="60"/>
        <v>-1.4492999999999991</v>
      </c>
      <c r="CF73" s="70">
        <f t="shared" si="61"/>
        <v>-1.9864999999999995</v>
      </c>
      <c r="CG73" s="70">
        <f t="shared" si="62"/>
        <v>0.82479999999999976</v>
      </c>
      <c r="CH73" s="70">
        <f t="shared" si="63"/>
        <v>0.86150000000000126</v>
      </c>
      <c r="CI73" s="70">
        <f t="shared" si="64"/>
        <v>1.0451999999999995</v>
      </c>
      <c r="CJ73" s="70">
        <f t="shared" si="65"/>
        <v>0.95769999999999911</v>
      </c>
      <c r="CK73" s="70">
        <f t="shared" si="66"/>
        <v>1.1615000000000002</v>
      </c>
      <c r="CL73" s="70">
        <f t="shared" si="67"/>
        <v>1.1775000000000002</v>
      </c>
      <c r="CM73" s="70">
        <f t="shared" si="68"/>
        <v>1.5348999999999986</v>
      </c>
      <c r="CN73" s="70">
        <f t="shared" si="69"/>
        <v>1.7919999999999998</v>
      </c>
      <c r="CO73" s="70">
        <f t="shared" si="70"/>
        <v>1.9997199999999999</v>
      </c>
      <c r="CP73" s="70">
        <f t="shared" si="71"/>
        <v>1.9136400000000009</v>
      </c>
      <c r="CQ73" s="70">
        <f t="shared" si="72"/>
        <v>1.9587599999999998</v>
      </c>
      <c r="CR73" s="70">
        <f t="shared" si="73"/>
        <v>1.9383300000000006</v>
      </c>
      <c r="CS73" s="70">
        <f t="shared" si="74"/>
        <v>1.959480000000001</v>
      </c>
      <c r="CT73" s="70">
        <f t="shared" si="75"/>
        <v>2.0003700000000002</v>
      </c>
      <c r="CU73" s="70">
        <f t="shared" si="76"/>
        <v>2.2451100000000004</v>
      </c>
      <c r="CV73" s="70">
        <f t="shared" si="77"/>
        <v>2.1602200000000007</v>
      </c>
      <c r="CW73" s="70">
        <f t="shared" si="78"/>
        <v>2.2763200000000001</v>
      </c>
      <c r="CX73" s="70">
        <f t="shared" si="79"/>
        <v>2.31433</v>
      </c>
      <c r="CY73" s="70">
        <f t="shared" si="80"/>
        <v>2.4263400000000015</v>
      </c>
      <c r="CZ73" s="70">
        <f t="shared" si="81"/>
        <v>2.3048400000000004</v>
      </c>
      <c r="DA73" s="70">
        <f t="shared" si="82"/>
        <v>2.3048400000000004</v>
      </c>
      <c r="DB73" s="70">
        <f t="shared" si="83"/>
        <v>2.3048400000000004</v>
      </c>
      <c r="DC73" s="70">
        <f t="shared" si="84"/>
        <v>2.3048400000000004</v>
      </c>
      <c r="DD73" s="71">
        <f t="shared" si="85"/>
        <v>2.3048400000000004</v>
      </c>
    </row>
    <row r="74" spans="21:109" s="41" customFormat="1" ht="15" customHeight="1">
      <c r="U74" s="302"/>
      <c r="V74" s="181">
        <v>2500</v>
      </c>
      <c r="W74" s="55">
        <v>14.7</v>
      </c>
      <c r="X74" s="48">
        <v>14.7</v>
      </c>
      <c r="Y74" s="48">
        <v>14.7</v>
      </c>
      <c r="Z74" s="48">
        <v>14.7</v>
      </c>
      <c r="AA74" s="48">
        <v>14.7</v>
      </c>
      <c r="AB74" s="48">
        <v>14.7</v>
      </c>
      <c r="AC74" s="48">
        <v>14.7</v>
      </c>
      <c r="AD74" s="48">
        <v>14.7</v>
      </c>
      <c r="AE74" s="48">
        <v>14.7</v>
      </c>
      <c r="AF74" s="48">
        <v>14.7</v>
      </c>
      <c r="AG74" s="48">
        <v>14.473800000000001</v>
      </c>
      <c r="AH74" s="48">
        <v>13.5367</v>
      </c>
      <c r="AI74" s="48">
        <v>12.887700000000001</v>
      </c>
      <c r="AJ74" s="48">
        <v>12.2182</v>
      </c>
      <c r="AK74" s="48">
        <v>11.908899999999999</v>
      </c>
      <c r="AL74" s="48">
        <v>11.76</v>
      </c>
      <c r="AM74" s="48">
        <v>11.614800000000001</v>
      </c>
      <c r="AN74" s="48">
        <v>11.4732</v>
      </c>
      <c r="AO74" s="48">
        <v>11.334899999999999</v>
      </c>
      <c r="AP74" s="48">
        <v>11.2</v>
      </c>
      <c r="AQ74" s="48">
        <v>11.068199999999999</v>
      </c>
      <c r="AR74" s="48">
        <v>10.939500000000001</v>
      </c>
      <c r="AS74" s="48">
        <v>10.813800000000001</v>
      </c>
      <c r="AT74" s="48">
        <v>10.6305</v>
      </c>
      <c r="AU74" s="48">
        <v>10.5708</v>
      </c>
      <c r="AV74" s="48">
        <v>10.5708</v>
      </c>
      <c r="AW74" s="48">
        <v>10.5708</v>
      </c>
      <c r="AX74" s="48">
        <v>10.5708</v>
      </c>
      <c r="AY74" s="48">
        <v>10.5708</v>
      </c>
      <c r="AZ74" s="56">
        <v>10.5708</v>
      </c>
      <c r="BA74" s="60"/>
      <c r="BZ74" s="181">
        <v>8500</v>
      </c>
      <c r="CA74" s="69">
        <f t="shared" si="86"/>
        <v>-0.86469999999999914</v>
      </c>
      <c r="CB74" s="70">
        <f t="shared" si="57"/>
        <v>-0.86469999999999914</v>
      </c>
      <c r="CC74" s="70">
        <f t="shared" si="58"/>
        <v>-0.86469999999999914</v>
      </c>
      <c r="CD74" s="70">
        <f t="shared" si="59"/>
        <v>-1.065199999999999</v>
      </c>
      <c r="CE74" s="70">
        <f t="shared" si="60"/>
        <v>-1.4492999999999991</v>
      </c>
      <c r="CF74" s="70">
        <f t="shared" si="61"/>
        <v>-1.9864999999999995</v>
      </c>
      <c r="CG74" s="70">
        <f t="shared" si="62"/>
        <v>0.82479999999999976</v>
      </c>
      <c r="CH74" s="70">
        <f t="shared" si="63"/>
        <v>0.86150000000000126</v>
      </c>
      <c r="CI74" s="70">
        <f t="shared" si="64"/>
        <v>1.0451999999999995</v>
      </c>
      <c r="CJ74" s="70">
        <f t="shared" si="65"/>
        <v>0.95769999999999911</v>
      </c>
      <c r="CK74" s="70">
        <f t="shared" si="66"/>
        <v>1.1615000000000002</v>
      </c>
      <c r="CL74" s="70">
        <f t="shared" si="67"/>
        <v>1.1775000000000002</v>
      </c>
      <c r="CM74" s="70">
        <f t="shared" si="68"/>
        <v>1.5348999999999986</v>
      </c>
      <c r="CN74" s="70">
        <f t="shared" si="69"/>
        <v>1.7919999999999998</v>
      </c>
      <c r="CO74" s="70">
        <f t="shared" si="70"/>
        <v>1.9997199999999999</v>
      </c>
      <c r="CP74" s="70">
        <f t="shared" si="71"/>
        <v>1.9136400000000009</v>
      </c>
      <c r="CQ74" s="70">
        <f t="shared" si="72"/>
        <v>1.9587599999999998</v>
      </c>
      <c r="CR74" s="70">
        <f t="shared" si="73"/>
        <v>1.9383300000000006</v>
      </c>
      <c r="CS74" s="70">
        <f t="shared" si="74"/>
        <v>1.959480000000001</v>
      </c>
      <c r="CT74" s="70">
        <f t="shared" si="75"/>
        <v>2.0003700000000002</v>
      </c>
      <c r="CU74" s="70">
        <f t="shared" si="76"/>
        <v>2.2451100000000004</v>
      </c>
      <c r="CV74" s="70">
        <f t="shared" si="77"/>
        <v>2.1602200000000007</v>
      </c>
      <c r="CW74" s="70">
        <f t="shared" si="78"/>
        <v>2.2763200000000001</v>
      </c>
      <c r="CX74" s="70">
        <f t="shared" si="79"/>
        <v>2.31433</v>
      </c>
      <c r="CY74" s="70">
        <f t="shared" si="80"/>
        <v>2.4263400000000015</v>
      </c>
      <c r="CZ74" s="70">
        <f t="shared" si="81"/>
        <v>2.4263400000000015</v>
      </c>
      <c r="DA74" s="70">
        <f t="shared" si="82"/>
        <v>2.4263400000000015</v>
      </c>
      <c r="DB74" s="70">
        <f t="shared" si="83"/>
        <v>2.4263400000000015</v>
      </c>
      <c r="DC74" s="70">
        <f t="shared" si="84"/>
        <v>2.4263400000000015</v>
      </c>
      <c r="DD74" s="71">
        <f t="shared" si="85"/>
        <v>2.4263400000000015</v>
      </c>
    </row>
    <row r="75" spans="21:109" s="41" customFormat="1" ht="15" customHeight="1" thickBot="1">
      <c r="U75" s="302"/>
      <c r="V75" s="181">
        <v>2750</v>
      </c>
      <c r="W75" s="55">
        <v>14.7</v>
      </c>
      <c r="X75" s="48">
        <v>14.7</v>
      </c>
      <c r="Y75" s="48">
        <v>14.7</v>
      </c>
      <c r="Z75" s="48">
        <v>14.7</v>
      </c>
      <c r="AA75" s="48">
        <v>14.7</v>
      </c>
      <c r="AB75" s="48">
        <v>14.7</v>
      </c>
      <c r="AC75" s="48">
        <v>14.7</v>
      </c>
      <c r="AD75" s="48">
        <v>14.7</v>
      </c>
      <c r="AE75" s="48">
        <v>14.7</v>
      </c>
      <c r="AF75" s="48">
        <v>14.7</v>
      </c>
      <c r="AG75" s="48">
        <v>14.3634</v>
      </c>
      <c r="AH75" s="48">
        <v>13.3447</v>
      </c>
      <c r="AI75" s="48">
        <v>12.298</v>
      </c>
      <c r="AJ75" s="48">
        <v>11.4732</v>
      </c>
      <c r="AK75" s="48">
        <v>11.068199999999999</v>
      </c>
      <c r="AL75" s="48">
        <v>11.003500000000001</v>
      </c>
      <c r="AM75" s="48">
        <v>10.876300000000001</v>
      </c>
      <c r="AN75" s="48">
        <v>10.752000000000001</v>
      </c>
      <c r="AO75" s="48">
        <v>10.6305</v>
      </c>
      <c r="AP75" s="48">
        <v>10.511699999999999</v>
      </c>
      <c r="AQ75" s="48">
        <v>10.3956</v>
      </c>
      <c r="AR75" s="48">
        <v>10.282</v>
      </c>
      <c r="AS75" s="48">
        <v>10.1708</v>
      </c>
      <c r="AT75" s="48">
        <v>9.9555600000000002</v>
      </c>
      <c r="AU75" s="48">
        <v>9.7492199999999993</v>
      </c>
      <c r="AV75" s="48">
        <v>9.7492199999999993</v>
      </c>
      <c r="AW75" s="48">
        <v>9.7492199999999993</v>
      </c>
      <c r="AX75" s="48">
        <v>9.7492199999999993</v>
      </c>
      <c r="AY75" s="48">
        <v>9.7492199999999993</v>
      </c>
      <c r="AZ75" s="56">
        <v>9.7492199999999993</v>
      </c>
      <c r="BA75" s="60"/>
      <c r="BZ75" s="182">
        <v>11000</v>
      </c>
      <c r="CA75" s="72">
        <f t="shared" si="86"/>
        <v>-0.86469999999999914</v>
      </c>
      <c r="CB75" s="73">
        <f t="shared" si="57"/>
        <v>-0.86469999999999914</v>
      </c>
      <c r="CC75" s="73">
        <f t="shared" si="58"/>
        <v>-0.86469999999999914</v>
      </c>
      <c r="CD75" s="73">
        <f t="shared" si="59"/>
        <v>-1.065199999999999</v>
      </c>
      <c r="CE75" s="73">
        <f t="shared" si="60"/>
        <v>-1.4492999999999991</v>
      </c>
      <c r="CF75" s="73">
        <f t="shared" si="61"/>
        <v>-1.9864999999999995</v>
      </c>
      <c r="CG75" s="73">
        <f t="shared" si="62"/>
        <v>0.8943999999999992</v>
      </c>
      <c r="CH75" s="73">
        <f t="shared" si="63"/>
        <v>0.92780000000000129</v>
      </c>
      <c r="CI75" s="73">
        <f t="shared" si="64"/>
        <v>1.1083999999999996</v>
      </c>
      <c r="CJ75" s="73">
        <f t="shared" si="65"/>
        <v>1.0201999999999991</v>
      </c>
      <c r="CK75" s="73">
        <f t="shared" si="66"/>
        <v>1.2192000000000007</v>
      </c>
      <c r="CL75" s="73">
        <f t="shared" si="67"/>
        <v>1.232800000000001</v>
      </c>
      <c r="CM75" s="73">
        <f t="shared" si="68"/>
        <v>1.58568</v>
      </c>
      <c r="CN75" s="73">
        <f t="shared" si="69"/>
        <v>1.8388099999999987</v>
      </c>
      <c r="CO75" s="73">
        <f t="shared" si="70"/>
        <v>2.0438399999999994</v>
      </c>
      <c r="CP75" s="73">
        <f t="shared" si="71"/>
        <v>1.9573499999999999</v>
      </c>
      <c r="CQ75" s="73">
        <f t="shared" si="72"/>
        <v>2.0008300000000006</v>
      </c>
      <c r="CR75" s="73">
        <f t="shared" si="73"/>
        <v>1.9800000000000004</v>
      </c>
      <c r="CS75" s="73">
        <f t="shared" si="74"/>
        <v>2.0003700000000002</v>
      </c>
      <c r="CT75" s="73">
        <f t="shared" si="75"/>
        <v>2.040890000000001</v>
      </c>
      <c r="CU75" s="73">
        <f t="shared" si="76"/>
        <v>2.2845200000000006</v>
      </c>
      <c r="CV75" s="73">
        <f t="shared" si="77"/>
        <v>2.1992700000000003</v>
      </c>
      <c r="CW75" s="73">
        <f t="shared" si="78"/>
        <v>2.31433</v>
      </c>
      <c r="CX75" s="73">
        <f t="shared" si="79"/>
        <v>2.3520000000000003</v>
      </c>
      <c r="CY75" s="73">
        <f t="shared" si="80"/>
        <v>2.4630100000000006</v>
      </c>
      <c r="CZ75" s="73">
        <f t="shared" si="81"/>
        <v>2.4630100000000006</v>
      </c>
      <c r="DA75" s="73">
        <f t="shared" si="82"/>
        <v>2.4630100000000006</v>
      </c>
      <c r="DB75" s="73">
        <f t="shared" si="83"/>
        <v>2.4630100000000006</v>
      </c>
      <c r="DC75" s="73">
        <f t="shared" si="84"/>
        <v>2.4630100000000006</v>
      </c>
      <c r="DD75" s="74">
        <f t="shared" si="85"/>
        <v>2.4630100000000006</v>
      </c>
    </row>
    <row r="76" spans="21:109" s="41" customFormat="1" ht="15" customHeight="1">
      <c r="U76" s="302"/>
      <c r="V76" s="181">
        <v>3000</v>
      </c>
      <c r="W76" s="55">
        <v>14.7</v>
      </c>
      <c r="X76" s="48">
        <v>14.7</v>
      </c>
      <c r="Y76" s="48">
        <v>14.7</v>
      </c>
      <c r="Z76" s="48">
        <v>14.7</v>
      </c>
      <c r="AA76" s="48">
        <v>14.7</v>
      </c>
      <c r="AB76" s="48">
        <v>14.7</v>
      </c>
      <c r="AC76" s="48">
        <v>14.7</v>
      </c>
      <c r="AD76" s="48">
        <v>14.7</v>
      </c>
      <c r="AE76" s="48">
        <v>14.7</v>
      </c>
      <c r="AF76" s="48">
        <v>14.7</v>
      </c>
      <c r="AG76" s="48">
        <v>14.2545</v>
      </c>
      <c r="AH76" s="48">
        <v>13.066700000000001</v>
      </c>
      <c r="AI76" s="48">
        <v>11.76</v>
      </c>
      <c r="AJ76" s="48">
        <v>10.752000000000001</v>
      </c>
      <c r="AK76" s="48">
        <v>10.282</v>
      </c>
      <c r="AL76" s="48">
        <v>10.1708</v>
      </c>
      <c r="AM76" s="48">
        <v>10.116099999999999</v>
      </c>
      <c r="AN76" s="48">
        <v>10.0085</v>
      </c>
      <c r="AO76" s="48">
        <v>9.9031599999999997</v>
      </c>
      <c r="AP76" s="48">
        <v>9.8000000000000007</v>
      </c>
      <c r="AQ76" s="48">
        <v>9.6989699999999992</v>
      </c>
      <c r="AR76" s="48">
        <v>9.6</v>
      </c>
      <c r="AS76" s="48">
        <v>9.5030300000000008</v>
      </c>
      <c r="AT76" s="48">
        <v>9.3148499999999999</v>
      </c>
      <c r="AU76" s="48">
        <v>8.9600000000000009</v>
      </c>
      <c r="AV76" s="48">
        <v>8.9600000000000009</v>
      </c>
      <c r="AW76" s="48">
        <v>8.9600000000000009</v>
      </c>
      <c r="AX76" s="48">
        <v>8.9600000000000009</v>
      </c>
      <c r="AY76" s="48">
        <v>8.9600000000000009</v>
      </c>
      <c r="AZ76" s="56">
        <v>8.9600000000000009</v>
      </c>
      <c r="BA76" s="60"/>
      <c r="BT76" s="188"/>
      <c r="BU76" s="188"/>
      <c r="BV76" s="188"/>
      <c r="BW76" s="188"/>
      <c r="BX76" s="188"/>
      <c r="BY76" s="188"/>
      <c r="BZ76" s="189"/>
      <c r="CA76" s="190"/>
      <c r="CB76" s="190"/>
      <c r="CC76" s="190"/>
      <c r="CD76" s="190"/>
      <c r="CE76" s="190"/>
      <c r="CF76" s="190"/>
      <c r="CG76" s="190"/>
      <c r="CH76" s="190"/>
      <c r="CI76" s="190"/>
      <c r="CJ76" s="190"/>
      <c r="CK76" s="190"/>
      <c r="CL76" s="190"/>
      <c r="CM76" s="190"/>
      <c r="CN76" s="190"/>
      <c r="CO76" s="190"/>
      <c r="CP76" s="190"/>
      <c r="CQ76" s="190"/>
      <c r="CR76" s="190"/>
      <c r="CS76" s="190"/>
      <c r="CT76" s="190"/>
      <c r="CU76" s="190"/>
      <c r="CV76" s="190"/>
      <c r="CW76" s="190"/>
      <c r="CX76" s="190"/>
      <c r="CY76" s="190"/>
      <c r="CZ76" s="190"/>
      <c r="DA76" s="190"/>
      <c r="DB76" s="190"/>
      <c r="DC76" s="190"/>
      <c r="DD76" s="190"/>
      <c r="DE76" s="188"/>
    </row>
    <row r="77" spans="21:109" s="41" customFormat="1" ht="15" customHeight="1">
      <c r="U77" s="302"/>
      <c r="V77" s="181">
        <v>3250</v>
      </c>
      <c r="W77" s="55">
        <v>14.7</v>
      </c>
      <c r="X77" s="48">
        <v>14.7</v>
      </c>
      <c r="Y77" s="48">
        <v>14.7</v>
      </c>
      <c r="Z77" s="48">
        <v>14.7</v>
      </c>
      <c r="AA77" s="48">
        <v>14.7</v>
      </c>
      <c r="AB77" s="48">
        <v>14.7</v>
      </c>
      <c r="AC77" s="48">
        <v>14.7</v>
      </c>
      <c r="AD77" s="48">
        <v>14.7</v>
      </c>
      <c r="AE77" s="48">
        <v>14.7</v>
      </c>
      <c r="AF77" s="48">
        <v>14.3634</v>
      </c>
      <c r="AG77" s="48">
        <v>13.734299999999999</v>
      </c>
      <c r="AH77" s="48">
        <v>12.460900000000001</v>
      </c>
      <c r="AI77" s="48">
        <v>11.403600000000001</v>
      </c>
      <c r="AJ77" s="48">
        <v>10.5708</v>
      </c>
      <c r="AK77" s="48">
        <v>10.1708</v>
      </c>
      <c r="AL77" s="48">
        <v>10.061999999999999</v>
      </c>
      <c r="AM77" s="48">
        <v>9.9031599999999997</v>
      </c>
      <c r="AN77" s="48">
        <v>9.8000000000000007</v>
      </c>
      <c r="AO77" s="48">
        <v>9.6989699999999992</v>
      </c>
      <c r="AP77" s="48">
        <v>9.6</v>
      </c>
      <c r="AQ77" s="48">
        <v>9.5030300000000008</v>
      </c>
      <c r="AR77" s="48">
        <v>9.4079999999999995</v>
      </c>
      <c r="AS77" s="48">
        <v>9.3148499999999999</v>
      </c>
      <c r="AT77" s="48">
        <v>9.1339799999999993</v>
      </c>
      <c r="AU77" s="48">
        <v>8.9600000000000009</v>
      </c>
      <c r="AV77" s="48">
        <v>8.9600000000000009</v>
      </c>
      <c r="AW77" s="48">
        <v>8.9600000000000009</v>
      </c>
      <c r="AX77" s="48">
        <v>8.9600000000000009</v>
      </c>
      <c r="AY77" s="48">
        <v>8.9600000000000009</v>
      </c>
      <c r="AZ77" s="56">
        <v>8.9600000000000009</v>
      </c>
      <c r="BA77" s="60"/>
      <c r="BT77" s="188"/>
      <c r="BU77" s="188"/>
      <c r="BV77" s="188"/>
      <c r="BW77" s="188"/>
      <c r="BX77" s="188"/>
      <c r="BY77" s="188"/>
      <c r="BZ77" s="189"/>
      <c r="CA77" s="190"/>
      <c r="CB77" s="190"/>
      <c r="CC77" s="190"/>
      <c r="CD77" s="190"/>
      <c r="CE77" s="190"/>
      <c r="CF77" s="190"/>
      <c r="CG77" s="190"/>
      <c r="CH77" s="190"/>
      <c r="CI77" s="190"/>
      <c r="CJ77" s="190"/>
      <c r="CK77" s="190"/>
      <c r="CL77" s="190"/>
      <c r="CM77" s="190"/>
      <c r="CN77" s="190"/>
      <c r="CO77" s="190"/>
      <c r="CP77" s="190"/>
      <c r="CQ77" s="190"/>
      <c r="CR77" s="190"/>
      <c r="CS77" s="190"/>
      <c r="CT77" s="190"/>
      <c r="CU77" s="190"/>
      <c r="CV77" s="190"/>
      <c r="CW77" s="190"/>
      <c r="CX77" s="190"/>
      <c r="CY77" s="190"/>
      <c r="CZ77" s="190"/>
      <c r="DA77" s="190"/>
      <c r="DB77" s="190"/>
      <c r="DC77" s="190"/>
      <c r="DD77" s="190"/>
      <c r="DE77" s="188"/>
    </row>
    <row r="78" spans="21:109" s="41" customFormat="1" ht="15" customHeight="1">
      <c r="U78" s="302"/>
      <c r="V78" s="181">
        <v>3500</v>
      </c>
      <c r="W78" s="55">
        <v>14.7</v>
      </c>
      <c r="X78" s="48">
        <v>14.7</v>
      </c>
      <c r="Y78" s="48">
        <v>14.7</v>
      </c>
      <c r="Z78" s="48">
        <v>14.7</v>
      </c>
      <c r="AA78" s="48">
        <v>14.7</v>
      </c>
      <c r="AB78" s="48">
        <v>14.7</v>
      </c>
      <c r="AC78" s="48">
        <v>14.7</v>
      </c>
      <c r="AD78" s="48">
        <v>14.7</v>
      </c>
      <c r="AE78" s="48">
        <v>14.7</v>
      </c>
      <c r="AF78" s="48">
        <v>14.0418</v>
      </c>
      <c r="AG78" s="48">
        <v>13.2507</v>
      </c>
      <c r="AH78" s="48">
        <v>11.908899999999999</v>
      </c>
      <c r="AI78" s="48">
        <v>11.068199999999999</v>
      </c>
      <c r="AJ78" s="48">
        <v>10.3385</v>
      </c>
      <c r="AK78" s="48">
        <v>10.061999999999999</v>
      </c>
      <c r="AL78" s="48">
        <v>9.8513099999999998</v>
      </c>
      <c r="AM78" s="48">
        <v>9.6989699999999992</v>
      </c>
      <c r="AN78" s="48">
        <v>9.6</v>
      </c>
      <c r="AO78" s="48">
        <v>9.5030300000000008</v>
      </c>
      <c r="AP78" s="48">
        <v>9.4079999999999995</v>
      </c>
      <c r="AQ78" s="48">
        <v>9.3148499999999999</v>
      </c>
      <c r="AR78" s="48">
        <v>9.2235300000000002</v>
      </c>
      <c r="AS78" s="48">
        <v>9.1339799999999993</v>
      </c>
      <c r="AT78" s="48">
        <v>9.0461500000000008</v>
      </c>
      <c r="AU78" s="48">
        <v>8.9600000000000009</v>
      </c>
      <c r="AV78" s="48">
        <v>8.9600000000000009</v>
      </c>
      <c r="AW78" s="48">
        <v>8.9600000000000009</v>
      </c>
      <c r="AX78" s="48">
        <v>8.9600000000000009</v>
      </c>
      <c r="AY78" s="48">
        <v>8.9600000000000009</v>
      </c>
      <c r="AZ78" s="56">
        <v>8.9600000000000009</v>
      </c>
      <c r="BA78" s="60"/>
      <c r="BT78" s="188"/>
      <c r="BU78" s="188"/>
      <c r="BV78" s="188"/>
      <c r="BW78" s="188"/>
      <c r="BX78" s="188"/>
      <c r="BY78" s="188"/>
      <c r="BZ78" s="189"/>
      <c r="CA78" s="190"/>
      <c r="CB78" s="190"/>
      <c r="CC78" s="190"/>
      <c r="CD78" s="190"/>
      <c r="CE78" s="190"/>
      <c r="CF78" s="190"/>
      <c r="CG78" s="190"/>
      <c r="CH78" s="190"/>
      <c r="CI78" s="190"/>
      <c r="CJ78" s="190"/>
      <c r="CK78" s="190"/>
      <c r="CL78" s="190"/>
      <c r="CM78" s="190"/>
      <c r="CN78" s="190"/>
      <c r="CO78" s="190"/>
      <c r="CP78" s="190"/>
      <c r="CQ78" s="190"/>
      <c r="CR78" s="190"/>
      <c r="CS78" s="190"/>
      <c r="CT78" s="190"/>
      <c r="CU78" s="190"/>
      <c r="CV78" s="190"/>
      <c r="CW78" s="190"/>
      <c r="CX78" s="190"/>
      <c r="CY78" s="190"/>
      <c r="CZ78" s="190"/>
      <c r="DA78" s="190"/>
      <c r="DB78" s="190"/>
      <c r="DC78" s="190"/>
      <c r="DD78" s="190"/>
      <c r="DE78" s="188"/>
    </row>
    <row r="79" spans="21:109" s="41" customFormat="1" ht="15" customHeight="1">
      <c r="U79" s="302"/>
      <c r="V79" s="181">
        <v>3750</v>
      </c>
      <c r="W79" s="55">
        <v>14.7</v>
      </c>
      <c r="X79" s="48">
        <v>14.7</v>
      </c>
      <c r="Y79" s="48">
        <v>14.7</v>
      </c>
      <c r="Z79" s="48">
        <v>14.7</v>
      </c>
      <c r="AA79" s="48">
        <v>14.7</v>
      </c>
      <c r="AB79" s="48">
        <v>14.7</v>
      </c>
      <c r="AC79" s="48">
        <v>14.7</v>
      </c>
      <c r="AD79" s="48">
        <v>14.3634</v>
      </c>
      <c r="AE79" s="48">
        <v>14.2545</v>
      </c>
      <c r="AF79" s="48">
        <v>13.734299999999999</v>
      </c>
      <c r="AG79" s="48">
        <v>12.8</v>
      </c>
      <c r="AH79" s="48">
        <v>11.686999999999999</v>
      </c>
      <c r="AI79" s="48">
        <v>10.939500000000001</v>
      </c>
      <c r="AJ79" s="48">
        <v>10.282</v>
      </c>
      <c r="AK79" s="48">
        <v>9.8513099999999998</v>
      </c>
      <c r="AL79" s="48">
        <v>9.6492299999999993</v>
      </c>
      <c r="AM79" s="48">
        <v>9.4079999999999995</v>
      </c>
      <c r="AN79" s="48">
        <v>9.3148499999999999</v>
      </c>
      <c r="AO79" s="48">
        <v>9.2235300000000002</v>
      </c>
      <c r="AP79" s="48">
        <v>9.1339799999999993</v>
      </c>
      <c r="AQ79" s="48">
        <v>9.0461500000000008</v>
      </c>
      <c r="AR79" s="48">
        <v>8.9600000000000009</v>
      </c>
      <c r="AS79" s="48">
        <v>8.87547</v>
      </c>
      <c r="AT79" s="48">
        <v>8.7925199999999997</v>
      </c>
      <c r="AU79" s="48">
        <v>8.7111099999999997</v>
      </c>
      <c r="AV79" s="48">
        <v>8.7111099999999997</v>
      </c>
      <c r="AW79" s="48">
        <v>8.7111099999999997</v>
      </c>
      <c r="AX79" s="48">
        <v>8.7111099999999997</v>
      </c>
      <c r="AY79" s="48">
        <v>8.7111099999999997</v>
      </c>
      <c r="AZ79" s="56">
        <v>8.7111099999999997</v>
      </c>
      <c r="BA79" s="60"/>
      <c r="BT79" s="188"/>
      <c r="BU79" s="188"/>
      <c r="BV79" s="188"/>
      <c r="BW79" s="188"/>
      <c r="BX79" s="188"/>
      <c r="BY79" s="188"/>
      <c r="BZ79" s="189"/>
      <c r="CA79" s="190"/>
      <c r="CB79" s="190"/>
      <c r="CC79" s="190"/>
      <c r="CD79" s="190"/>
      <c r="CE79" s="190"/>
      <c r="CF79" s="190"/>
      <c r="CG79" s="190"/>
      <c r="CH79" s="190"/>
      <c r="CI79" s="190"/>
      <c r="CJ79" s="190"/>
      <c r="CK79" s="190"/>
      <c r="CL79" s="190"/>
      <c r="CM79" s="190"/>
      <c r="CN79" s="190"/>
      <c r="CO79" s="190"/>
      <c r="CP79" s="190"/>
      <c r="CQ79" s="190"/>
      <c r="CR79" s="190"/>
      <c r="CS79" s="190"/>
      <c r="CT79" s="190"/>
      <c r="CU79" s="190"/>
      <c r="CV79" s="190"/>
      <c r="CW79" s="190"/>
      <c r="CX79" s="190"/>
      <c r="CY79" s="190"/>
      <c r="CZ79" s="190"/>
      <c r="DA79" s="190"/>
      <c r="DB79" s="190"/>
      <c r="DC79" s="190"/>
      <c r="DD79" s="190"/>
      <c r="DE79" s="188"/>
    </row>
    <row r="80" spans="21:109" s="41" customFormat="1" ht="15" customHeight="1">
      <c r="U80" s="302"/>
      <c r="V80" s="181">
        <v>4000</v>
      </c>
      <c r="W80" s="55">
        <v>14.7</v>
      </c>
      <c r="X80" s="48">
        <v>14.7</v>
      </c>
      <c r="Y80" s="48">
        <v>14.7</v>
      </c>
      <c r="Z80" s="48">
        <v>14.7</v>
      </c>
      <c r="AA80" s="48">
        <v>14.7</v>
      </c>
      <c r="AB80" s="48">
        <v>14.7</v>
      </c>
      <c r="AC80" s="48">
        <v>14.7</v>
      </c>
      <c r="AD80" s="48">
        <v>14.0418</v>
      </c>
      <c r="AE80" s="48">
        <v>13.8353</v>
      </c>
      <c r="AF80" s="48">
        <v>13.3447</v>
      </c>
      <c r="AG80" s="48">
        <v>12.3789</v>
      </c>
      <c r="AH80" s="48">
        <v>11.4732</v>
      </c>
      <c r="AI80" s="48">
        <v>10.752000000000001</v>
      </c>
      <c r="AJ80" s="48">
        <v>10.226100000000001</v>
      </c>
      <c r="AK80" s="48">
        <v>9.6492299999999993</v>
      </c>
      <c r="AL80" s="48">
        <v>9.4079999999999995</v>
      </c>
      <c r="AM80" s="48">
        <v>9.1339799999999993</v>
      </c>
      <c r="AN80" s="48">
        <v>9.0461500000000008</v>
      </c>
      <c r="AO80" s="48">
        <v>8.9600000000000009</v>
      </c>
      <c r="AP80" s="48">
        <v>8.87547</v>
      </c>
      <c r="AQ80" s="48">
        <v>8.7925199999999997</v>
      </c>
      <c r="AR80" s="48">
        <v>8.7111099999999997</v>
      </c>
      <c r="AS80" s="48">
        <v>8.6311900000000001</v>
      </c>
      <c r="AT80" s="48">
        <v>8.5527300000000004</v>
      </c>
      <c r="AU80" s="48">
        <v>8.4756800000000005</v>
      </c>
      <c r="AV80" s="48">
        <v>8.4756800000000005</v>
      </c>
      <c r="AW80" s="48">
        <v>8.4756800000000005</v>
      </c>
      <c r="AX80" s="48">
        <v>8.4756800000000005</v>
      </c>
      <c r="AY80" s="48">
        <v>8.4756800000000005</v>
      </c>
      <c r="AZ80" s="56">
        <v>8.4756800000000005</v>
      </c>
      <c r="BA80" s="60"/>
      <c r="BT80" s="188"/>
      <c r="BU80" s="188"/>
      <c r="BV80" s="188"/>
      <c r="BW80" s="188"/>
      <c r="BX80" s="188"/>
      <c r="BY80" s="188"/>
      <c r="BZ80" s="189"/>
      <c r="CA80" s="190"/>
      <c r="CB80" s="190"/>
      <c r="CC80" s="190"/>
      <c r="CD80" s="190"/>
      <c r="CE80" s="190"/>
      <c r="CF80" s="190"/>
      <c r="CG80" s="190"/>
      <c r="CH80" s="190"/>
      <c r="CI80" s="190"/>
      <c r="CJ80" s="190"/>
      <c r="CK80" s="190"/>
      <c r="CL80" s="190"/>
      <c r="CM80" s="190"/>
      <c r="CN80" s="190"/>
      <c r="CO80" s="190"/>
      <c r="CP80" s="190"/>
      <c r="CQ80" s="190"/>
      <c r="CR80" s="190"/>
      <c r="CS80" s="190"/>
      <c r="CT80" s="190"/>
      <c r="CU80" s="190"/>
      <c r="CV80" s="190"/>
      <c r="CW80" s="190"/>
      <c r="CX80" s="190"/>
      <c r="CY80" s="190"/>
      <c r="CZ80" s="190"/>
      <c r="DA80" s="190"/>
      <c r="DB80" s="190"/>
      <c r="DC80" s="190"/>
      <c r="DD80" s="190"/>
      <c r="DE80" s="188"/>
    </row>
    <row r="81" spans="21:109" s="41" customFormat="1" ht="15" customHeight="1">
      <c r="U81" s="302"/>
      <c r="V81" s="181">
        <v>4250</v>
      </c>
      <c r="W81" s="55">
        <v>14.7</v>
      </c>
      <c r="X81" s="48">
        <v>14.7</v>
      </c>
      <c r="Y81" s="48">
        <v>14.7</v>
      </c>
      <c r="Z81" s="48">
        <v>14.7</v>
      </c>
      <c r="AA81" s="48">
        <v>14.7</v>
      </c>
      <c r="AB81" s="48">
        <v>14.7</v>
      </c>
      <c r="AC81" s="48">
        <v>14.7</v>
      </c>
      <c r="AD81" s="48">
        <v>13.734299999999999</v>
      </c>
      <c r="AE81" s="48">
        <v>13.44</v>
      </c>
      <c r="AF81" s="48">
        <v>12.976599999999999</v>
      </c>
      <c r="AG81" s="48">
        <v>12.2182</v>
      </c>
      <c r="AH81" s="48">
        <v>11.334899999999999</v>
      </c>
      <c r="AI81" s="48">
        <v>10.6305</v>
      </c>
      <c r="AJ81" s="48">
        <v>10.1708</v>
      </c>
      <c r="AK81" s="48">
        <v>9.6492299999999993</v>
      </c>
      <c r="AL81" s="48">
        <v>9.4552800000000001</v>
      </c>
      <c r="AM81" s="48">
        <v>9.1785399999999999</v>
      </c>
      <c r="AN81" s="48">
        <v>9.0898599999999998</v>
      </c>
      <c r="AO81" s="48">
        <v>9.0028699999999997</v>
      </c>
      <c r="AP81" s="48">
        <v>8.9600000000000009</v>
      </c>
      <c r="AQ81" s="48">
        <v>8.87547</v>
      </c>
      <c r="AR81" s="48">
        <v>8.7516300000000005</v>
      </c>
      <c r="AS81" s="48">
        <v>8.6709700000000005</v>
      </c>
      <c r="AT81" s="48">
        <v>8.59178</v>
      </c>
      <c r="AU81" s="48">
        <v>8.51403</v>
      </c>
      <c r="AV81" s="48">
        <v>8.51403</v>
      </c>
      <c r="AW81" s="48">
        <v>8.51403</v>
      </c>
      <c r="AX81" s="48">
        <v>8.51403</v>
      </c>
      <c r="AY81" s="48">
        <v>8.51403</v>
      </c>
      <c r="AZ81" s="56">
        <v>8.51403</v>
      </c>
      <c r="BA81" s="60"/>
      <c r="BT81" s="188"/>
      <c r="BU81" s="188"/>
      <c r="BV81" s="188"/>
      <c r="BW81" s="188"/>
      <c r="BX81" s="188"/>
      <c r="BY81" s="188"/>
      <c r="BZ81" s="189"/>
      <c r="CA81" s="190"/>
      <c r="CB81" s="190"/>
      <c r="CC81" s="190"/>
      <c r="CD81" s="190"/>
      <c r="CE81" s="190"/>
      <c r="CF81" s="190"/>
      <c r="CG81" s="190"/>
      <c r="CH81" s="190"/>
      <c r="CI81" s="190"/>
      <c r="CJ81" s="190"/>
      <c r="CK81" s="190"/>
      <c r="CL81" s="190"/>
      <c r="CM81" s="190"/>
      <c r="CN81" s="190"/>
      <c r="CO81" s="190"/>
      <c r="CP81" s="190"/>
      <c r="CQ81" s="190"/>
      <c r="CR81" s="190"/>
      <c r="CS81" s="190"/>
      <c r="CT81" s="190"/>
      <c r="CU81" s="190"/>
      <c r="CV81" s="190"/>
      <c r="CW81" s="190"/>
      <c r="CX81" s="190"/>
      <c r="CY81" s="190"/>
      <c r="CZ81" s="190"/>
      <c r="DA81" s="190"/>
      <c r="DB81" s="190"/>
      <c r="DC81" s="190"/>
      <c r="DD81" s="190"/>
      <c r="DE81" s="188"/>
    </row>
    <row r="82" spans="21:109" s="41" customFormat="1" ht="15" customHeight="1">
      <c r="U82" s="302"/>
      <c r="V82" s="181">
        <v>4500</v>
      </c>
      <c r="W82" s="55">
        <v>14.7</v>
      </c>
      <c r="X82" s="48">
        <v>14.7</v>
      </c>
      <c r="Y82" s="48">
        <v>14.7</v>
      </c>
      <c r="Z82" s="48">
        <v>14.7</v>
      </c>
      <c r="AA82" s="48">
        <v>14.7</v>
      </c>
      <c r="AB82" s="48">
        <v>14.7</v>
      </c>
      <c r="AC82" s="48">
        <v>14.7</v>
      </c>
      <c r="AD82" s="48">
        <v>13.44</v>
      </c>
      <c r="AE82" s="48">
        <v>13.066700000000001</v>
      </c>
      <c r="AF82" s="48">
        <v>12.6282</v>
      </c>
      <c r="AG82" s="48">
        <v>12.061500000000001</v>
      </c>
      <c r="AH82" s="48">
        <v>11.2</v>
      </c>
      <c r="AI82" s="48">
        <v>10.5708</v>
      </c>
      <c r="AJ82" s="48">
        <v>10.116099999999999</v>
      </c>
      <c r="AK82" s="48">
        <v>9.6989699999999992</v>
      </c>
      <c r="AL82" s="48">
        <v>9.5030300000000008</v>
      </c>
      <c r="AM82" s="48">
        <v>9.2689699999999995</v>
      </c>
      <c r="AN82" s="48">
        <v>9.1785399999999999</v>
      </c>
      <c r="AO82" s="48">
        <v>9.0898599999999998</v>
      </c>
      <c r="AP82" s="48">
        <v>9.0028699999999997</v>
      </c>
      <c r="AQ82" s="48">
        <v>8.9175400000000007</v>
      </c>
      <c r="AR82" s="48">
        <v>8.8338000000000001</v>
      </c>
      <c r="AS82" s="48">
        <v>8.7516300000000005</v>
      </c>
      <c r="AT82" s="48">
        <v>8.6709700000000005</v>
      </c>
      <c r="AU82" s="48">
        <v>8.59178</v>
      </c>
      <c r="AV82" s="48">
        <v>8.59178</v>
      </c>
      <c r="AW82" s="48">
        <v>8.59178</v>
      </c>
      <c r="AX82" s="48">
        <v>8.59178</v>
      </c>
      <c r="AY82" s="48">
        <v>8.59178</v>
      </c>
      <c r="AZ82" s="56">
        <v>8.59178</v>
      </c>
      <c r="BA82" s="60"/>
      <c r="BT82" s="188"/>
      <c r="BU82" s="188"/>
      <c r="BV82" s="188"/>
      <c r="BW82" s="188"/>
      <c r="BX82" s="188"/>
      <c r="BY82" s="188"/>
      <c r="BZ82" s="189"/>
      <c r="CA82" s="190"/>
      <c r="CB82" s="190"/>
      <c r="CC82" s="190"/>
      <c r="CD82" s="190"/>
      <c r="CE82" s="190"/>
      <c r="CF82" s="190"/>
      <c r="CG82" s="190"/>
      <c r="CH82" s="190"/>
      <c r="CI82" s="190"/>
      <c r="CJ82" s="190"/>
      <c r="CK82" s="190"/>
      <c r="CL82" s="190"/>
      <c r="CM82" s="190"/>
      <c r="CN82" s="190"/>
      <c r="CO82" s="190"/>
      <c r="CP82" s="190"/>
      <c r="CQ82" s="190"/>
      <c r="CR82" s="190"/>
      <c r="CS82" s="190"/>
      <c r="CT82" s="190"/>
      <c r="CU82" s="190"/>
      <c r="CV82" s="190"/>
      <c r="CW82" s="190"/>
      <c r="CX82" s="190"/>
      <c r="CY82" s="190"/>
      <c r="CZ82" s="190"/>
      <c r="DA82" s="190"/>
      <c r="DB82" s="190"/>
      <c r="DC82" s="190"/>
      <c r="DD82" s="190"/>
      <c r="DE82" s="188"/>
    </row>
    <row r="83" spans="21:109" s="41" customFormat="1" ht="15" customHeight="1">
      <c r="U83" s="302"/>
      <c r="V83" s="181">
        <v>4750</v>
      </c>
      <c r="W83" s="55">
        <v>14.7</v>
      </c>
      <c r="X83" s="48">
        <v>14.7</v>
      </c>
      <c r="Y83" s="48">
        <v>14.7</v>
      </c>
      <c r="Z83" s="48">
        <v>14.7</v>
      </c>
      <c r="AA83" s="48">
        <v>14.7</v>
      </c>
      <c r="AB83" s="48">
        <v>14.7</v>
      </c>
      <c r="AC83" s="48">
        <v>14.147399999999999</v>
      </c>
      <c r="AD83" s="48">
        <v>13.3447</v>
      </c>
      <c r="AE83" s="48">
        <v>12.887700000000001</v>
      </c>
      <c r="AF83" s="48">
        <v>12.460900000000001</v>
      </c>
      <c r="AG83" s="48">
        <v>11.9847</v>
      </c>
      <c r="AH83" s="48">
        <v>11.2</v>
      </c>
      <c r="AI83" s="48">
        <v>10.5708</v>
      </c>
      <c r="AJ83" s="48">
        <v>10.116099999999999</v>
      </c>
      <c r="AK83" s="48">
        <v>9.6989699999999992</v>
      </c>
      <c r="AL83" s="48">
        <v>9.5030300000000008</v>
      </c>
      <c r="AM83" s="48">
        <v>9.2689699999999995</v>
      </c>
      <c r="AN83" s="48">
        <v>9.1785399999999999</v>
      </c>
      <c r="AO83" s="48">
        <v>9.0898599999999998</v>
      </c>
      <c r="AP83" s="48">
        <v>9.0028699999999997</v>
      </c>
      <c r="AQ83" s="48">
        <v>8.9175400000000007</v>
      </c>
      <c r="AR83" s="48">
        <v>8.8338000000000001</v>
      </c>
      <c r="AS83" s="48">
        <v>8.7516300000000005</v>
      </c>
      <c r="AT83" s="48">
        <v>8.6709700000000005</v>
      </c>
      <c r="AU83" s="48">
        <v>8.59178</v>
      </c>
      <c r="AV83" s="48">
        <v>8.59178</v>
      </c>
      <c r="AW83" s="48">
        <v>8.59178</v>
      </c>
      <c r="AX83" s="48">
        <v>8.59178</v>
      </c>
      <c r="AY83" s="48">
        <v>8.59178</v>
      </c>
      <c r="AZ83" s="56">
        <v>8.59178</v>
      </c>
      <c r="BA83" s="60"/>
      <c r="BT83" s="188"/>
      <c r="BU83" s="188"/>
      <c r="BV83" s="188"/>
      <c r="BW83" s="188"/>
      <c r="BX83" s="188"/>
      <c r="BY83" s="188"/>
      <c r="BZ83" s="189"/>
      <c r="CA83" s="190"/>
      <c r="CB83" s="190"/>
      <c r="CC83" s="190"/>
      <c r="CD83" s="190"/>
      <c r="CE83" s="190"/>
      <c r="CF83" s="190"/>
      <c r="CG83" s="190"/>
      <c r="CH83" s="190"/>
      <c r="CI83" s="190"/>
      <c r="CJ83" s="190"/>
      <c r="CK83" s="190"/>
      <c r="CL83" s="190"/>
      <c r="CM83" s="190"/>
      <c r="CN83" s="190"/>
      <c r="CO83" s="190"/>
      <c r="CP83" s="190"/>
      <c r="CQ83" s="190"/>
      <c r="CR83" s="190"/>
      <c r="CS83" s="190"/>
      <c r="CT83" s="190"/>
      <c r="CU83" s="190"/>
      <c r="CV83" s="190"/>
      <c r="CW83" s="190"/>
      <c r="CX83" s="190"/>
      <c r="CY83" s="190"/>
      <c r="CZ83" s="190"/>
      <c r="DA83" s="190"/>
      <c r="DB83" s="190"/>
      <c r="DC83" s="190"/>
      <c r="DD83" s="190"/>
      <c r="DE83" s="188"/>
    </row>
    <row r="84" spans="21:109" s="41" customFormat="1" ht="15" customHeight="1">
      <c r="U84" s="302"/>
      <c r="V84" s="181">
        <v>5000</v>
      </c>
      <c r="W84" s="55">
        <v>14.7</v>
      </c>
      <c r="X84" s="48">
        <v>14.7</v>
      </c>
      <c r="Y84" s="48">
        <v>14.7</v>
      </c>
      <c r="Z84" s="48">
        <v>14.7</v>
      </c>
      <c r="AA84" s="48">
        <v>14.7</v>
      </c>
      <c r="AB84" s="48">
        <v>14.7</v>
      </c>
      <c r="AC84" s="48">
        <v>13.6348</v>
      </c>
      <c r="AD84" s="48">
        <v>13.2507</v>
      </c>
      <c r="AE84" s="48">
        <v>12.6282</v>
      </c>
      <c r="AF84" s="48">
        <v>12.2182</v>
      </c>
      <c r="AG84" s="48">
        <v>11.908899999999999</v>
      </c>
      <c r="AH84" s="48">
        <v>11.2</v>
      </c>
      <c r="AI84" s="48">
        <v>10.5708</v>
      </c>
      <c r="AJ84" s="48">
        <v>10.116099999999999</v>
      </c>
      <c r="AK84" s="48">
        <v>9.6989699999999992</v>
      </c>
      <c r="AL84" s="48">
        <v>9.5512700000000006</v>
      </c>
      <c r="AM84" s="48">
        <v>9.2689699999999995</v>
      </c>
      <c r="AN84" s="48">
        <v>9.1785399999999999</v>
      </c>
      <c r="AO84" s="48">
        <v>9.0898599999999998</v>
      </c>
      <c r="AP84" s="48">
        <v>9.0028699999999997</v>
      </c>
      <c r="AQ84" s="48">
        <v>8.9175400000000007</v>
      </c>
      <c r="AR84" s="48">
        <v>8.8338000000000001</v>
      </c>
      <c r="AS84" s="48">
        <v>8.7516300000000005</v>
      </c>
      <c r="AT84" s="48">
        <v>8.6709700000000005</v>
      </c>
      <c r="AU84" s="48">
        <v>8.59178</v>
      </c>
      <c r="AV84" s="48">
        <v>8.59178</v>
      </c>
      <c r="AW84" s="48">
        <v>8.59178</v>
      </c>
      <c r="AX84" s="48">
        <v>8.59178</v>
      </c>
      <c r="AY84" s="48">
        <v>8.59178</v>
      </c>
      <c r="AZ84" s="56">
        <v>8.59178</v>
      </c>
      <c r="BA84" s="60"/>
      <c r="BT84" s="188"/>
      <c r="BU84" s="188"/>
      <c r="BV84" s="188"/>
      <c r="BW84" s="188"/>
      <c r="BX84" s="188"/>
      <c r="BY84" s="188"/>
      <c r="BZ84" s="189"/>
      <c r="CA84" s="190"/>
      <c r="CB84" s="190"/>
      <c r="CC84" s="190"/>
      <c r="CD84" s="190"/>
      <c r="CE84" s="190"/>
      <c r="CF84" s="190"/>
      <c r="CG84" s="190"/>
      <c r="CH84" s="190"/>
      <c r="CI84" s="190"/>
      <c r="CJ84" s="190"/>
      <c r="CK84" s="190"/>
      <c r="CL84" s="190"/>
      <c r="CM84" s="190"/>
      <c r="CN84" s="190"/>
      <c r="CO84" s="190"/>
      <c r="CP84" s="190"/>
      <c r="CQ84" s="190"/>
      <c r="CR84" s="190"/>
      <c r="CS84" s="190"/>
      <c r="CT84" s="190"/>
      <c r="CU84" s="190"/>
      <c r="CV84" s="190"/>
      <c r="CW84" s="190"/>
      <c r="CX84" s="190"/>
      <c r="CY84" s="190"/>
      <c r="CZ84" s="190"/>
      <c r="DA84" s="190"/>
      <c r="DB84" s="190"/>
      <c r="DC84" s="190"/>
      <c r="DD84" s="190"/>
      <c r="DE84" s="188"/>
    </row>
    <row r="85" spans="21:109" s="41" customFormat="1" ht="15" customHeight="1">
      <c r="U85" s="302"/>
      <c r="V85" s="181">
        <v>5250</v>
      </c>
      <c r="W85" s="55">
        <v>14.7</v>
      </c>
      <c r="X85" s="48">
        <v>14.7</v>
      </c>
      <c r="Y85" s="48">
        <v>14.7</v>
      </c>
      <c r="Z85" s="48">
        <v>14.7</v>
      </c>
      <c r="AA85" s="48">
        <v>14.7</v>
      </c>
      <c r="AB85" s="48">
        <v>14.7</v>
      </c>
      <c r="AC85" s="48">
        <v>13.6348</v>
      </c>
      <c r="AD85" s="48">
        <v>13.066700000000001</v>
      </c>
      <c r="AE85" s="48">
        <v>12.460900000000001</v>
      </c>
      <c r="AF85" s="48">
        <v>12.061500000000001</v>
      </c>
      <c r="AG85" s="48">
        <v>11.686999999999999</v>
      </c>
      <c r="AH85" s="48">
        <v>11.068199999999999</v>
      </c>
      <c r="AI85" s="48">
        <v>10.4533</v>
      </c>
      <c r="AJ85" s="48">
        <v>10.116099999999999</v>
      </c>
      <c r="AK85" s="48">
        <v>9.8000000000000007</v>
      </c>
      <c r="AL85" s="48">
        <v>9.6492299999999993</v>
      </c>
      <c r="AM85" s="48">
        <v>9.5030300000000008</v>
      </c>
      <c r="AN85" s="48">
        <v>9.4079999999999995</v>
      </c>
      <c r="AO85" s="48">
        <v>9.3148499999999999</v>
      </c>
      <c r="AP85" s="48">
        <v>9.2235300000000002</v>
      </c>
      <c r="AQ85" s="48">
        <v>9.1339799999999993</v>
      </c>
      <c r="AR85" s="48">
        <v>9.0461500000000008</v>
      </c>
      <c r="AS85" s="48">
        <v>8.9600000000000009</v>
      </c>
      <c r="AT85" s="48">
        <v>8.87547</v>
      </c>
      <c r="AU85" s="48">
        <v>8.7925199999999997</v>
      </c>
      <c r="AV85" s="48">
        <v>8.7925199999999997</v>
      </c>
      <c r="AW85" s="48">
        <v>8.7925199999999997</v>
      </c>
      <c r="AX85" s="48">
        <v>8.7925199999999997</v>
      </c>
      <c r="AY85" s="48">
        <v>8.7925199999999997</v>
      </c>
      <c r="AZ85" s="56">
        <v>8.7925199999999997</v>
      </c>
      <c r="BA85" s="60"/>
    </row>
    <row r="86" spans="21:109" s="41" customFormat="1" ht="15" customHeight="1">
      <c r="U86" s="302"/>
      <c r="V86" s="181">
        <v>5500</v>
      </c>
      <c r="W86" s="55">
        <v>14.7</v>
      </c>
      <c r="X86" s="48">
        <v>14.7</v>
      </c>
      <c r="Y86" s="48">
        <v>14.7</v>
      </c>
      <c r="Z86" s="48">
        <v>14.7</v>
      </c>
      <c r="AA86" s="48">
        <v>14.7</v>
      </c>
      <c r="AB86" s="48">
        <v>14.7</v>
      </c>
      <c r="AC86" s="48">
        <v>13.6348</v>
      </c>
      <c r="AD86" s="48">
        <v>12.887700000000001</v>
      </c>
      <c r="AE86" s="48">
        <v>12.2182</v>
      </c>
      <c r="AF86" s="48">
        <v>11.908899999999999</v>
      </c>
      <c r="AG86" s="48">
        <v>11.403600000000001</v>
      </c>
      <c r="AH86" s="48">
        <v>10.876300000000001</v>
      </c>
      <c r="AI86" s="48">
        <v>10.3956</v>
      </c>
      <c r="AJ86" s="48">
        <v>10.116099999999999</v>
      </c>
      <c r="AK86" s="48">
        <v>9.9031599999999997</v>
      </c>
      <c r="AL86" s="48">
        <v>9.8000000000000007</v>
      </c>
      <c r="AM86" s="48">
        <v>9.6989699999999992</v>
      </c>
      <c r="AN86" s="48">
        <v>9.6</v>
      </c>
      <c r="AO86" s="48">
        <v>9.5030300000000008</v>
      </c>
      <c r="AP86" s="48">
        <v>9.4079999999999995</v>
      </c>
      <c r="AQ86" s="48">
        <v>9.3148499999999999</v>
      </c>
      <c r="AR86" s="48">
        <v>9.2235300000000002</v>
      </c>
      <c r="AS86" s="48">
        <v>9.1339799999999993</v>
      </c>
      <c r="AT86" s="48">
        <v>9.0461500000000008</v>
      </c>
      <c r="AU86" s="48">
        <v>8.9600000000000009</v>
      </c>
      <c r="AV86" s="48">
        <v>8.9600000000000009</v>
      </c>
      <c r="AW86" s="48">
        <v>8.9600000000000009</v>
      </c>
      <c r="AX86" s="48">
        <v>8.9600000000000009</v>
      </c>
      <c r="AY86" s="48">
        <v>8.9600000000000009</v>
      </c>
      <c r="AZ86" s="56">
        <v>8.9600000000000009</v>
      </c>
      <c r="BA86" s="60"/>
    </row>
    <row r="87" spans="21:109" s="41" customFormat="1" ht="15" customHeight="1">
      <c r="U87" s="302"/>
      <c r="V87" s="181">
        <v>5750</v>
      </c>
      <c r="W87" s="55">
        <v>14.7</v>
      </c>
      <c r="X87" s="48">
        <v>14.7</v>
      </c>
      <c r="Y87" s="48">
        <v>14.7</v>
      </c>
      <c r="Z87" s="48">
        <v>14.7</v>
      </c>
      <c r="AA87" s="48">
        <v>14.7</v>
      </c>
      <c r="AB87" s="48">
        <v>14.7</v>
      </c>
      <c r="AC87" s="48">
        <v>12.7135</v>
      </c>
      <c r="AD87" s="48">
        <v>12.2182</v>
      </c>
      <c r="AE87" s="48">
        <v>11.908899999999999</v>
      </c>
      <c r="AF87" s="48">
        <v>11.686999999999999</v>
      </c>
      <c r="AG87" s="48">
        <v>11.2</v>
      </c>
      <c r="AH87" s="48">
        <v>10.690899999999999</v>
      </c>
      <c r="AI87" s="48">
        <v>10.3956</v>
      </c>
      <c r="AJ87" s="48">
        <v>10.1708</v>
      </c>
      <c r="AK87" s="48">
        <v>9.4552800000000001</v>
      </c>
      <c r="AL87" s="48">
        <v>9.3148499999999999</v>
      </c>
      <c r="AM87" s="48">
        <v>9.2235300000000002</v>
      </c>
      <c r="AN87" s="48">
        <v>9.1339799999999993</v>
      </c>
      <c r="AO87" s="48">
        <v>9.0461500000000008</v>
      </c>
      <c r="AP87" s="48">
        <v>8.9600000000000009</v>
      </c>
      <c r="AQ87" s="48">
        <v>8.87547</v>
      </c>
      <c r="AR87" s="48">
        <v>8.7925199999999997</v>
      </c>
      <c r="AS87" s="48">
        <v>8.7111099999999997</v>
      </c>
      <c r="AT87" s="48">
        <v>8.6311900000000001</v>
      </c>
      <c r="AU87" s="48">
        <v>8.5527300000000004</v>
      </c>
      <c r="AV87" s="48">
        <v>8.5527300000000004</v>
      </c>
      <c r="AW87" s="48">
        <v>8.5527300000000004</v>
      </c>
      <c r="AX87" s="48">
        <v>8.5527300000000004</v>
      </c>
      <c r="AY87" s="48">
        <v>8.5527300000000004</v>
      </c>
      <c r="AZ87" s="56">
        <v>8.5527300000000004</v>
      </c>
      <c r="BA87" s="60"/>
    </row>
    <row r="88" spans="21:109">
      <c r="U88" s="302"/>
      <c r="V88" s="181">
        <v>6000</v>
      </c>
      <c r="W88" s="55">
        <v>14.7</v>
      </c>
      <c r="X88" s="48">
        <v>14.7</v>
      </c>
      <c r="Y88" s="48">
        <v>14.7</v>
      </c>
      <c r="Z88" s="48">
        <v>14.7</v>
      </c>
      <c r="AA88" s="48">
        <v>14.7</v>
      </c>
      <c r="AB88" s="48">
        <v>14.7</v>
      </c>
      <c r="AC88" s="48">
        <v>11.908899999999999</v>
      </c>
      <c r="AD88" s="48">
        <v>11.614800000000001</v>
      </c>
      <c r="AE88" s="48">
        <v>11.4732</v>
      </c>
      <c r="AF88" s="48">
        <v>11.2</v>
      </c>
      <c r="AG88" s="48">
        <v>10.752000000000001</v>
      </c>
      <c r="AH88" s="48">
        <v>10.3385</v>
      </c>
      <c r="AI88" s="48">
        <v>10.116099999999999</v>
      </c>
      <c r="AJ88" s="48">
        <v>9.9031599999999997</v>
      </c>
      <c r="AK88" s="48">
        <v>9.4552800000000001</v>
      </c>
      <c r="AL88" s="48">
        <v>9.3148499999999999</v>
      </c>
      <c r="AM88" s="48">
        <v>9.1339799999999993</v>
      </c>
      <c r="AN88" s="48">
        <v>9.0461500000000008</v>
      </c>
      <c r="AO88" s="48">
        <v>8.9600000000000009</v>
      </c>
      <c r="AP88" s="48">
        <v>8.87547</v>
      </c>
      <c r="AQ88" s="48">
        <v>8.7925199999999997</v>
      </c>
      <c r="AR88" s="48">
        <v>8.7111099999999997</v>
      </c>
      <c r="AS88" s="48">
        <v>8.6311900000000001</v>
      </c>
      <c r="AT88" s="48">
        <v>8.5527300000000004</v>
      </c>
      <c r="AU88" s="48">
        <v>8.4756800000000005</v>
      </c>
      <c r="AV88" s="48">
        <v>8.4756800000000005</v>
      </c>
      <c r="AW88" s="48">
        <v>8.4756800000000005</v>
      </c>
      <c r="AX88" s="48">
        <v>8.4756800000000005</v>
      </c>
      <c r="AY88" s="48">
        <v>8.4756800000000005</v>
      </c>
      <c r="AZ88" s="56">
        <v>8.4756800000000005</v>
      </c>
      <c r="BD88" s="37"/>
      <c r="BE88" s="37"/>
      <c r="BF88" s="37"/>
      <c r="BG88" s="37"/>
      <c r="BH88" s="37"/>
      <c r="BI88" s="37"/>
      <c r="BJ88" s="37"/>
      <c r="BK88" s="37"/>
      <c r="BL88" s="37"/>
      <c r="BM88" s="37"/>
      <c r="BN88" s="37"/>
      <c r="BO88" s="37"/>
      <c r="BP88" s="37"/>
      <c r="BQ88" s="37"/>
      <c r="BR88" s="37"/>
      <c r="BS88" s="37"/>
      <c r="BT88" s="37"/>
      <c r="BU88" s="37"/>
      <c r="BV88" s="37"/>
      <c r="BW88" s="37"/>
      <c r="BX88" s="37"/>
      <c r="BY88" s="37"/>
    </row>
    <row r="89" spans="21:109">
      <c r="U89" s="302"/>
      <c r="V89" s="181">
        <v>6250</v>
      </c>
      <c r="W89" s="55">
        <v>14.7</v>
      </c>
      <c r="X89" s="48">
        <v>14.7</v>
      </c>
      <c r="Y89" s="48">
        <v>14.7</v>
      </c>
      <c r="Z89" s="48">
        <v>14.7</v>
      </c>
      <c r="AA89" s="48">
        <v>14.7</v>
      </c>
      <c r="AB89" s="48">
        <v>14.7</v>
      </c>
      <c r="AC89" s="48">
        <v>11.4732</v>
      </c>
      <c r="AD89" s="48">
        <v>11.2</v>
      </c>
      <c r="AE89" s="48">
        <v>10.939500000000001</v>
      </c>
      <c r="AF89" s="48">
        <v>10.876300000000001</v>
      </c>
      <c r="AG89" s="48">
        <v>10.4533</v>
      </c>
      <c r="AH89" s="48">
        <v>10.226100000000001</v>
      </c>
      <c r="AI89" s="48">
        <v>9.8000000000000007</v>
      </c>
      <c r="AJ89" s="48">
        <v>9.4079999999999995</v>
      </c>
      <c r="AK89" s="48">
        <v>9.1339799999999993</v>
      </c>
      <c r="AL89" s="48">
        <v>9.0461500000000008</v>
      </c>
      <c r="AM89" s="48">
        <v>8.9175400000000007</v>
      </c>
      <c r="AN89" s="48">
        <v>8.87547</v>
      </c>
      <c r="AO89" s="48">
        <v>8.7925199999999997</v>
      </c>
      <c r="AP89" s="48">
        <v>8.7111099999999997</v>
      </c>
      <c r="AQ89" s="48">
        <v>8.6311900000000001</v>
      </c>
      <c r="AR89" s="48">
        <v>8.5527300000000004</v>
      </c>
      <c r="AS89" s="48">
        <v>8.4756800000000005</v>
      </c>
      <c r="AT89" s="48">
        <v>8.4</v>
      </c>
      <c r="AU89" s="48">
        <v>8.3256599999999992</v>
      </c>
      <c r="AV89" s="48">
        <v>8.3256599999999992</v>
      </c>
      <c r="AW89" s="48">
        <v>8.3256599999999992</v>
      </c>
      <c r="AX89" s="48">
        <v>8.3256599999999992</v>
      </c>
      <c r="AY89" s="48">
        <v>8.3256599999999992</v>
      </c>
      <c r="AZ89" s="56">
        <v>8.3256599999999992</v>
      </c>
      <c r="BD89" s="37"/>
      <c r="BE89" s="37"/>
      <c r="BF89" s="37"/>
      <c r="BG89" s="37"/>
      <c r="BH89" s="37"/>
      <c r="BI89" s="37"/>
      <c r="BJ89" s="37"/>
      <c r="BK89" s="37"/>
      <c r="BL89" s="37"/>
      <c r="BM89" s="37"/>
      <c r="BN89" s="37"/>
      <c r="BO89" s="37"/>
      <c r="BP89" s="37"/>
      <c r="BQ89" s="37"/>
      <c r="BR89" s="37"/>
      <c r="BS89" s="37"/>
      <c r="BT89" s="37"/>
      <c r="BU89" s="37"/>
      <c r="BV89" s="37"/>
      <c r="BW89" s="37"/>
      <c r="BX89" s="37"/>
      <c r="BY89" s="37"/>
      <c r="BZ89" s="37"/>
    </row>
    <row r="90" spans="21:109">
      <c r="U90" s="302"/>
      <c r="V90" s="181">
        <v>6500</v>
      </c>
      <c r="W90" s="55">
        <v>14.7</v>
      </c>
      <c r="X90" s="48">
        <v>14.7</v>
      </c>
      <c r="Y90" s="48">
        <v>14.7</v>
      </c>
      <c r="Z90" s="48">
        <v>14.7</v>
      </c>
      <c r="AA90" s="48">
        <v>14.7</v>
      </c>
      <c r="AB90" s="48">
        <v>14.7</v>
      </c>
      <c r="AC90" s="48">
        <v>11.4732</v>
      </c>
      <c r="AD90" s="48">
        <v>11.2</v>
      </c>
      <c r="AE90" s="48">
        <v>10.939500000000001</v>
      </c>
      <c r="AF90" s="48">
        <v>10.876300000000001</v>
      </c>
      <c r="AG90" s="48">
        <v>10.4533</v>
      </c>
      <c r="AH90" s="48">
        <v>10.226100000000001</v>
      </c>
      <c r="AI90" s="48">
        <v>9.8000000000000007</v>
      </c>
      <c r="AJ90" s="48">
        <v>9.4079999999999995</v>
      </c>
      <c r="AK90" s="48">
        <v>9.1339799999999993</v>
      </c>
      <c r="AL90" s="48">
        <v>9.0898599999999998</v>
      </c>
      <c r="AM90" s="48">
        <v>8.9175400000000007</v>
      </c>
      <c r="AN90" s="48">
        <v>8.87547</v>
      </c>
      <c r="AO90" s="48">
        <v>8.7925199999999997</v>
      </c>
      <c r="AP90" s="48">
        <v>8.7516300000000005</v>
      </c>
      <c r="AQ90" s="48">
        <v>8.6311900000000001</v>
      </c>
      <c r="AR90" s="48">
        <v>8.59178</v>
      </c>
      <c r="AS90" s="48">
        <v>8.4756800000000005</v>
      </c>
      <c r="AT90" s="48">
        <v>8.4376700000000007</v>
      </c>
      <c r="AU90" s="48">
        <v>8.3256599999999992</v>
      </c>
      <c r="AV90" s="48">
        <v>8.3256599999999992</v>
      </c>
      <c r="AW90" s="48">
        <v>8.3256599999999992</v>
      </c>
      <c r="AX90" s="48">
        <v>8.3256599999999992</v>
      </c>
      <c r="AY90" s="48">
        <v>8.3256599999999992</v>
      </c>
      <c r="AZ90" s="56">
        <v>8.3256599999999992</v>
      </c>
      <c r="BD90" s="37"/>
      <c r="BE90" s="37"/>
      <c r="BF90" s="37"/>
      <c r="BG90" s="37"/>
      <c r="BH90" s="37"/>
      <c r="BI90" s="37"/>
      <c r="BJ90" s="37"/>
      <c r="BK90" s="37"/>
      <c r="BL90" s="37"/>
      <c r="BM90" s="37"/>
      <c r="BN90" s="37"/>
      <c r="BO90" s="37"/>
      <c r="BP90" s="37"/>
      <c r="BQ90" s="37"/>
      <c r="BR90" s="37"/>
      <c r="BS90" s="37"/>
      <c r="BT90" s="37"/>
      <c r="BU90" s="37"/>
      <c r="BV90" s="37"/>
      <c r="BW90" s="37"/>
      <c r="BX90" s="37"/>
      <c r="BY90" s="37"/>
      <c r="BZ90" s="37"/>
    </row>
    <row r="91" spans="21:109">
      <c r="U91" s="302"/>
      <c r="V91" s="181">
        <v>6750</v>
      </c>
      <c r="W91" s="55">
        <v>14.7</v>
      </c>
      <c r="X91" s="48">
        <v>14.7</v>
      </c>
      <c r="Y91" s="48">
        <v>14.7</v>
      </c>
      <c r="Z91" s="48">
        <v>14.7</v>
      </c>
      <c r="AA91" s="48">
        <v>14.7</v>
      </c>
      <c r="AB91" s="48">
        <v>14.7</v>
      </c>
      <c r="AC91" s="48">
        <v>11.4732</v>
      </c>
      <c r="AD91" s="48">
        <v>11.2</v>
      </c>
      <c r="AE91" s="48">
        <v>10.939500000000001</v>
      </c>
      <c r="AF91" s="48">
        <v>10.876300000000001</v>
      </c>
      <c r="AG91" s="48">
        <v>10.4533</v>
      </c>
      <c r="AH91" s="48">
        <v>10.226100000000001</v>
      </c>
      <c r="AI91" s="48">
        <v>9.8000000000000007</v>
      </c>
      <c r="AJ91" s="48">
        <v>9.4079999999999995</v>
      </c>
      <c r="AK91" s="48">
        <v>9.1339799999999993</v>
      </c>
      <c r="AL91" s="48">
        <v>9.0898599999999998</v>
      </c>
      <c r="AM91" s="48">
        <v>8.9175400000000007</v>
      </c>
      <c r="AN91" s="48">
        <v>8.87547</v>
      </c>
      <c r="AO91" s="48">
        <v>8.7925199999999997</v>
      </c>
      <c r="AP91" s="48">
        <v>8.7516300000000005</v>
      </c>
      <c r="AQ91" s="48">
        <v>8.6311900000000001</v>
      </c>
      <c r="AR91" s="48">
        <v>8.59178</v>
      </c>
      <c r="AS91" s="48">
        <v>8.4756800000000005</v>
      </c>
      <c r="AT91" s="48">
        <v>8.4376700000000007</v>
      </c>
      <c r="AU91" s="48">
        <v>8.3256599999999992</v>
      </c>
      <c r="AV91" s="48">
        <v>8.3256599999999992</v>
      </c>
      <c r="AW91" s="48">
        <v>8.3256599999999992</v>
      </c>
      <c r="AX91" s="48">
        <v>8.3256599999999992</v>
      </c>
      <c r="AY91" s="48">
        <v>8.3256599999999992</v>
      </c>
      <c r="AZ91" s="56">
        <v>8.3256599999999992</v>
      </c>
      <c r="BD91" s="37"/>
      <c r="BE91" s="37"/>
      <c r="BF91" s="37"/>
      <c r="BG91" s="37"/>
      <c r="BH91" s="37"/>
      <c r="BI91" s="37"/>
      <c r="BJ91" s="37"/>
      <c r="BK91" s="37"/>
      <c r="BL91" s="37"/>
      <c r="BM91" s="37"/>
      <c r="BN91" s="37"/>
      <c r="BO91" s="37"/>
      <c r="BP91" s="37"/>
      <c r="BQ91" s="37"/>
      <c r="BR91" s="37"/>
      <c r="BS91" s="37"/>
      <c r="BT91" s="37"/>
      <c r="BU91" s="37"/>
      <c r="BV91" s="37"/>
      <c r="BW91" s="37"/>
      <c r="BX91" s="37"/>
      <c r="BY91" s="37"/>
      <c r="BZ91" s="37"/>
    </row>
    <row r="92" spans="21:109">
      <c r="U92" s="302"/>
      <c r="V92" s="181">
        <v>7000</v>
      </c>
      <c r="W92" s="55">
        <v>14.7</v>
      </c>
      <c r="X92" s="48">
        <v>14.7</v>
      </c>
      <c r="Y92" s="48">
        <v>14.7</v>
      </c>
      <c r="Z92" s="48">
        <v>14.7</v>
      </c>
      <c r="AA92" s="48">
        <v>14.7</v>
      </c>
      <c r="AB92" s="48">
        <v>14.7</v>
      </c>
      <c r="AC92" s="48">
        <v>11.4732</v>
      </c>
      <c r="AD92" s="48">
        <v>11.2</v>
      </c>
      <c r="AE92" s="48">
        <v>10.939500000000001</v>
      </c>
      <c r="AF92" s="48">
        <v>10.876300000000001</v>
      </c>
      <c r="AG92" s="48">
        <v>10.4533</v>
      </c>
      <c r="AH92" s="48">
        <v>10.226100000000001</v>
      </c>
      <c r="AI92" s="48">
        <v>9.8000000000000007</v>
      </c>
      <c r="AJ92" s="48">
        <v>9.4079999999999995</v>
      </c>
      <c r="AK92" s="48">
        <v>9.1339799999999993</v>
      </c>
      <c r="AL92" s="48">
        <v>9.0898599999999998</v>
      </c>
      <c r="AM92" s="48">
        <v>8.9175400000000007</v>
      </c>
      <c r="AN92" s="48">
        <v>8.87547</v>
      </c>
      <c r="AO92" s="48">
        <v>8.7925199999999997</v>
      </c>
      <c r="AP92" s="48">
        <v>8.7516300000000005</v>
      </c>
      <c r="AQ92" s="48">
        <v>8.6311900000000001</v>
      </c>
      <c r="AR92" s="48">
        <v>8.59178</v>
      </c>
      <c r="AS92" s="48">
        <v>8.4756800000000005</v>
      </c>
      <c r="AT92" s="48">
        <v>8.4376700000000007</v>
      </c>
      <c r="AU92" s="48">
        <v>8.3256599999999992</v>
      </c>
      <c r="AV92" s="48">
        <v>8.3256599999999992</v>
      </c>
      <c r="AW92" s="48">
        <v>8.3256599999999992</v>
      </c>
      <c r="AX92" s="48">
        <v>8.3256599999999992</v>
      </c>
      <c r="AY92" s="48">
        <v>8.3256599999999992</v>
      </c>
      <c r="AZ92" s="56">
        <v>8.3256599999999992</v>
      </c>
      <c r="BD92" s="37"/>
      <c r="BE92" s="37"/>
      <c r="BF92" s="37"/>
      <c r="BG92" s="37"/>
      <c r="BH92" s="37"/>
      <c r="BI92" s="37"/>
      <c r="BJ92" s="37"/>
      <c r="BK92" s="37"/>
      <c r="BL92" s="37"/>
      <c r="BM92" s="37"/>
      <c r="BN92" s="37"/>
      <c r="BO92" s="37"/>
      <c r="BP92" s="37"/>
      <c r="BQ92" s="37"/>
      <c r="BR92" s="37"/>
      <c r="BS92" s="37"/>
      <c r="BT92" s="37"/>
      <c r="BU92" s="37"/>
      <c r="BV92" s="37"/>
      <c r="BW92" s="37"/>
      <c r="BX92" s="37"/>
      <c r="BY92" s="37"/>
      <c r="BZ92" s="37"/>
    </row>
    <row r="93" spans="21:109" ht="13.5" thickBot="1">
      <c r="U93" s="303"/>
      <c r="V93" s="182">
        <v>7500</v>
      </c>
      <c r="W93" s="55">
        <v>14.7</v>
      </c>
      <c r="X93" s="48">
        <v>14.7</v>
      </c>
      <c r="Y93" s="48">
        <v>14.7</v>
      </c>
      <c r="Z93" s="48">
        <v>14.7</v>
      </c>
      <c r="AA93" s="48">
        <v>14.7</v>
      </c>
      <c r="AB93" s="48">
        <v>14.7</v>
      </c>
      <c r="AC93" s="62">
        <v>11.403600000000001</v>
      </c>
      <c r="AD93" s="62">
        <v>11.133699999999999</v>
      </c>
      <c r="AE93" s="62">
        <v>10.876300000000001</v>
      </c>
      <c r="AF93" s="62">
        <v>10.813800000000001</v>
      </c>
      <c r="AG93" s="62">
        <v>10.3956</v>
      </c>
      <c r="AH93" s="62">
        <v>10.1708</v>
      </c>
      <c r="AI93" s="62">
        <v>9.7492199999999993</v>
      </c>
      <c r="AJ93" s="62">
        <v>9.3611900000000006</v>
      </c>
      <c r="AK93" s="62">
        <v>9.0898599999999998</v>
      </c>
      <c r="AL93" s="62">
        <v>9.0461500000000008</v>
      </c>
      <c r="AM93" s="62">
        <v>8.87547</v>
      </c>
      <c r="AN93" s="62">
        <v>8.8338000000000001</v>
      </c>
      <c r="AO93" s="62">
        <v>8.7516300000000005</v>
      </c>
      <c r="AP93" s="62">
        <v>8.7111099999999997</v>
      </c>
      <c r="AQ93" s="62">
        <v>8.59178</v>
      </c>
      <c r="AR93" s="62">
        <v>8.5527300000000004</v>
      </c>
      <c r="AS93" s="62">
        <v>8.4376700000000007</v>
      </c>
      <c r="AT93" s="62">
        <v>8.4</v>
      </c>
      <c r="AU93" s="62">
        <v>8.2889900000000001</v>
      </c>
      <c r="AV93" s="62">
        <v>8.2889900000000001</v>
      </c>
      <c r="AW93" s="62">
        <v>8.2889900000000001</v>
      </c>
      <c r="AX93" s="62">
        <v>8.2889900000000001</v>
      </c>
      <c r="AY93" s="62">
        <v>8.2889900000000001</v>
      </c>
      <c r="AZ93" s="63">
        <v>8.2889900000000001</v>
      </c>
      <c r="BD93" s="37"/>
      <c r="BE93" s="37"/>
      <c r="BF93" s="37"/>
      <c r="BG93" s="37"/>
      <c r="BH93" s="37"/>
      <c r="BI93" s="37"/>
      <c r="BJ93" s="37"/>
      <c r="BK93" s="37"/>
      <c r="BL93" s="37"/>
      <c r="BM93" s="37"/>
      <c r="BN93" s="37"/>
      <c r="BO93" s="37"/>
      <c r="BP93" s="37"/>
      <c r="BQ93" s="37"/>
      <c r="BR93" s="37"/>
      <c r="BS93" s="37"/>
      <c r="BT93" s="37"/>
      <c r="BU93" s="37"/>
      <c r="BV93" s="37"/>
      <c r="BW93" s="37"/>
      <c r="BX93" s="37"/>
      <c r="BY93" s="37"/>
      <c r="BZ93" s="37"/>
    </row>
    <row r="94" spans="21:109">
      <c r="AC94" s="9"/>
      <c r="AD94" s="9"/>
      <c r="BD94" s="37"/>
      <c r="BE94" s="37"/>
      <c r="BF94" s="37"/>
      <c r="BG94" s="37"/>
      <c r="BH94" s="37"/>
      <c r="BI94" s="37"/>
      <c r="BJ94" s="37"/>
      <c r="BK94" s="37"/>
      <c r="BL94" s="37"/>
      <c r="BM94" s="37"/>
      <c r="BN94" s="37"/>
      <c r="BO94" s="37"/>
      <c r="BP94" s="37"/>
      <c r="BQ94" s="37"/>
      <c r="BR94" s="37"/>
      <c r="BS94" s="37"/>
      <c r="BT94" s="37"/>
      <c r="BU94" s="37"/>
      <c r="BV94" s="37"/>
      <c r="BW94" s="37"/>
      <c r="BX94" s="37"/>
      <c r="BY94" s="37"/>
      <c r="BZ94" s="37"/>
    </row>
    <row r="95" spans="21:109">
      <c r="AD95" s="9"/>
      <c r="AE95" s="9"/>
      <c r="BD95" s="37"/>
      <c r="BE95" s="37"/>
      <c r="BF95" s="37"/>
      <c r="BG95" s="37"/>
      <c r="BH95" s="37"/>
      <c r="BI95" s="37"/>
      <c r="BJ95" s="37"/>
      <c r="BK95" s="37"/>
      <c r="BL95" s="37"/>
      <c r="BM95" s="37"/>
      <c r="BN95" s="37"/>
      <c r="BO95" s="37"/>
      <c r="BP95" s="37"/>
      <c r="BQ95" s="37"/>
      <c r="BR95" s="37"/>
      <c r="BS95" s="37"/>
      <c r="BT95" s="37"/>
      <c r="BU95" s="37"/>
      <c r="BV95" s="37"/>
      <c r="BW95" s="37"/>
      <c r="BX95" s="37"/>
      <c r="BY95" s="37"/>
      <c r="BZ95" s="37"/>
    </row>
    <row r="96" spans="21:109">
      <c r="AD96" s="9"/>
      <c r="AE96" s="9"/>
      <c r="BD96" s="37"/>
      <c r="BE96" s="37"/>
      <c r="BF96" s="37"/>
      <c r="BG96" s="37"/>
      <c r="BH96" s="37"/>
      <c r="BI96" s="37"/>
      <c r="BJ96" s="37"/>
      <c r="BK96" s="37"/>
      <c r="BL96" s="37"/>
      <c r="BM96" s="37"/>
      <c r="BN96" s="37"/>
      <c r="BO96" s="37"/>
      <c r="BP96" s="37"/>
      <c r="BQ96" s="37"/>
      <c r="BR96" s="37"/>
      <c r="BS96" s="37"/>
      <c r="BT96" s="37"/>
      <c r="BU96" s="37"/>
      <c r="BV96" s="37"/>
      <c r="BW96" s="37"/>
      <c r="BX96" s="37"/>
      <c r="BY96" s="37"/>
      <c r="BZ96" s="37"/>
    </row>
    <row r="97" spans="20:78">
      <c r="AD97" s="9"/>
      <c r="AE97" s="9"/>
      <c r="BD97" s="37"/>
      <c r="BE97" s="37"/>
      <c r="BF97" s="37"/>
      <c r="BG97" s="37"/>
      <c r="BH97" s="37"/>
      <c r="BI97" s="37"/>
      <c r="BJ97" s="37"/>
      <c r="BK97" s="37"/>
      <c r="BL97" s="37"/>
      <c r="BM97" s="37"/>
      <c r="BN97" s="37"/>
      <c r="BO97" s="37"/>
      <c r="BP97" s="37"/>
      <c r="BQ97" s="37"/>
      <c r="BR97" s="37"/>
      <c r="BS97" s="37"/>
      <c r="BT97" s="37"/>
      <c r="BU97" s="37"/>
      <c r="BV97" s="37"/>
      <c r="BW97" s="37"/>
      <c r="BX97" s="37"/>
      <c r="BY97" s="37"/>
      <c r="BZ97" s="37"/>
    </row>
    <row r="98" spans="20:78">
      <c r="AD98" s="9"/>
      <c r="AE98" s="9"/>
      <c r="BD98" s="37"/>
      <c r="BE98" s="37"/>
      <c r="BF98" s="37"/>
      <c r="BG98" s="37"/>
      <c r="BH98" s="37"/>
      <c r="BI98" s="37"/>
      <c r="BJ98" s="37"/>
      <c r="BK98" s="37"/>
      <c r="BL98" s="37"/>
      <c r="BM98" s="37"/>
      <c r="BN98" s="37"/>
      <c r="BO98" s="37"/>
      <c r="BP98" s="37"/>
      <c r="BQ98" s="37"/>
      <c r="BR98" s="37"/>
      <c r="BS98" s="37"/>
      <c r="BT98" s="37"/>
      <c r="BU98" s="37"/>
      <c r="BV98" s="37"/>
      <c r="BW98" s="37"/>
      <c r="BX98" s="37"/>
      <c r="BY98" s="37"/>
      <c r="BZ98" s="37"/>
    </row>
    <row r="99" spans="20:78" ht="18.75" thickBot="1">
      <c r="T99" s="287"/>
      <c r="U99" s="287"/>
      <c r="V99" s="287"/>
      <c r="W99" s="287"/>
      <c r="X99" s="287"/>
      <c r="Y99" s="287"/>
      <c r="Z99" s="287"/>
      <c r="AA99" s="287"/>
      <c r="AB99" s="287"/>
      <c r="AC99" s="287"/>
      <c r="AD99" s="287"/>
      <c r="AE99" s="287"/>
      <c r="AF99" s="287"/>
      <c r="AG99" s="287"/>
      <c r="AH99" s="287"/>
      <c r="AI99" s="287"/>
      <c r="AJ99" s="287"/>
      <c r="AK99" s="287"/>
      <c r="AL99" s="287"/>
      <c r="AM99" s="287"/>
      <c r="AN99" s="287"/>
      <c r="AO99" s="287"/>
      <c r="AP99" s="287"/>
      <c r="AQ99" s="287"/>
      <c r="AR99" s="287"/>
      <c r="AS99" s="287"/>
      <c r="AT99" s="287"/>
      <c r="AU99" s="287"/>
      <c r="AV99" s="287"/>
      <c r="AW99" s="287"/>
      <c r="AX99" s="287"/>
      <c r="AY99" s="287"/>
      <c r="AZ99" s="287"/>
      <c r="BA99" s="184"/>
      <c r="BM99" s="37"/>
      <c r="BN99" s="37"/>
      <c r="BO99" s="37"/>
      <c r="BP99" s="37"/>
      <c r="BQ99" s="37"/>
      <c r="BR99" s="37"/>
      <c r="BS99" s="37"/>
      <c r="BT99" s="37"/>
      <c r="BU99" s="37"/>
      <c r="BV99" s="37"/>
      <c r="BW99" s="37"/>
      <c r="BX99" s="37"/>
      <c r="BY99" s="37"/>
      <c r="BZ99" s="37"/>
    </row>
    <row r="100" spans="20:78" ht="18" customHeight="1">
      <c r="T100" s="99"/>
      <c r="U100" s="278">
        <v>4</v>
      </c>
      <c r="V100" s="279"/>
      <c r="W100" s="288" t="s">
        <v>19</v>
      </c>
      <c r="X100" s="289"/>
      <c r="Y100" s="289"/>
      <c r="Z100" s="289"/>
      <c r="AA100" s="289"/>
      <c r="AB100" s="289"/>
      <c r="AC100" s="289"/>
      <c r="AD100" s="289"/>
      <c r="AE100" s="289"/>
      <c r="AF100" s="289"/>
      <c r="AG100" s="289"/>
      <c r="AH100" s="289"/>
      <c r="AI100" s="289"/>
      <c r="AJ100" s="289"/>
      <c r="AK100" s="289"/>
      <c r="AL100" s="289"/>
      <c r="AM100" s="289"/>
      <c r="AN100" s="289"/>
      <c r="AO100" s="289"/>
      <c r="AP100" s="289"/>
      <c r="AQ100" s="289"/>
      <c r="AR100" s="289"/>
      <c r="AS100" s="289"/>
      <c r="AT100" s="289"/>
      <c r="AU100" s="289"/>
      <c r="AV100" s="289"/>
      <c r="AW100" s="289"/>
      <c r="AX100" s="289"/>
      <c r="AY100" s="289"/>
      <c r="AZ100" s="290"/>
      <c r="BA100" s="184"/>
      <c r="BD100" s="37"/>
      <c r="BE100" s="37"/>
      <c r="BF100" s="37"/>
      <c r="BM100" s="37"/>
      <c r="BN100" s="37"/>
      <c r="BO100" s="37"/>
      <c r="BP100" s="37"/>
      <c r="BQ100" s="37"/>
      <c r="BR100" s="37"/>
      <c r="BS100" s="37"/>
      <c r="BT100" s="37"/>
      <c r="BU100" s="37"/>
      <c r="BV100" s="37"/>
      <c r="BW100" s="37"/>
      <c r="BX100" s="37"/>
      <c r="BY100" s="37"/>
      <c r="BZ100" s="37"/>
    </row>
    <row r="101" spans="20:78" ht="16.149999999999999" customHeight="1" thickBot="1">
      <c r="T101" s="99"/>
      <c r="U101" s="280"/>
      <c r="V101" s="281"/>
      <c r="W101" s="370" t="str">
        <f>W37</f>
        <v>Load Value</v>
      </c>
      <c r="X101" s="371"/>
      <c r="Y101" s="371"/>
      <c r="Z101" s="371"/>
      <c r="AA101" s="371"/>
      <c r="AB101" s="371"/>
      <c r="AC101" s="371"/>
      <c r="AD101" s="371"/>
      <c r="AE101" s="371"/>
      <c r="AF101" s="371"/>
      <c r="AG101" s="371"/>
      <c r="AH101" s="371"/>
      <c r="AI101" s="371"/>
      <c r="AJ101" s="371"/>
      <c r="AK101" s="371"/>
      <c r="AL101" s="371"/>
      <c r="AM101" s="371"/>
      <c r="AN101" s="371"/>
      <c r="AO101" s="371"/>
      <c r="AP101" s="371"/>
      <c r="AQ101" s="371"/>
      <c r="AR101" s="371"/>
      <c r="AS101" s="371"/>
      <c r="AT101" s="371"/>
      <c r="AU101" s="371"/>
      <c r="AV101" s="371"/>
      <c r="AW101" s="371"/>
      <c r="AX101" s="371"/>
      <c r="AY101" s="371"/>
      <c r="AZ101" s="372"/>
      <c r="BA101" s="184"/>
    </row>
    <row r="102" spans="20:78" ht="13.9" customHeight="1" thickBot="1">
      <c r="T102" s="99"/>
      <c r="U102" s="282"/>
      <c r="V102" s="283"/>
      <c r="W102" s="175">
        <v>10</v>
      </c>
      <c r="X102" s="176">
        <v>20</v>
      </c>
      <c r="Y102" s="176">
        <v>30</v>
      </c>
      <c r="Z102" s="176">
        <v>40</v>
      </c>
      <c r="AA102" s="177">
        <v>50</v>
      </c>
      <c r="AB102" s="177">
        <v>60</v>
      </c>
      <c r="AC102" s="177">
        <v>70</v>
      </c>
      <c r="AD102" s="177">
        <v>80</v>
      </c>
      <c r="AE102" s="177">
        <v>90</v>
      </c>
      <c r="AF102" s="177">
        <v>100</v>
      </c>
      <c r="AG102" s="177">
        <v>120</v>
      </c>
      <c r="AH102" s="177">
        <v>140</v>
      </c>
      <c r="AI102" s="173">
        <v>160</v>
      </c>
      <c r="AJ102" s="173">
        <v>180</v>
      </c>
      <c r="AK102" s="173">
        <v>200</v>
      </c>
      <c r="AL102" s="173">
        <v>210</v>
      </c>
      <c r="AM102" s="173">
        <v>220</v>
      </c>
      <c r="AN102" s="173">
        <v>230</v>
      </c>
      <c r="AO102" s="173">
        <v>240</v>
      </c>
      <c r="AP102" s="173">
        <v>250</v>
      </c>
      <c r="AQ102" s="173">
        <v>260</v>
      </c>
      <c r="AR102" s="173">
        <v>270</v>
      </c>
      <c r="AS102" s="173">
        <v>280</v>
      </c>
      <c r="AT102" s="173">
        <v>290</v>
      </c>
      <c r="AU102" s="173">
        <v>300</v>
      </c>
      <c r="AV102" s="173">
        <v>310</v>
      </c>
      <c r="AW102" s="173">
        <v>320</v>
      </c>
      <c r="AX102" s="173">
        <v>330</v>
      </c>
      <c r="AY102" s="173">
        <v>340</v>
      </c>
      <c r="AZ102" s="174">
        <v>350</v>
      </c>
      <c r="BA102" s="184"/>
    </row>
    <row r="103" spans="20:78">
      <c r="T103" s="99"/>
      <c r="U103" s="301" t="str">
        <f>U39</f>
        <v>RPM</v>
      </c>
      <c r="V103" s="47">
        <f>V39</f>
        <v>500</v>
      </c>
      <c r="W103" s="186">
        <v>1</v>
      </c>
      <c r="X103" s="186">
        <v>1</v>
      </c>
      <c r="Y103" s="186">
        <v>1</v>
      </c>
      <c r="Z103" s="186">
        <v>1</v>
      </c>
      <c r="AA103" s="186">
        <v>1</v>
      </c>
      <c r="AB103" s="186">
        <v>1</v>
      </c>
      <c r="AC103" s="186">
        <v>1</v>
      </c>
      <c r="AD103" s="186">
        <v>1</v>
      </c>
      <c r="AE103" s="186">
        <v>1</v>
      </c>
      <c r="AF103" s="186">
        <v>1</v>
      </c>
      <c r="AG103" s="186">
        <v>1</v>
      </c>
      <c r="AH103" s="186">
        <v>1</v>
      </c>
      <c r="AI103" s="186">
        <v>1</v>
      </c>
      <c r="AJ103" s="186">
        <v>1</v>
      </c>
      <c r="AK103" s="186">
        <v>1</v>
      </c>
      <c r="AL103" s="186">
        <v>1</v>
      </c>
      <c r="AM103" s="186">
        <v>1</v>
      </c>
      <c r="AN103" s="186">
        <v>1</v>
      </c>
      <c r="AO103" s="186">
        <v>1</v>
      </c>
      <c r="AP103" s="186">
        <v>1</v>
      </c>
      <c r="AQ103" s="186">
        <v>1</v>
      </c>
      <c r="AR103" s="186">
        <v>1</v>
      </c>
      <c r="AS103" s="186">
        <v>1</v>
      </c>
      <c r="AT103" s="186">
        <v>1</v>
      </c>
      <c r="AU103" s="186">
        <v>1</v>
      </c>
      <c r="AV103" s="186">
        <v>1</v>
      </c>
      <c r="AW103" s="186">
        <v>1</v>
      </c>
      <c r="AX103" s="186">
        <v>1</v>
      </c>
      <c r="AY103" s="186">
        <v>1</v>
      </c>
      <c r="AZ103" s="187">
        <v>1</v>
      </c>
      <c r="BA103" s="184"/>
    </row>
    <row r="104" spans="20:78">
      <c r="T104" s="99"/>
      <c r="U104" s="302"/>
      <c r="V104" s="49">
        <f t="shared" ref="V104:V127" si="87">V40</f>
        <v>1000</v>
      </c>
      <c r="W104" s="94">
        <f>1</f>
        <v>1</v>
      </c>
      <c r="X104" s="94">
        <f>1</f>
        <v>1</v>
      </c>
      <c r="Y104" s="94">
        <f>1</f>
        <v>1</v>
      </c>
      <c r="Z104" s="94">
        <f>1</f>
        <v>1</v>
      </c>
      <c r="AA104" s="94">
        <f>1</f>
        <v>1</v>
      </c>
      <c r="AB104" s="94">
        <f>1</f>
        <v>1</v>
      </c>
      <c r="AC104" s="94">
        <f>1</f>
        <v>1</v>
      </c>
      <c r="AD104" s="94">
        <f>1</f>
        <v>1</v>
      </c>
      <c r="AE104" s="94">
        <v>0</v>
      </c>
      <c r="AF104" s="94">
        <v>0</v>
      </c>
      <c r="AG104" s="94">
        <v>0</v>
      </c>
      <c r="AH104" s="94">
        <v>0</v>
      </c>
      <c r="AI104" s="94">
        <v>0</v>
      </c>
      <c r="AJ104" s="94">
        <v>0</v>
      </c>
      <c r="AK104" s="94">
        <v>0</v>
      </c>
      <c r="AL104" s="94">
        <v>0</v>
      </c>
      <c r="AM104" s="94">
        <v>0</v>
      </c>
      <c r="AN104" s="94">
        <v>0</v>
      </c>
      <c r="AO104" s="94">
        <v>0</v>
      </c>
      <c r="AP104" s="94">
        <v>0</v>
      </c>
      <c r="AQ104" s="94">
        <v>0</v>
      </c>
      <c r="AR104" s="94">
        <v>0</v>
      </c>
      <c r="AS104" s="94">
        <v>0</v>
      </c>
      <c r="AT104" s="94">
        <v>0</v>
      </c>
      <c r="AU104" s="94">
        <v>0</v>
      </c>
      <c r="AV104" s="94">
        <v>0</v>
      </c>
      <c r="AW104" s="94">
        <v>0</v>
      </c>
      <c r="AX104" s="94">
        <v>0</v>
      </c>
      <c r="AY104" s="94">
        <v>0</v>
      </c>
      <c r="AZ104" s="95">
        <v>0</v>
      </c>
      <c r="BA104" s="184"/>
    </row>
    <row r="105" spans="20:78">
      <c r="T105" s="99"/>
      <c r="U105" s="302"/>
      <c r="V105" s="50">
        <f t="shared" si="87"/>
        <v>1250</v>
      </c>
      <c r="W105" s="94">
        <f>1</f>
        <v>1</v>
      </c>
      <c r="X105" s="94">
        <f>1</f>
        <v>1</v>
      </c>
      <c r="Y105" s="94">
        <f>1</f>
        <v>1</v>
      </c>
      <c r="Z105" s="94">
        <f>1</f>
        <v>1</v>
      </c>
      <c r="AA105" s="94">
        <f>1</f>
        <v>1</v>
      </c>
      <c r="AB105" s="94">
        <f>1</f>
        <v>1</v>
      </c>
      <c r="AC105" s="94">
        <f>1</f>
        <v>1</v>
      </c>
      <c r="AD105" s="94">
        <f>1</f>
        <v>1</v>
      </c>
      <c r="AE105" s="94">
        <v>0</v>
      </c>
      <c r="AF105" s="94">
        <v>0</v>
      </c>
      <c r="AG105" s="94">
        <v>0</v>
      </c>
      <c r="AH105" s="94">
        <v>0</v>
      </c>
      <c r="AI105" s="94">
        <v>0</v>
      </c>
      <c r="AJ105" s="94">
        <v>0</v>
      </c>
      <c r="AK105" s="94">
        <v>0</v>
      </c>
      <c r="AL105" s="94">
        <v>0</v>
      </c>
      <c r="AM105" s="94">
        <v>0</v>
      </c>
      <c r="AN105" s="94">
        <v>0</v>
      </c>
      <c r="AO105" s="94">
        <v>0</v>
      </c>
      <c r="AP105" s="94">
        <v>0</v>
      </c>
      <c r="AQ105" s="94">
        <v>0</v>
      </c>
      <c r="AR105" s="94">
        <v>0</v>
      </c>
      <c r="AS105" s="94">
        <v>0</v>
      </c>
      <c r="AT105" s="94">
        <v>0</v>
      </c>
      <c r="AU105" s="94">
        <v>0</v>
      </c>
      <c r="AV105" s="94">
        <v>0</v>
      </c>
      <c r="AW105" s="94">
        <v>0</v>
      </c>
      <c r="AX105" s="94">
        <v>0</v>
      </c>
      <c r="AY105" s="94">
        <v>0</v>
      </c>
      <c r="AZ105" s="95">
        <v>0</v>
      </c>
      <c r="BA105" s="184"/>
    </row>
    <row r="106" spans="20:78">
      <c r="T106" s="99"/>
      <c r="U106" s="302"/>
      <c r="V106" s="50">
        <f t="shared" si="87"/>
        <v>1500</v>
      </c>
      <c r="W106" s="94">
        <f>1</f>
        <v>1</v>
      </c>
      <c r="X106" s="94">
        <f>1</f>
        <v>1</v>
      </c>
      <c r="Y106" s="94">
        <f>1</f>
        <v>1</v>
      </c>
      <c r="Z106" s="94">
        <f>1</f>
        <v>1</v>
      </c>
      <c r="AA106" s="94">
        <f>1</f>
        <v>1</v>
      </c>
      <c r="AB106" s="94">
        <f>1</f>
        <v>1</v>
      </c>
      <c r="AC106" s="94">
        <f>1</f>
        <v>1</v>
      </c>
      <c r="AD106" s="94">
        <f>1</f>
        <v>1</v>
      </c>
      <c r="AE106" s="94">
        <v>0</v>
      </c>
      <c r="AF106" s="94">
        <v>0</v>
      </c>
      <c r="AG106" s="94">
        <v>0</v>
      </c>
      <c r="AH106" s="94">
        <v>0</v>
      </c>
      <c r="AI106" s="94">
        <v>0</v>
      </c>
      <c r="AJ106" s="94">
        <v>0</v>
      </c>
      <c r="AK106" s="94">
        <v>0</v>
      </c>
      <c r="AL106" s="94">
        <v>0</v>
      </c>
      <c r="AM106" s="94">
        <v>0</v>
      </c>
      <c r="AN106" s="94">
        <v>0</v>
      </c>
      <c r="AO106" s="94">
        <v>0</v>
      </c>
      <c r="AP106" s="94">
        <v>0</v>
      </c>
      <c r="AQ106" s="94">
        <v>0</v>
      </c>
      <c r="AR106" s="94">
        <v>0</v>
      </c>
      <c r="AS106" s="94">
        <v>0</v>
      </c>
      <c r="AT106" s="94">
        <v>0</v>
      </c>
      <c r="AU106" s="94">
        <v>0</v>
      </c>
      <c r="AV106" s="94">
        <v>0</v>
      </c>
      <c r="AW106" s="94">
        <v>0</v>
      </c>
      <c r="AX106" s="94">
        <v>0</v>
      </c>
      <c r="AY106" s="94">
        <v>0</v>
      </c>
      <c r="AZ106" s="95">
        <v>0</v>
      </c>
      <c r="BA106" s="184"/>
    </row>
    <row r="107" spans="20:78">
      <c r="T107" s="99"/>
      <c r="U107" s="302"/>
      <c r="V107" s="50">
        <f t="shared" si="87"/>
        <v>2000</v>
      </c>
      <c r="W107" s="94">
        <f>1</f>
        <v>1</v>
      </c>
      <c r="X107" s="94">
        <f>1</f>
        <v>1</v>
      </c>
      <c r="Y107" s="94">
        <f>1</f>
        <v>1</v>
      </c>
      <c r="Z107" s="94">
        <f>1</f>
        <v>1</v>
      </c>
      <c r="AA107" s="94">
        <f>1</f>
        <v>1</v>
      </c>
      <c r="AB107" s="94">
        <f>1</f>
        <v>1</v>
      </c>
      <c r="AC107" s="94">
        <f>1</f>
        <v>1</v>
      </c>
      <c r="AD107" s="94">
        <f>1</f>
        <v>1</v>
      </c>
      <c r="AE107" s="94">
        <v>0</v>
      </c>
      <c r="AF107" s="94">
        <v>0</v>
      </c>
      <c r="AG107" s="94">
        <v>0</v>
      </c>
      <c r="AH107" s="94">
        <v>0</v>
      </c>
      <c r="AI107" s="94">
        <v>0</v>
      </c>
      <c r="AJ107" s="94">
        <v>0</v>
      </c>
      <c r="AK107" s="94">
        <v>0</v>
      </c>
      <c r="AL107" s="94">
        <v>0</v>
      </c>
      <c r="AM107" s="94">
        <v>0</v>
      </c>
      <c r="AN107" s="94">
        <v>0</v>
      </c>
      <c r="AO107" s="94">
        <v>0</v>
      </c>
      <c r="AP107" s="94">
        <v>0</v>
      </c>
      <c r="AQ107" s="94">
        <v>0</v>
      </c>
      <c r="AR107" s="94">
        <v>0</v>
      </c>
      <c r="AS107" s="94">
        <v>0</v>
      </c>
      <c r="AT107" s="94">
        <v>0</v>
      </c>
      <c r="AU107" s="94">
        <v>0</v>
      </c>
      <c r="AV107" s="94">
        <v>0</v>
      </c>
      <c r="AW107" s="94">
        <v>0</v>
      </c>
      <c r="AX107" s="94">
        <v>0</v>
      </c>
      <c r="AY107" s="94">
        <v>0</v>
      </c>
      <c r="AZ107" s="95">
        <v>0</v>
      </c>
      <c r="BA107" s="184"/>
    </row>
    <row r="108" spans="20:78" ht="15" customHeight="1">
      <c r="T108" s="99"/>
      <c r="U108" s="302"/>
      <c r="V108" s="51">
        <f t="shared" si="87"/>
        <v>2500</v>
      </c>
      <c r="W108" s="94">
        <f>1</f>
        <v>1</v>
      </c>
      <c r="X108" s="94">
        <f>1</f>
        <v>1</v>
      </c>
      <c r="Y108" s="94">
        <f>1</f>
        <v>1</v>
      </c>
      <c r="Z108" s="94">
        <f>1</f>
        <v>1</v>
      </c>
      <c r="AA108" s="94">
        <f>1</f>
        <v>1</v>
      </c>
      <c r="AB108" s="94">
        <f>1</f>
        <v>1</v>
      </c>
      <c r="AC108" s="94">
        <f>1</f>
        <v>1</v>
      </c>
      <c r="AD108" s="94">
        <f>1</f>
        <v>1</v>
      </c>
      <c r="AE108" s="94">
        <v>0</v>
      </c>
      <c r="AF108" s="94">
        <v>0</v>
      </c>
      <c r="AG108" s="94">
        <v>0</v>
      </c>
      <c r="AH108" s="94">
        <v>0</v>
      </c>
      <c r="AI108" s="94">
        <v>0</v>
      </c>
      <c r="AJ108" s="94">
        <v>0</v>
      </c>
      <c r="AK108" s="94">
        <v>0</v>
      </c>
      <c r="AL108" s="94">
        <v>0</v>
      </c>
      <c r="AM108" s="94">
        <v>0</v>
      </c>
      <c r="AN108" s="94">
        <v>0</v>
      </c>
      <c r="AO108" s="94">
        <v>0</v>
      </c>
      <c r="AP108" s="94">
        <v>0</v>
      </c>
      <c r="AQ108" s="94">
        <v>0</v>
      </c>
      <c r="AR108" s="94">
        <v>0</v>
      </c>
      <c r="AS108" s="94">
        <v>0</v>
      </c>
      <c r="AT108" s="94">
        <v>0</v>
      </c>
      <c r="AU108" s="94">
        <v>0</v>
      </c>
      <c r="AV108" s="94">
        <v>0</v>
      </c>
      <c r="AW108" s="94">
        <v>0</v>
      </c>
      <c r="AX108" s="94">
        <v>0</v>
      </c>
      <c r="AY108" s="94">
        <v>0</v>
      </c>
      <c r="AZ108" s="95">
        <v>0</v>
      </c>
      <c r="BA108" s="184"/>
    </row>
    <row r="109" spans="20:78">
      <c r="T109" s="99"/>
      <c r="U109" s="302"/>
      <c r="V109" s="51">
        <f t="shared" si="87"/>
        <v>2750</v>
      </c>
      <c r="W109" s="94">
        <f>1</f>
        <v>1</v>
      </c>
      <c r="X109" s="94">
        <f>1</f>
        <v>1</v>
      </c>
      <c r="Y109" s="94">
        <f>1</f>
        <v>1</v>
      </c>
      <c r="Z109" s="94">
        <f>1</f>
        <v>1</v>
      </c>
      <c r="AA109" s="94">
        <f>1</f>
        <v>1</v>
      </c>
      <c r="AB109" s="94">
        <f>1</f>
        <v>1</v>
      </c>
      <c r="AC109" s="94">
        <f>1</f>
        <v>1</v>
      </c>
      <c r="AD109" s="94">
        <f>1</f>
        <v>1</v>
      </c>
      <c r="AE109" s="94">
        <v>0</v>
      </c>
      <c r="AF109" s="94">
        <v>0</v>
      </c>
      <c r="AG109" s="94">
        <v>0</v>
      </c>
      <c r="AH109" s="94">
        <v>0</v>
      </c>
      <c r="AI109" s="94">
        <v>0</v>
      </c>
      <c r="AJ109" s="94">
        <v>0</v>
      </c>
      <c r="AK109" s="94">
        <v>0</v>
      </c>
      <c r="AL109" s="94">
        <v>0</v>
      </c>
      <c r="AM109" s="94">
        <v>0</v>
      </c>
      <c r="AN109" s="94">
        <v>0</v>
      </c>
      <c r="AO109" s="94">
        <v>0</v>
      </c>
      <c r="AP109" s="94">
        <v>0</v>
      </c>
      <c r="AQ109" s="94">
        <v>0</v>
      </c>
      <c r="AR109" s="94">
        <v>0</v>
      </c>
      <c r="AS109" s="94">
        <v>0</v>
      </c>
      <c r="AT109" s="94">
        <v>0</v>
      </c>
      <c r="AU109" s="94">
        <v>0</v>
      </c>
      <c r="AV109" s="94">
        <v>0</v>
      </c>
      <c r="AW109" s="94">
        <v>0</v>
      </c>
      <c r="AX109" s="94">
        <v>0</v>
      </c>
      <c r="AY109" s="94">
        <v>0</v>
      </c>
      <c r="AZ109" s="95">
        <v>0</v>
      </c>
      <c r="BA109" s="184"/>
    </row>
    <row r="110" spans="20:78">
      <c r="T110" s="99"/>
      <c r="U110" s="302"/>
      <c r="V110" s="51">
        <f t="shared" si="87"/>
        <v>3000</v>
      </c>
      <c r="W110" s="94">
        <f>1</f>
        <v>1</v>
      </c>
      <c r="X110" s="94">
        <f>1</f>
        <v>1</v>
      </c>
      <c r="Y110" s="94">
        <f>1</f>
        <v>1</v>
      </c>
      <c r="Z110" s="94">
        <f>1</f>
        <v>1</v>
      </c>
      <c r="AA110" s="94">
        <f>1</f>
        <v>1</v>
      </c>
      <c r="AB110" s="94">
        <f>1</f>
        <v>1</v>
      </c>
      <c r="AC110" s="94">
        <f>1</f>
        <v>1</v>
      </c>
      <c r="AD110" s="94">
        <f>1</f>
        <v>1</v>
      </c>
      <c r="AE110" s="94">
        <v>0</v>
      </c>
      <c r="AF110" s="94">
        <v>0</v>
      </c>
      <c r="AG110" s="94">
        <v>0</v>
      </c>
      <c r="AH110" s="94">
        <v>0</v>
      </c>
      <c r="AI110" s="94">
        <v>0</v>
      </c>
      <c r="AJ110" s="94">
        <v>0</v>
      </c>
      <c r="AK110" s="94">
        <v>0</v>
      </c>
      <c r="AL110" s="94">
        <v>0</v>
      </c>
      <c r="AM110" s="94">
        <v>0</v>
      </c>
      <c r="AN110" s="94">
        <v>0</v>
      </c>
      <c r="AO110" s="94">
        <v>0</v>
      </c>
      <c r="AP110" s="94">
        <v>0</v>
      </c>
      <c r="AQ110" s="94">
        <v>0</v>
      </c>
      <c r="AR110" s="94">
        <v>0</v>
      </c>
      <c r="AS110" s="94">
        <v>0</v>
      </c>
      <c r="AT110" s="94">
        <v>0</v>
      </c>
      <c r="AU110" s="94">
        <v>0</v>
      </c>
      <c r="AV110" s="94">
        <v>0</v>
      </c>
      <c r="AW110" s="94">
        <v>0</v>
      </c>
      <c r="AX110" s="94">
        <v>0</v>
      </c>
      <c r="AY110" s="94">
        <v>0</v>
      </c>
      <c r="AZ110" s="95">
        <v>0</v>
      </c>
      <c r="BA110" s="184"/>
    </row>
    <row r="111" spans="20:78">
      <c r="T111" s="99"/>
      <c r="U111" s="302"/>
      <c r="V111" s="51">
        <f t="shared" si="87"/>
        <v>3250</v>
      </c>
      <c r="W111" s="94">
        <f>1</f>
        <v>1</v>
      </c>
      <c r="X111" s="94">
        <f>1</f>
        <v>1</v>
      </c>
      <c r="Y111" s="94">
        <f>1</f>
        <v>1</v>
      </c>
      <c r="Z111" s="94">
        <f>1</f>
        <v>1</v>
      </c>
      <c r="AA111" s="94">
        <f>1</f>
        <v>1</v>
      </c>
      <c r="AB111" s="94">
        <f>1</f>
        <v>1</v>
      </c>
      <c r="AC111" s="94">
        <v>0</v>
      </c>
      <c r="AD111" s="94">
        <v>0</v>
      </c>
      <c r="AE111" s="94">
        <v>0</v>
      </c>
      <c r="AF111" s="94">
        <v>0</v>
      </c>
      <c r="AG111" s="94">
        <v>0</v>
      </c>
      <c r="AH111" s="94">
        <v>0</v>
      </c>
      <c r="AI111" s="94">
        <v>0</v>
      </c>
      <c r="AJ111" s="94">
        <v>0</v>
      </c>
      <c r="AK111" s="94">
        <v>0</v>
      </c>
      <c r="AL111" s="94">
        <v>0</v>
      </c>
      <c r="AM111" s="94">
        <v>0</v>
      </c>
      <c r="AN111" s="94">
        <v>0</v>
      </c>
      <c r="AO111" s="94">
        <v>0</v>
      </c>
      <c r="AP111" s="94">
        <v>0</v>
      </c>
      <c r="AQ111" s="94">
        <v>0</v>
      </c>
      <c r="AR111" s="94">
        <v>0</v>
      </c>
      <c r="AS111" s="94">
        <v>0</v>
      </c>
      <c r="AT111" s="94">
        <v>0</v>
      </c>
      <c r="AU111" s="94">
        <v>0</v>
      </c>
      <c r="AV111" s="94">
        <v>0</v>
      </c>
      <c r="AW111" s="94">
        <v>0</v>
      </c>
      <c r="AX111" s="94">
        <v>0</v>
      </c>
      <c r="AY111" s="94">
        <v>0</v>
      </c>
      <c r="AZ111" s="95">
        <v>0</v>
      </c>
      <c r="BA111" s="184"/>
    </row>
    <row r="112" spans="20:78">
      <c r="T112" s="99"/>
      <c r="U112" s="302"/>
      <c r="V112" s="51">
        <f t="shared" si="87"/>
        <v>3500</v>
      </c>
      <c r="W112" s="94">
        <f>1</f>
        <v>1</v>
      </c>
      <c r="X112" s="94">
        <f>1</f>
        <v>1</v>
      </c>
      <c r="Y112" s="94">
        <f>1</f>
        <v>1</v>
      </c>
      <c r="Z112" s="94">
        <f>1</f>
        <v>1</v>
      </c>
      <c r="AA112" s="94">
        <f>1</f>
        <v>1</v>
      </c>
      <c r="AB112" s="94">
        <v>0</v>
      </c>
      <c r="AC112" s="94">
        <v>0</v>
      </c>
      <c r="AD112" s="94">
        <v>0</v>
      </c>
      <c r="AE112" s="94">
        <v>0</v>
      </c>
      <c r="AF112" s="94">
        <v>0</v>
      </c>
      <c r="AG112" s="94">
        <v>0</v>
      </c>
      <c r="AH112" s="94">
        <v>0</v>
      </c>
      <c r="AI112" s="94">
        <v>0</v>
      </c>
      <c r="AJ112" s="94">
        <v>0</v>
      </c>
      <c r="AK112" s="94">
        <v>0</v>
      </c>
      <c r="AL112" s="94">
        <v>0</v>
      </c>
      <c r="AM112" s="94">
        <v>0</v>
      </c>
      <c r="AN112" s="94">
        <v>0</v>
      </c>
      <c r="AO112" s="94">
        <v>0</v>
      </c>
      <c r="AP112" s="94">
        <v>0</v>
      </c>
      <c r="AQ112" s="94">
        <v>0</v>
      </c>
      <c r="AR112" s="94">
        <v>0</v>
      </c>
      <c r="AS112" s="94">
        <v>0</v>
      </c>
      <c r="AT112" s="94">
        <v>0</v>
      </c>
      <c r="AU112" s="94">
        <v>0</v>
      </c>
      <c r="AV112" s="94">
        <v>0</v>
      </c>
      <c r="AW112" s="94">
        <v>0</v>
      </c>
      <c r="AX112" s="94">
        <v>0</v>
      </c>
      <c r="AY112" s="94">
        <v>0</v>
      </c>
      <c r="AZ112" s="95">
        <v>0</v>
      </c>
      <c r="BA112" s="184"/>
    </row>
    <row r="113" spans="20:78">
      <c r="T113" s="99"/>
      <c r="U113" s="302"/>
      <c r="V113" s="51">
        <f t="shared" si="87"/>
        <v>3750</v>
      </c>
      <c r="W113" s="94">
        <f>1</f>
        <v>1</v>
      </c>
      <c r="X113" s="94">
        <f>1</f>
        <v>1</v>
      </c>
      <c r="Y113" s="94">
        <f>1</f>
        <v>1</v>
      </c>
      <c r="Z113" s="94">
        <f>1</f>
        <v>1</v>
      </c>
      <c r="AA113" s="94">
        <f>1</f>
        <v>1</v>
      </c>
      <c r="AB113" s="94">
        <v>0</v>
      </c>
      <c r="AC113" s="94">
        <v>0</v>
      </c>
      <c r="AD113" s="94">
        <v>0</v>
      </c>
      <c r="AE113" s="94">
        <v>0</v>
      </c>
      <c r="AF113" s="94">
        <v>0</v>
      </c>
      <c r="AG113" s="94">
        <v>0</v>
      </c>
      <c r="AH113" s="94">
        <v>0</v>
      </c>
      <c r="AI113" s="94">
        <v>0</v>
      </c>
      <c r="AJ113" s="94">
        <v>0</v>
      </c>
      <c r="AK113" s="94">
        <v>0</v>
      </c>
      <c r="AL113" s="94">
        <v>0</v>
      </c>
      <c r="AM113" s="94">
        <v>0</v>
      </c>
      <c r="AN113" s="94">
        <v>0</v>
      </c>
      <c r="AO113" s="94">
        <v>0</v>
      </c>
      <c r="AP113" s="94">
        <v>0</v>
      </c>
      <c r="AQ113" s="94">
        <v>0</v>
      </c>
      <c r="AR113" s="94">
        <v>0</v>
      </c>
      <c r="AS113" s="94">
        <v>0</v>
      </c>
      <c r="AT113" s="94">
        <v>0</v>
      </c>
      <c r="AU113" s="94">
        <v>0</v>
      </c>
      <c r="AV113" s="94">
        <v>0</v>
      </c>
      <c r="AW113" s="94">
        <v>0</v>
      </c>
      <c r="AX113" s="94">
        <v>0</v>
      </c>
      <c r="AY113" s="94">
        <v>0</v>
      </c>
      <c r="AZ113" s="95">
        <v>0</v>
      </c>
      <c r="BA113" s="184"/>
    </row>
    <row r="114" spans="20:78">
      <c r="T114" s="99"/>
      <c r="U114" s="302"/>
      <c r="V114" s="51">
        <f t="shared" si="87"/>
        <v>4000</v>
      </c>
      <c r="W114" s="94">
        <f>1</f>
        <v>1</v>
      </c>
      <c r="X114" s="94">
        <f>1</f>
        <v>1</v>
      </c>
      <c r="Y114" s="94">
        <f>1</f>
        <v>1</v>
      </c>
      <c r="Z114" s="94">
        <f>1</f>
        <v>1</v>
      </c>
      <c r="AA114" s="94">
        <f>1</f>
        <v>1</v>
      </c>
      <c r="AB114" s="94">
        <v>0</v>
      </c>
      <c r="AC114" s="94">
        <v>0</v>
      </c>
      <c r="AD114" s="94">
        <v>0</v>
      </c>
      <c r="AE114" s="94">
        <v>0</v>
      </c>
      <c r="AF114" s="94">
        <v>0</v>
      </c>
      <c r="AG114" s="94">
        <v>0</v>
      </c>
      <c r="AH114" s="94">
        <v>0</v>
      </c>
      <c r="AI114" s="94">
        <v>0</v>
      </c>
      <c r="AJ114" s="94">
        <v>0</v>
      </c>
      <c r="AK114" s="94">
        <v>0</v>
      </c>
      <c r="AL114" s="94">
        <v>0</v>
      </c>
      <c r="AM114" s="94">
        <v>0</v>
      </c>
      <c r="AN114" s="94">
        <v>0</v>
      </c>
      <c r="AO114" s="94">
        <v>0</v>
      </c>
      <c r="AP114" s="94">
        <v>0</v>
      </c>
      <c r="AQ114" s="94">
        <v>0</v>
      </c>
      <c r="AR114" s="94">
        <v>0</v>
      </c>
      <c r="AS114" s="94">
        <v>0</v>
      </c>
      <c r="AT114" s="94">
        <v>0</v>
      </c>
      <c r="AU114" s="94">
        <v>0</v>
      </c>
      <c r="AV114" s="94">
        <v>0</v>
      </c>
      <c r="AW114" s="94">
        <v>0</v>
      </c>
      <c r="AX114" s="94">
        <v>0</v>
      </c>
      <c r="AY114" s="94">
        <v>0</v>
      </c>
      <c r="AZ114" s="95">
        <v>0</v>
      </c>
      <c r="BA114" s="184"/>
    </row>
    <row r="115" spans="20:78">
      <c r="T115" s="99"/>
      <c r="U115" s="302"/>
      <c r="V115" s="51">
        <f t="shared" si="87"/>
        <v>4250</v>
      </c>
      <c r="W115" s="94">
        <f>1</f>
        <v>1</v>
      </c>
      <c r="X115" s="94">
        <f>1</f>
        <v>1</v>
      </c>
      <c r="Y115" s="94">
        <f>1</f>
        <v>1</v>
      </c>
      <c r="Z115" s="94">
        <f>1</f>
        <v>1</v>
      </c>
      <c r="AA115" s="94">
        <f>1</f>
        <v>1</v>
      </c>
      <c r="AB115" s="94">
        <v>0</v>
      </c>
      <c r="AC115" s="94">
        <v>0</v>
      </c>
      <c r="AD115" s="94">
        <v>0</v>
      </c>
      <c r="AE115" s="94">
        <v>0</v>
      </c>
      <c r="AF115" s="94">
        <v>0</v>
      </c>
      <c r="AG115" s="94">
        <v>0</v>
      </c>
      <c r="AH115" s="94">
        <v>0</v>
      </c>
      <c r="AI115" s="94">
        <v>0</v>
      </c>
      <c r="AJ115" s="94">
        <v>0</v>
      </c>
      <c r="AK115" s="94">
        <v>0</v>
      </c>
      <c r="AL115" s="94">
        <v>0</v>
      </c>
      <c r="AM115" s="94">
        <v>0</v>
      </c>
      <c r="AN115" s="94">
        <v>0</v>
      </c>
      <c r="AO115" s="94">
        <v>0</v>
      </c>
      <c r="AP115" s="94">
        <v>0</v>
      </c>
      <c r="AQ115" s="94">
        <v>0</v>
      </c>
      <c r="AR115" s="94">
        <v>0</v>
      </c>
      <c r="AS115" s="94">
        <v>0</v>
      </c>
      <c r="AT115" s="94">
        <v>0</v>
      </c>
      <c r="AU115" s="94">
        <v>0</v>
      </c>
      <c r="AV115" s="94">
        <v>0</v>
      </c>
      <c r="AW115" s="94">
        <v>0</v>
      </c>
      <c r="AX115" s="94">
        <v>0</v>
      </c>
      <c r="AY115" s="94">
        <v>0</v>
      </c>
      <c r="AZ115" s="95">
        <v>0</v>
      </c>
      <c r="BA115" s="184"/>
    </row>
    <row r="116" spans="20:78">
      <c r="T116" s="99"/>
      <c r="U116" s="302"/>
      <c r="V116" s="51">
        <f t="shared" si="87"/>
        <v>4500</v>
      </c>
      <c r="W116" s="94">
        <f>1</f>
        <v>1</v>
      </c>
      <c r="X116" s="94">
        <f>1</f>
        <v>1</v>
      </c>
      <c r="Y116" s="94">
        <f>1</f>
        <v>1</v>
      </c>
      <c r="Z116" s="94">
        <f>1</f>
        <v>1</v>
      </c>
      <c r="AA116" s="94">
        <f>1</f>
        <v>1</v>
      </c>
      <c r="AB116" s="94">
        <v>0</v>
      </c>
      <c r="AC116" s="94">
        <v>0</v>
      </c>
      <c r="AD116" s="94">
        <v>0</v>
      </c>
      <c r="AE116" s="94">
        <v>0</v>
      </c>
      <c r="AF116" s="94">
        <v>0</v>
      </c>
      <c r="AG116" s="94">
        <v>0</v>
      </c>
      <c r="AH116" s="94">
        <v>0</v>
      </c>
      <c r="AI116" s="94">
        <v>0</v>
      </c>
      <c r="AJ116" s="94">
        <v>0</v>
      </c>
      <c r="AK116" s="94">
        <v>0</v>
      </c>
      <c r="AL116" s="94">
        <v>0</v>
      </c>
      <c r="AM116" s="94">
        <v>0</v>
      </c>
      <c r="AN116" s="94">
        <v>0</v>
      </c>
      <c r="AO116" s="94">
        <v>0</v>
      </c>
      <c r="AP116" s="94">
        <v>0</v>
      </c>
      <c r="AQ116" s="94">
        <v>0</v>
      </c>
      <c r="AR116" s="94">
        <v>0</v>
      </c>
      <c r="AS116" s="94">
        <v>0</v>
      </c>
      <c r="AT116" s="94">
        <v>0</v>
      </c>
      <c r="AU116" s="94">
        <v>0</v>
      </c>
      <c r="AV116" s="94">
        <v>0</v>
      </c>
      <c r="AW116" s="94">
        <v>0</v>
      </c>
      <c r="AX116" s="94">
        <v>0</v>
      </c>
      <c r="AY116" s="94">
        <v>0</v>
      </c>
      <c r="AZ116" s="95">
        <v>0</v>
      </c>
      <c r="BA116" s="184"/>
    </row>
    <row r="117" spans="20:78">
      <c r="T117" s="99"/>
      <c r="U117" s="302"/>
      <c r="V117" s="51">
        <f t="shared" si="87"/>
        <v>4750</v>
      </c>
      <c r="W117" s="94">
        <f>1</f>
        <v>1</v>
      </c>
      <c r="X117" s="94">
        <f>1</f>
        <v>1</v>
      </c>
      <c r="Y117" s="94">
        <f>1</f>
        <v>1</v>
      </c>
      <c r="Z117" s="94">
        <f>1</f>
        <v>1</v>
      </c>
      <c r="AA117" s="94">
        <f>1</f>
        <v>1</v>
      </c>
      <c r="AB117" s="94">
        <v>0</v>
      </c>
      <c r="AC117" s="94">
        <v>0</v>
      </c>
      <c r="AD117" s="94">
        <v>0</v>
      </c>
      <c r="AE117" s="94">
        <v>0</v>
      </c>
      <c r="AF117" s="94">
        <v>0</v>
      </c>
      <c r="AG117" s="94">
        <v>0</v>
      </c>
      <c r="AH117" s="94">
        <v>0</v>
      </c>
      <c r="AI117" s="94">
        <v>0</v>
      </c>
      <c r="AJ117" s="94">
        <v>0</v>
      </c>
      <c r="AK117" s="94">
        <v>0</v>
      </c>
      <c r="AL117" s="94">
        <v>0</v>
      </c>
      <c r="AM117" s="94">
        <v>0</v>
      </c>
      <c r="AN117" s="94">
        <v>0</v>
      </c>
      <c r="AO117" s="94">
        <v>0</v>
      </c>
      <c r="AP117" s="94">
        <v>0</v>
      </c>
      <c r="AQ117" s="94">
        <v>0</v>
      </c>
      <c r="AR117" s="94">
        <v>0</v>
      </c>
      <c r="AS117" s="94">
        <v>0</v>
      </c>
      <c r="AT117" s="94">
        <v>0</v>
      </c>
      <c r="AU117" s="94">
        <v>0</v>
      </c>
      <c r="AV117" s="94">
        <v>0</v>
      </c>
      <c r="AW117" s="94">
        <v>0</v>
      </c>
      <c r="AX117" s="94">
        <v>0</v>
      </c>
      <c r="AY117" s="94">
        <v>0</v>
      </c>
      <c r="AZ117" s="95">
        <v>0</v>
      </c>
      <c r="BA117" s="184"/>
    </row>
    <row r="118" spans="20:78">
      <c r="T118" s="99"/>
      <c r="U118" s="302"/>
      <c r="V118" s="51">
        <f t="shared" si="87"/>
        <v>5000</v>
      </c>
      <c r="W118" s="94">
        <f>1</f>
        <v>1</v>
      </c>
      <c r="X118" s="94">
        <f>1</f>
        <v>1</v>
      </c>
      <c r="Y118" s="94">
        <f>1</f>
        <v>1</v>
      </c>
      <c r="Z118" s="94">
        <f>1</f>
        <v>1</v>
      </c>
      <c r="AA118" s="94">
        <f>1</f>
        <v>1</v>
      </c>
      <c r="AB118" s="94">
        <v>0</v>
      </c>
      <c r="AC118" s="94">
        <v>0</v>
      </c>
      <c r="AD118" s="94">
        <v>0</v>
      </c>
      <c r="AE118" s="94">
        <v>0</v>
      </c>
      <c r="AF118" s="94">
        <v>0</v>
      </c>
      <c r="AG118" s="94">
        <v>0</v>
      </c>
      <c r="AH118" s="94">
        <v>0</v>
      </c>
      <c r="AI118" s="94">
        <v>0</v>
      </c>
      <c r="AJ118" s="94">
        <v>0</v>
      </c>
      <c r="AK118" s="94">
        <v>0</v>
      </c>
      <c r="AL118" s="94">
        <v>0</v>
      </c>
      <c r="AM118" s="94">
        <v>0</v>
      </c>
      <c r="AN118" s="94">
        <v>0</v>
      </c>
      <c r="AO118" s="94">
        <v>0</v>
      </c>
      <c r="AP118" s="94">
        <v>0</v>
      </c>
      <c r="AQ118" s="94">
        <v>0</v>
      </c>
      <c r="AR118" s="94">
        <v>0</v>
      </c>
      <c r="AS118" s="94">
        <v>0</v>
      </c>
      <c r="AT118" s="94">
        <v>0</v>
      </c>
      <c r="AU118" s="94">
        <v>0</v>
      </c>
      <c r="AV118" s="94">
        <v>0</v>
      </c>
      <c r="AW118" s="94">
        <v>0</v>
      </c>
      <c r="AX118" s="94">
        <v>0</v>
      </c>
      <c r="AY118" s="94">
        <v>0</v>
      </c>
      <c r="AZ118" s="95">
        <v>0</v>
      </c>
      <c r="BA118" s="184"/>
    </row>
    <row r="119" spans="20:78">
      <c r="T119" s="99"/>
      <c r="U119" s="302"/>
      <c r="V119" s="51">
        <f t="shared" si="87"/>
        <v>5250</v>
      </c>
      <c r="W119" s="94">
        <f>1</f>
        <v>1</v>
      </c>
      <c r="X119" s="94">
        <f>1</f>
        <v>1</v>
      </c>
      <c r="Y119" s="94">
        <f>1</f>
        <v>1</v>
      </c>
      <c r="Z119" s="94">
        <f>1</f>
        <v>1</v>
      </c>
      <c r="AA119" s="94">
        <f>1</f>
        <v>1</v>
      </c>
      <c r="AB119" s="94">
        <v>0</v>
      </c>
      <c r="AC119" s="94">
        <v>0</v>
      </c>
      <c r="AD119" s="94">
        <v>0</v>
      </c>
      <c r="AE119" s="94">
        <v>0</v>
      </c>
      <c r="AF119" s="94">
        <v>0</v>
      </c>
      <c r="AG119" s="94">
        <v>0</v>
      </c>
      <c r="AH119" s="94">
        <v>0</v>
      </c>
      <c r="AI119" s="94">
        <v>0</v>
      </c>
      <c r="AJ119" s="94">
        <v>0</v>
      </c>
      <c r="AK119" s="94">
        <v>0</v>
      </c>
      <c r="AL119" s="94">
        <v>0</v>
      </c>
      <c r="AM119" s="94">
        <v>0</v>
      </c>
      <c r="AN119" s="94">
        <v>0</v>
      </c>
      <c r="AO119" s="94">
        <v>0</v>
      </c>
      <c r="AP119" s="94">
        <v>0</v>
      </c>
      <c r="AQ119" s="94">
        <v>0</v>
      </c>
      <c r="AR119" s="94">
        <v>0</v>
      </c>
      <c r="AS119" s="94">
        <v>0</v>
      </c>
      <c r="AT119" s="94">
        <v>0</v>
      </c>
      <c r="AU119" s="94">
        <v>0</v>
      </c>
      <c r="AV119" s="94">
        <v>0</v>
      </c>
      <c r="AW119" s="94">
        <v>0</v>
      </c>
      <c r="AX119" s="94">
        <v>0</v>
      </c>
      <c r="AY119" s="94">
        <v>0</v>
      </c>
      <c r="AZ119" s="95">
        <v>0</v>
      </c>
      <c r="BA119" s="184"/>
    </row>
    <row r="120" spans="20:78">
      <c r="T120" s="99"/>
      <c r="U120" s="302"/>
      <c r="V120" s="51">
        <f t="shared" si="87"/>
        <v>5500</v>
      </c>
      <c r="W120" s="94">
        <f>1</f>
        <v>1</v>
      </c>
      <c r="X120" s="94">
        <f>1</f>
        <v>1</v>
      </c>
      <c r="Y120" s="94">
        <f>1</f>
        <v>1</v>
      </c>
      <c r="Z120" s="94">
        <f>1</f>
        <v>1</v>
      </c>
      <c r="AA120" s="94">
        <f>1</f>
        <v>1</v>
      </c>
      <c r="AB120" s="94">
        <v>0</v>
      </c>
      <c r="AC120" s="94">
        <v>0</v>
      </c>
      <c r="AD120" s="94">
        <v>0</v>
      </c>
      <c r="AE120" s="94">
        <v>0</v>
      </c>
      <c r="AF120" s="94">
        <v>0</v>
      </c>
      <c r="AG120" s="94">
        <v>0</v>
      </c>
      <c r="AH120" s="94">
        <v>0</v>
      </c>
      <c r="AI120" s="94">
        <v>0</v>
      </c>
      <c r="AJ120" s="94">
        <v>0</v>
      </c>
      <c r="AK120" s="94">
        <v>0</v>
      </c>
      <c r="AL120" s="94">
        <v>0</v>
      </c>
      <c r="AM120" s="94">
        <v>0</v>
      </c>
      <c r="AN120" s="94">
        <v>0</v>
      </c>
      <c r="AO120" s="94">
        <v>0</v>
      </c>
      <c r="AP120" s="94">
        <v>0</v>
      </c>
      <c r="AQ120" s="94">
        <v>0</v>
      </c>
      <c r="AR120" s="94">
        <v>0</v>
      </c>
      <c r="AS120" s="94">
        <v>0</v>
      </c>
      <c r="AT120" s="94">
        <v>0</v>
      </c>
      <c r="AU120" s="94">
        <v>0</v>
      </c>
      <c r="AV120" s="94">
        <v>0</v>
      </c>
      <c r="AW120" s="94">
        <v>0</v>
      </c>
      <c r="AX120" s="94">
        <v>0</v>
      </c>
      <c r="AY120" s="94">
        <v>0</v>
      </c>
      <c r="AZ120" s="95">
        <v>0</v>
      </c>
      <c r="BA120" s="184"/>
    </row>
    <row r="121" spans="20:78">
      <c r="T121" s="99"/>
      <c r="U121" s="302"/>
      <c r="V121" s="51">
        <f t="shared" si="87"/>
        <v>5750</v>
      </c>
      <c r="W121" s="94">
        <f>1</f>
        <v>1</v>
      </c>
      <c r="X121" s="94">
        <f>1</f>
        <v>1</v>
      </c>
      <c r="Y121" s="94">
        <f>1</f>
        <v>1</v>
      </c>
      <c r="Z121" s="94">
        <f>1</f>
        <v>1</v>
      </c>
      <c r="AA121" s="94">
        <f>1</f>
        <v>1</v>
      </c>
      <c r="AB121" s="94">
        <v>0</v>
      </c>
      <c r="AC121" s="94">
        <v>0</v>
      </c>
      <c r="AD121" s="94">
        <v>0</v>
      </c>
      <c r="AE121" s="94">
        <v>0</v>
      </c>
      <c r="AF121" s="94">
        <v>0</v>
      </c>
      <c r="AG121" s="94">
        <v>0</v>
      </c>
      <c r="AH121" s="94">
        <v>0</v>
      </c>
      <c r="AI121" s="94">
        <v>0</v>
      </c>
      <c r="AJ121" s="94">
        <v>0</v>
      </c>
      <c r="AK121" s="94">
        <v>0</v>
      </c>
      <c r="AL121" s="94">
        <v>0</v>
      </c>
      <c r="AM121" s="94">
        <v>0</v>
      </c>
      <c r="AN121" s="94">
        <v>0</v>
      </c>
      <c r="AO121" s="94">
        <v>0</v>
      </c>
      <c r="AP121" s="94">
        <v>0</v>
      </c>
      <c r="AQ121" s="94">
        <v>0</v>
      </c>
      <c r="AR121" s="94">
        <v>0</v>
      </c>
      <c r="AS121" s="94">
        <v>0</v>
      </c>
      <c r="AT121" s="94">
        <v>0</v>
      </c>
      <c r="AU121" s="94">
        <v>0</v>
      </c>
      <c r="AV121" s="94">
        <v>0</v>
      </c>
      <c r="AW121" s="94">
        <v>0</v>
      </c>
      <c r="AX121" s="94">
        <v>0</v>
      </c>
      <c r="AY121" s="94">
        <v>0</v>
      </c>
      <c r="AZ121" s="95">
        <v>0</v>
      </c>
      <c r="BA121" s="184"/>
    </row>
    <row r="122" spans="20:78">
      <c r="T122" s="99"/>
      <c r="U122" s="302"/>
      <c r="V122" s="51">
        <f t="shared" si="87"/>
        <v>6000</v>
      </c>
      <c r="W122" s="94">
        <f>1</f>
        <v>1</v>
      </c>
      <c r="X122" s="94">
        <f>1</f>
        <v>1</v>
      </c>
      <c r="Y122" s="94">
        <f>1</f>
        <v>1</v>
      </c>
      <c r="Z122" s="94">
        <f>1</f>
        <v>1</v>
      </c>
      <c r="AA122" s="94">
        <f>1</f>
        <v>1</v>
      </c>
      <c r="AB122" s="94">
        <v>0</v>
      </c>
      <c r="AC122" s="94">
        <v>0</v>
      </c>
      <c r="AD122" s="94">
        <v>0</v>
      </c>
      <c r="AE122" s="94">
        <v>0</v>
      </c>
      <c r="AF122" s="94">
        <v>0</v>
      </c>
      <c r="AG122" s="94">
        <v>0</v>
      </c>
      <c r="AH122" s="94">
        <v>0</v>
      </c>
      <c r="AI122" s="94">
        <v>0</v>
      </c>
      <c r="AJ122" s="94">
        <v>0</v>
      </c>
      <c r="AK122" s="94">
        <v>0</v>
      </c>
      <c r="AL122" s="94">
        <v>0</v>
      </c>
      <c r="AM122" s="94">
        <v>0</v>
      </c>
      <c r="AN122" s="94">
        <v>0</v>
      </c>
      <c r="AO122" s="94">
        <v>0</v>
      </c>
      <c r="AP122" s="94">
        <v>0</v>
      </c>
      <c r="AQ122" s="94">
        <v>0</v>
      </c>
      <c r="AR122" s="94">
        <v>0</v>
      </c>
      <c r="AS122" s="94">
        <v>0</v>
      </c>
      <c r="AT122" s="94">
        <v>0</v>
      </c>
      <c r="AU122" s="94">
        <v>0</v>
      </c>
      <c r="AV122" s="94">
        <v>0</v>
      </c>
      <c r="AW122" s="94">
        <v>0</v>
      </c>
      <c r="AX122" s="94">
        <v>0</v>
      </c>
      <c r="AY122" s="94">
        <v>0</v>
      </c>
      <c r="AZ122" s="95">
        <v>0</v>
      </c>
      <c r="BA122" s="184"/>
    </row>
    <row r="123" spans="20:78">
      <c r="T123" s="99"/>
      <c r="U123" s="302"/>
      <c r="V123" s="51">
        <f t="shared" si="87"/>
        <v>6250</v>
      </c>
      <c r="W123" s="94">
        <f>1</f>
        <v>1</v>
      </c>
      <c r="X123" s="94">
        <f>1</f>
        <v>1</v>
      </c>
      <c r="Y123" s="94">
        <f>1</f>
        <v>1</v>
      </c>
      <c r="Z123" s="94">
        <f>1</f>
        <v>1</v>
      </c>
      <c r="AA123" s="94">
        <f>1</f>
        <v>1</v>
      </c>
      <c r="AB123" s="94">
        <v>0</v>
      </c>
      <c r="AC123" s="94">
        <v>0</v>
      </c>
      <c r="AD123" s="94">
        <v>0</v>
      </c>
      <c r="AE123" s="94">
        <v>0</v>
      </c>
      <c r="AF123" s="94">
        <v>0</v>
      </c>
      <c r="AG123" s="94">
        <v>0</v>
      </c>
      <c r="AH123" s="94">
        <v>0</v>
      </c>
      <c r="AI123" s="94">
        <v>0</v>
      </c>
      <c r="AJ123" s="94">
        <v>0</v>
      </c>
      <c r="AK123" s="94">
        <v>0</v>
      </c>
      <c r="AL123" s="94">
        <v>0</v>
      </c>
      <c r="AM123" s="94">
        <v>0</v>
      </c>
      <c r="AN123" s="94">
        <v>0</v>
      </c>
      <c r="AO123" s="94">
        <v>0</v>
      </c>
      <c r="AP123" s="94">
        <v>0</v>
      </c>
      <c r="AQ123" s="94">
        <v>0</v>
      </c>
      <c r="AR123" s="94">
        <v>0</v>
      </c>
      <c r="AS123" s="94">
        <v>0</v>
      </c>
      <c r="AT123" s="94">
        <v>0</v>
      </c>
      <c r="AU123" s="94">
        <v>0</v>
      </c>
      <c r="AV123" s="94">
        <v>0</v>
      </c>
      <c r="AW123" s="94">
        <v>0</v>
      </c>
      <c r="AX123" s="94">
        <v>0</v>
      </c>
      <c r="AY123" s="94">
        <v>0</v>
      </c>
      <c r="AZ123" s="95">
        <v>0</v>
      </c>
      <c r="BA123" s="184"/>
      <c r="BC123" s="38"/>
      <c r="BD123" s="39"/>
      <c r="BY123" s="40"/>
      <c r="BZ123" s="37"/>
    </row>
    <row r="124" spans="20:78" ht="13.5" customHeight="1">
      <c r="T124" s="99"/>
      <c r="U124" s="302"/>
      <c r="V124" s="51">
        <f t="shared" si="87"/>
        <v>6500</v>
      </c>
      <c r="W124" s="94">
        <f>1</f>
        <v>1</v>
      </c>
      <c r="X124" s="94">
        <f>1</f>
        <v>1</v>
      </c>
      <c r="Y124" s="94">
        <f>1</f>
        <v>1</v>
      </c>
      <c r="Z124" s="94">
        <f>1</f>
        <v>1</v>
      </c>
      <c r="AA124" s="94">
        <f>1</f>
        <v>1</v>
      </c>
      <c r="AB124" s="94">
        <v>0</v>
      </c>
      <c r="AC124" s="94">
        <v>0</v>
      </c>
      <c r="AD124" s="94">
        <v>0</v>
      </c>
      <c r="AE124" s="94">
        <v>0</v>
      </c>
      <c r="AF124" s="94">
        <v>0</v>
      </c>
      <c r="AG124" s="94">
        <v>0</v>
      </c>
      <c r="AH124" s="94">
        <v>0</v>
      </c>
      <c r="AI124" s="94">
        <v>0</v>
      </c>
      <c r="AJ124" s="94">
        <v>0</v>
      </c>
      <c r="AK124" s="94">
        <v>0</v>
      </c>
      <c r="AL124" s="94">
        <v>0</v>
      </c>
      <c r="AM124" s="94">
        <v>0</v>
      </c>
      <c r="AN124" s="94">
        <v>0</v>
      </c>
      <c r="AO124" s="94">
        <v>0</v>
      </c>
      <c r="AP124" s="94">
        <v>0</v>
      </c>
      <c r="AQ124" s="94">
        <v>0</v>
      </c>
      <c r="AR124" s="94">
        <v>0</v>
      </c>
      <c r="AS124" s="94">
        <v>0</v>
      </c>
      <c r="AT124" s="94">
        <v>0</v>
      </c>
      <c r="AU124" s="94">
        <v>0</v>
      </c>
      <c r="AV124" s="94">
        <v>0</v>
      </c>
      <c r="AW124" s="94">
        <v>0</v>
      </c>
      <c r="AX124" s="94">
        <v>0</v>
      </c>
      <c r="AY124" s="94">
        <v>0</v>
      </c>
      <c r="AZ124" s="95">
        <v>0</v>
      </c>
      <c r="BA124" s="184"/>
      <c r="BC124" s="38"/>
      <c r="BD124" s="39"/>
      <c r="BY124" s="40"/>
      <c r="BZ124" s="37"/>
    </row>
    <row r="125" spans="20:78">
      <c r="T125" s="99"/>
      <c r="U125" s="302"/>
      <c r="V125" s="51">
        <f t="shared" si="87"/>
        <v>6750</v>
      </c>
      <c r="W125" s="94">
        <f>1</f>
        <v>1</v>
      </c>
      <c r="X125" s="94">
        <f>1</f>
        <v>1</v>
      </c>
      <c r="Y125" s="94">
        <f>1</f>
        <v>1</v>
      </c>
      <c r="Z125" s="94">
        <f>1</f>
        <v>1</v>
      </c>
      <c r="AA125" s="94">
        <f>1</f>
        <v>1</v>
      </c>
      <c r="AB125" s="94">
        <v>0</v>
      </c>
      <c r="AC125" s="94">
        <v>0</v>
      </c>
      <c r="AD125" s="94">
        <v>0</v>
      </c>
      <c r="AE125" s="94">
        <v>0</v>
      </c>
      <c r="AF125" s="94">
        <v>0</v>
      </c>
      <c r="AG125" s="94">
        <v>0</v>
      </c>
      <c r="AH125" s="94">
        <v>0</v>
      </c>
      <c r="AI125" s="94">
        <v>0</v>
      </c>
      <c r="AJ125" s="94">
        <v>0</v>
      </c>
      <c r="AK125" s="94">
        <v>0</v>
      </c>
      <c r="AL125" s="94">
        <v>0</v>
      </c>
      <c r="AM125" s="94">
        <v>0</v>
      </c>
      <c r="AN125" s="94">
        <v>0</v>
      </c>
      <c r="AO125" s="94">
        <v>0</v>
      </c>
      <c r="AP125" s="94">
        <v>0</v>
      </c>
      <c r="AQ125" s="94">
        <v>0</v>
      </c>
      <c r="AR125" s="94">
        <v>0</v>
      </c>
      <c r="AS125" s="94">
        <v>0</v>
      </c>
      <c r="AT125" s="94">
        <v>0</v>
      </c>
      <c r="AU125" s="94">
        <v>0</v>
      </c>
      <c r="AV125" s="94">
        <v>0</v>
      </c>
      <c r="AW125" s="94">
        <v>0</v>
      </c>
      <c r="AX125" s="94">
        <v>0</v>
      </c>
      <c r="AY125" s="94">
        <v>0</v>
      </c>
      <c r="AZ125" s="95">
        <v>0</v>
      </c>
      <c r="BA125" s="184"/>
      <c r="BC125" s="38"/>
      <c r="BD125" s="39"/>
      <c r="BY125" s="40"/>
      <c r="BZ125" s="37"/>
    </row>
    <row r="126" spans="20:78" ht="12.6" customHeight="1">
      <c r="T126" s="99"/>
      <c r="U126" s="302"/>
      <c r="V126" s="51">
        <f t="shared" si="87"/>
        <v>7000</v>
      </c>
      <c r="W126" s="94">
        <f>1</f>
        <v>1</v>
      </c>
      <c r="X126" s="94">
        <f>1</f>
        <v>1</v>
      </c>
      <c r="Y126" s="94">
        <f>1</f>
        <v>1</v>
      </c>
      <c r="Z126" s="94">
        <f>1</f>
        <v>1</v>
      </c>
      <c r="AA126" s="94">
        <f>1</f>
        <v>1</v>
      </c>
      <c r="AB126" s="94">
        <v>0</v>
      </c>
      <c r="AC126" s="94">
        <v>0</v>
      </c>
      <c r="AD126" s="94">
        <v>0</v>
      </c>
      <c r="AE126" s="94">
        <v>0</v>
      </c>
      <c r="AF126" s="94">
        <v>0</v>
      </c>
      <c r="AG126" s="94">
        <v>0</v>
      </c>
      <c r="AH126" s="94">
        <v>0</v>
      </c>
      <c r="AI126" s="94">
        <v>0</v>
      </c>
      <c r="AJ126" s="94">
        <v>0</v>
      </c>
      <c r="AK126" s="94">
        <v>0</v>
      </c>
      <c r="AL126" s="94">
        <v>0</v>
      </c>
      <c r="AM126" s="94">
        <v>0</v>
      </c>
      <c r="AN126" s="94">
        <v>0</v>
      </c>
      <c r="AO126" s="94">
        <v>0</v>
      </c>
      <c r="AP126" s="94">
        <v>0</v>
      </c>
      <c r="AQ126" s="94">
        <v>0</v>
      </c>
      <c r="AR126" s="94">
        <v>0</v>
      </c>
      <c r="AS126" s="94">
        <v>0</v>
      </c>
      <c r="AT126" s="94">
        <v>0</v>
      </c>
      <c r="AU126" s="94">
        <v>0</v>
      </c>
      <c r="AV126" s="94">
        <v>0</v>
      </c>
      <c r="AW126" s="94">
        <v>0</v>
      </c>
      <c r="AX126" s="94">
        <v>0</v>
      </c>
      <c r="AY126" s="94">
        <v>0</v>
      </c>
      <c r="AZ126" s="95">
        <v>0</v>
      </c>
      <c r="BA126" s="185"/>
      <c r="BC126" s="38"/>
      <c r="BD126" s="39"/>
      <c r="BY126" s="40"/>
      <c r="BZ126" s="37"/>
    </row>
    <row r="127" spans="20:78" ht="12.75" customHeight="1" thickBot="1">
      <c r="T127" s="99"/>
      <c r="U127" s="303"/>
      <c r="V127" s="57">
        <f t="shared" si="87"/>
        <v>7500</v>
      </c>
      <c r="W127" s="97">
        <f>1</f>
        <v>1</v>
      </c>
      <c r="X127" s="97">
        <f>1</f>
        <v>1</v>
      </c>
      <c r="Y127" s="97">
        <f>1</f>
        <v>1</v>
      </c>
      <c r="Z127" s="97">
        <f>1</f>
        <v>1</v>
      </c>
      <c r="AA127" s="97">
        <f>1</f>
        <v>1</v>
      </c>
      <c r="AB127" s="97">
        <v>0</v>
      </c>
      <c r="AC127" s="97">
        <v>0</v>
      </c>
      <c r="AD127" s="97">
        <v>0</v>
      </c>
      <c r="AE127" s="97">
        <v>0</v>
      </c>
      <c r="AF127" s="97">
        <v>0</v>
      </c>
      <c r="AG127" s="97">
        <v>0</v>
      </c>
      <c r="AH127" s="97">
        <v>0</v>
      </c>
      <c r="AI127" s="97">
        <v>0</v>
      </c>
      <c r="AJ127" s="97">
        <v>0</v>
      </c>
      <c r="AK127" s="97">
        <v>0</v>
      </c>
      <c r="AL127" s="97">
        <v>0</v>
      </c>
      <c r="AM127" s="97">
        <v>0</v>
      </c>
      <c r="AN127" s="97">
        <v>0</v>
      </c>
      <c r="AO127" s="97">
        <v>0</v>
      </c>
      <c r="AP127" s="97">
        <v>0</v>
      </c>
      <c r="AQ127" s="97">
        <v>0</v>
      </c>
      <c r="AR127" s="97">
        <v>0</v>
      </c>
      <c r="AS127" s="94">
        <v>0</v>
      </c>
      <c r="AT127" s="94">
        <v>0</v>
      </c>
      <c r="AU127" s="94">
        <v>0</v>
      </c>
      <c r="AV127" s="94">
        <v>0</v>
      </c>
      <c r="AW127" s="94">
        <v>0</v>
      </c>
      <c r="AX127" s="94">
        <v>0</v>
      </c>
      <c r="AY127" s="94">
        <v>0</v>
      </c>
      <c r="AZ127" s="95">
        <v>0</v>
      </c>
      <c r="BA127" s="185"/>
      <c r="BC127" s="38"/>
      <c r="BD127" s="39"/>
      <c r="BY127" s="40"/>
      <c r="BZ127" s="37"/>
    </row>
    <row r="128" spans="20:78" ht="12.75" customHeight="1">
      <c r="T128" s="99"/>
      <c r="U128" s="99"/>
      <c r="V128" s="99"/>
      <c r="W128" s="99"/>
      <c r="X128" s="99"/>
      <c r="Y128" s="99"/>
      <c r="Z128" s="99"/>
      <c r="AA128" s="99"/>
      <c r="AB128" s="99"/>
      <c r="AC128" s="99"/>
      <c r="AD128" s="99"/>
      <c r="AE128" s="99"/>
      <c r="AF128" s="99"/>
      <c r="AG128" s="99"/>
      <c r="AH128" s="99"/>
      <c r="AI128" s="99"/>
      <c r="AJ128" s="99"/>
      <c r="AK128" s="99"/>
      <c r="AL128" s="99"/>
      <c r="AM128" s="99"/>
      <c r="AN128" s="99"/>
      <c r="AO128" s="99"/>
      <c r="AP128" s="99"/>
      <c r="AQ128" s="99"/>
      <c r="AR128" s="99"/>
      <c r="AS128" s="99"/>
      <c r="AT128" s="99"/>
      <c r="AU128" s="99"/>
      <c r="AV128" s="99"/>
      <c r="AW128" s="99"/>
      <c r="AX128" s="99"/>
      <c r="AY128" s="99"/>
      <c r="AZ128" s="99"/>
      <c r="BA128" s="185"/>
      <c r="BC128" s="38"/>
      <c r="BD128" s="39"/>
      <c r="BY128" s="40"/>
      <c r="BZ128" s="37"/>
    </row>
    <row r="129" spans="20:78" ht="12.75" customHeight="1">
      <c r="BC129" s="38"/>
      <c r="BD129" s="39"/>
      <c r="BY129" s="40"/>
      <c r="BZ129" s="37"/>
    </row>
    <row r="130" spans="20:78" ht="12.75" customHeight="1">
      <c r="T130" s="325" t="s">
        <v>26</v>
      </c>
      <c r="U130" s="325"/>
      <c r="V130" s="325"/>
      <c r="W130" s="325"/>
      <c r="X130" s="325"/>
      <c r="Y130" s="325"/>
      <c r="Z130" s="325"/>
      <c r="AA130" s="325"/>
      <c r="AB130" s="325"/>
      <c r="AC130" s="325"/>
      <c r="AD130" s="325"/>
      <c r="AE130" s="325"/>
      <c r="AF130" s="325"/>
      <c r="AG130" s="325"/>
      <c r="AH130" s="325"/>
      <c r="AI130" s="325"/>
      <c r="AJ130" s="325"/>
      <c r="AK130" s="325"/>
      <c r="AL130" s="325"/>
      <c r="AM130" s="325"/>
      <c r="AN130" s="325"/>
      <c r="AO130" s="325"/>
      <c r="AP130" s="325"/>
      <c r="AQ130" s="325"/>
      <c r="AR130" s="325"/>
      <c r="AS130" s="325"/>
      <c r="AT130" s="325"/>
      <c r="AU130" s="325"/>
      <c r="AV130" s="325"/>
      <c r="AW130" s="325"/>
      <c r="AX130" s="325"/>
      <c r="AY130" s="325"/>
      <c r="AZ130" s="325"/>
      <c r="BA130" s="183"/>
      <c r="BC130" s="38"/>
      <c r="BD130" s="39"/>
      <c r="BY130" s="40"/>
      <c r="BZ130" s="37"/>
    </row>
    <row r="131" spans="20:78" ht="12.75" customHeight="1">
      <c r="T131" s="325"/>
      <c r="U131" s="325"/>
      <c r="V131" s="325"/>
      <c r="W131" s="325"/>
      <c r="X131" s="325"/>
      <c r="Y131" s="325"/>
      <c r="Z131" s="325"/>
      <c r="AA131" s="325"/>
      <c r="AB131" s="325"/>
      <c r="AC131" s="325"/>
      <c r="AD131" s="325"/>
      <c r="AE131" s="325"/>
      <c r="AF131" s="325"/>
      <c r="AG131" s="325"/>
      <c r="AH131" s="325"/>
      <c r="AI131" s="325"/>
      <c r="AJ131" s="325"/>
      <c r="AK131" s="325"/>
      <c r="AL131" s="325"/>
      <c r="AM131" s="325"/>
      <c r="AN131" s="325"/>
      <c r="AO131" s="325"/>
      <c r="AP131" s="325"/>
      <c r="AQ131" s="325"/>
      <c r="AR131" s="325"/>
      <c r="AS131" s="325"/>
      <c r="AT131" s="325"/>
      <c r="AU131" s="325"/>
      <c r="AV131" s="325"/>
      <c r="AW131" s="325"/>
      <c r="AX131" s="325"/>
      <c r="AY131" s="325"/>
      <c r="AZ131" s="325"/>
      <c r="BA131" s="183"/>
      <c r="BC131" s="38"/>
      <c r="BD131" s="39"/>
      <c r="BY131" s="40"/>
      <c r="BZ131" s="37"/>
    </row>
    <row r="132" spans="20:78" ht="12.75" customHeight="1" thickBot="1">
      <c r="T132" s="325"/>
      <c r="U132" s="325"/>
      <c r="V132" s="325"/>
      <c r="W132" s="325"/>
      <c r="X132" s="325"/>
      <c r="Y132" s="325"/>
      <c r="Z132" s="325"/>
      <c r="AA132" s="325"/>
      <c r="AB132" s="325"/>
      <c r="AC132" s="325"/>
      <c r="AD132" s="325"/>
      <c r="AE132" s="325"/>
      <c r="AF132" s="325"/>
      <c r="AG132" s="325"/>
      <c r="AH132" s="325"/>
      <c r="AI132" s="325"/>
      <c r="AJ132" s="325"/>
      <c r="AK132" s="325"/>
      <c r="AL132" s="325"/>
      <c r="AM132" s="325"/>
      <c r="AN132" s="325"/>
      <c r="AO132" s="325"/>
      <c r="AP132" s="325"/>
      <c r="AQ132" s="325"/>
      <c r="AR132" s="325"/>
      <c r="AS132" s="325"/>
      <c r="AT132" s="325"/>
      <c r="AU132" s="325"/>
      <c r="AV132" s="325"/>
      <c r="AW132" s="325"/>
      <c r="AX132" s="325"/>
      <c r="AY132" s="325"/>
      <c r="AZ132" s="325"/>
      <c r="BA132" s="183"/>
      <c r="BC132" s="38"/>
      <c r="BD132" s="39"/>
      <c r="BY132" s="40"/>
      <c r="BZ132" s="37"/>
    </row>
    <row r="133" spans="20:78" ht="12.75" customHeight="1">
      <c r="T133" s="64"/>
      <c r="U133" s="65"/>
      <c r="V133" s="65"/>
      <c r="W133" s="288" t="s">
        <v>25</v>
      </c>
      <c r="X133" s="289"/>
      <c r="Y133" s="289"/>
      <c r="Z133" s="289"/>
      <c r="AA133" s="289"/>
      <c r="AB133" s="289"/>
      <c r="AC133" s="289"/>
      <c r="AD133" s="289"/>
      <c r="AE133" s="289"/>
      <c r="AF133" s="289"/>
      <c r="AG133" s="289"/>
      <c r="AH133" s="289"/>
      <c r="AI133" s="289"/>
      <c r="AJ133" s="289"/>
      <c r="AK133" s="289"/>
      <c r="AL133" s="289"/>
      <c r="AM133" s="289"/>
      <c r="AN133" s="289"/>
      <c r="AO133" s="289"/>
      <c r="AP133" s="289"/>
      <c r="AQ133" s="289"/>
      <c r="AR133" s="289"/>
      <c r="AS133" s="289"/>
      <c r="AT133" s="289"/>
      <c r="AU133" s="289"/>
      <c r="AV133" s="289"/>
      <c r="AW133" s="289"/>
      <c r="AX133" s="289"/>
      <c r="AY133" s="289"/>
      <c r="AZ133" s="290"/>
      <c r="BA133" s="183"/>
      <c r="BC133" s="38"/>
      <c r="BD133" s="39"/>
      <c r="BY133" s="40"/>
      <c r="BZ133" s="37"/>
    </row>
    <row r="134" spans="20:78" ht="12.75" customHeight="1" thickBot="1">
      <c r="T134" s="64"/>
      <c r="U134" s="65"/>
      <c r="V134" s="65"/>
      <c r="W134" s="370" t="s">
        <v>0</v>
      </c>
      <c r="X134" s="371"/>
      <c r="Y134" s="371"/>
      <c r="Z134" s="371"/>
      <c r="AA134" s="371"/>
      <c r="AB134" s="371"/>
      <c r="AC134" s="371"/>
      <c r="AD134" s="371"/>
      <c r="AE134" s="371"/>
      <c r="AF134" s="371"/>
      <c r="AG134" s="371"/>
      <c r="AH134" s="371"/>
      <c r="AI134" s="371"/>
      <c r="AJ134" s="371"/>
      <c r="AK134" s="371"/>
      <c r="AL134" s="371"/>
      <c r="AM134" s="371"/>
      <c r="AN134" s="371"/>
      <c r="AO134" s="371"/>
      <c r="AP134" s="371"/>
      <c r="AQ134" s="371"/>
      <c r="AR134" s="371"/>
      <c r="AS134" s="371"/>
      <c r="AT134" s="371"/>
      <c r="AU134" s="371"/>
      <c r="AV134" s="371"/>
      <c r="AW134" s="371"/>
      <c r="AX134" s="371"/>
      <c r="AY134" s="371"/>
      <c r="AZ134" s="372"/>
      <c r="BA134" s="183"/>
      <c r="BC134" s="38"/>
      <c r="BD134" s="39"/>
      <c r="BY134" s="40"/>
      <c r="BZ134" s="37"/>
    </row>
    <row r="135" spans="20:78" ht="13.5" thickBot="1">
      <c r="T135" s="64"/>
      <c r="U135" s="65"/>
      <c r="V135" s="65"/>
      <c r="W135" s="175">
        <v>10</v>
      </c>
      <c r="X135" s="176">
        <v>20</v>
      </c>
      <c r="Y135" s="176">
        <v>30</v>
      </c>
      <c r="Z135" s="176">
        <v>40</v>
      </c>
      <c r="AA135" s="177">
        <v>50</v>
      </c>
      <c r="AB135" s="177">
        <v>60</v>
      </c>
      <c r="AC135" s="177">
        <v>70</v>
      </c>
      <c r="AD135" s="177">
        <v>80</v>
      </c>
      <c r="AE135" s="177">
        <v>90</v>
      </c>
      <c r="AF135" s="177">
        <v>100</v>
      </c>
      <c r="AG135" s="177">
        <v>120</v>
      </c>
      <c r="AH135" s="177">
        <v>140</v>
      </c>
      <c r="AI135" s="173">
        <v>160</v>
      </c>
      <c r="AJ135" s="173">
        <v>180</v>
      </c>
      <c r="AK135" s="173">
        <v>200</v>
      </c>
      <c r="AL135" s="173">
        <v>210</v>
      </c>
      <c r="AM135" s="173">
        <v>220</v>
      </c>
      <c r="AN135" s="173">
        <v>230</v>
      </c>
      <c r="AO135" s="173">
        <v>240</v>
      </c>
      <c r="AP135" s="173">
        <v>250</v>
      </c>
      <c r="AQ135" s="173">
        <v>260</v>
      </c>
      <c r="AR135" s="173">
        <v>270</v>
      </c>
      <c r="AS135" s="173">
        <v>280</v>
      </c>
      <c r="AT135" s="173">
        <v>290</v>
      </c>
      <c r="AU135" s="173">
        <v>300</v>
      </c>
      <c r="AV135" s="173">
        <v>310</v>
      </c>
      <c r="AW135" s="173">
        <v>320</v>
      </c>
      <c r="AX135" s="173">
        <v>330</v>
      </c>
      <c r="AY135" s="173">
        <v>340</v>
      </c>
      <c r="AZ135" s="174">
        <v>350</v>
      </c>
      <c r="BA135" s="183"/>
      <c r="BC135" s="38"/>
      <c r="BD135" s="39"/>
      <c r="BY135" s="40"/>
      <c r="BZ135" s="37"/>
    </row>
    <row r="136" spans="20:78">
      <c r="T136" s="64"/>
      <c r="U136" s="301" t="s">
        <v>1</v>
      </c>
      <c r="V136" s="178">
        <v>500</v>
      </c>
      <c r="W136" s="90">
        <f t="shared" ref="W136:W144" si="88">ROUND(14.7*128/W39,0)</f>
        <v>128</v>
      </c>
      <c r="X136" s="91">
        <f t="shared" ref="X136:AZ136" si="89">ROUND(14.7*128/X39,0)</f>
        <v>128</v>
      </c>
      <c r="Y136" s="91">
        <f t="shared" si="89"/>
        <v>128</v>
      </c>
      <c r="Z136" s="91">
        <f t="shared" si="89"/>
        <v>128</v>
      </c>
      <c r="AA136" s="91">
        <f t="shared" si="89"/>
        <v>128</v>
      </c>
      <c r="AB136" s="91">
        <f t="shared" si="89"/>
        <v>128</v>
      </c>
      <c r="AC136" s="91">
        <f t="shared" si="89"/>
        <v>128</v>
      </c>
      <c r="AD136" s="91">
        <f t="shared" si="89"/>
        <v>128</v>
      </c>
      <c r="AE136" s="91">
        <f t="shared" si="89"/>
        <v>131</v>
      </c>
      <c r="AF136" s="91">
        <f t="shared" si="89"/>
        <v>138</v>
      </c>
      <c r="AG136" s="91">
        <f t="shared" si="89"/>
        <v>141</v>
      </c>
      <c r="AH136" s="91">
        <f t="shared" si="89"/>
        <v>143</v>
      </c>
      <c r="AI136" s="91">
        <f t="shared" si="89"/>
        <v>146</v>
      </c>
      <c r="AJ136" s="91">
        <f t="shared" si="89"/>
        <v>149</v>
      </c>
      <c r="AK136" s="91">
        <f t="shared" si="89"/>
        <v>151</v>
      </c>
      <c r="AL136" s="91">
        <f t="shared" si="89"/>
        <v>153</v>
      </c>
      <c r="AM136" s="91">
        <f t="shared" si="89"/>
        <v>153</v>
      </c>
      <c r="AN136" s="91">
        <f t="shared" si="89"/>
        <v>154</v>
      </c>
      <c r="AO136" s="91">
        <f t="shared" si="89"/>
        <v>154</v>
      </c>
      <c r="AP136" s="91">
        <f t="shared" si="89"/>
        <v>155</v>
      </c>
      <c r="AQ136" s="91">
        <f t="shared" si="89"/>
        <v>155</v>
      </c>
      <c r="AR136" s="91">
        <f t="shared" si="89"/>
        <v>155</v>
      </c>
      <c r="AS136" s="91">
        <f t="shared" si="89"/>
        <v>155</v>
      </c>
      <c r="AT136" s="91">
        <f t="shared" si="89"/>
        <v>155</v>
      </c>
      <c r="AU136" s="91">
        <f t="shared" si="89"/>
        <v>155</v>
      </c>
      <c r="AV136" s="91">
        <f t="shared" si="89"/>
        <v>155</v>
      </c>
      <c r="AW136" s="91">
        <f t="shared" si="89"/>
        <v>155</v>
      </c>
      <c r="AX136" s="91">
        <f t="shared" si="89"/>
        <v>155</v>
      </c>
      <c r="AY136" s="91">
        <f t="shared" si="89"/>
        <v>155</v>
      </c>
      <c r="AZ136" s="92">
        <f t="shared" si="89"/>
        <v>155</v>
      </c>
      <c r="BA136" s="183"/>
      <c r="BC136" s="38"/>
      <c r="BD136" s="39"/>
      <c r="BY136" s="40"/>
      <c r="BZ136" s="37"/>
    </row>
    <row r="137" spans="20:78">
      <c r="T137" s="64"/>
      <c r="U137" s="302">
        <v>0</v>
      </c>
      <c r="V137" s="179">
        <v>1000</v>
      </c>
      <c r="W137" s="93">
        <f t="shared" si="88"/>
        <v>128</v>
      </c>
      <c r="X137" s="94">
        <f t="shared" ref="X137:AP137" si="90">ROUND(14.7*128/X40,0)</f>
        <v>128</v>
      </c>
      <c r="Y137" s="94">
        <f t="shared" si="90"/>
        <v>128</v>
      </c>
      <c r="Z137" s="94">
        <f t="shared" si="90"/>
        <v>128</v>
      </c>
      <c r="AA137" s="94">
        <f t="shared" si="90"/>
        <v>128</v>
      </c>
      <c r="AB137" s="94">
        <f t="shared" si="90"/>
        <v>128</v>
      </c>
      <c r="AC137" s="94">
        <f t="shared" si="90"/>
        <v>128</v>
      </c>
      <c r="AD137" s="94">
        <f t="shared" si="90"/>
        <v>128</v>
      </c>
      <c r="AE137" s="94">
        <f t="shared" si="90"/>
        <v>131</v>
      </c>
      <c r="AF137" s="94">
        <f t="shared" si="90"/>
        <v>138</v>
      </c>
      <c r="AG137" s="94">
        <f t="shared" si="90"/>
        <v>141</v>
      </c>
      <c r="AH137" s="94">
        <f t="shared" si="90"/>
        <v>144</v>
      </c>
      <c r="AI137" s="94">
        <f t="shared" si="90"/>
        <v>147</v>
      </c>
      <c r="AJ137" s="94">
        <f t="shared" si="90"/>
        <v>150</v>
      </c>
      <c r="AK137" s="94">
        <f t="shared" si="90"/>
        <v>152</v>
      </c>
      <c r="AL137" s="94">
        <f t="shared" si="90"/>
        <v>154</v>
      </c>
      <c r="AM137" s="94">
        <f t="shared" si="90"/>
        <v>154</v>
      </c>
      <c r="AN137" s="94">
        <f t="shared" si="90"/>
        <v>155</v>
      </c>
      <c r="AO137" s="94">
        <f t="shared" si="90"/>
        <v>155</v>
      </c>
      <c r="AP137" s="94">
        <f t="shared" si="90"/>
        <v>156</v>
      </c>
      <c r="AQ137" s="94">
        <f t="shared" ref="AQ137:AZ144" si="91">ROUND(14.7*128/AQ40,0)</f>
        <v>156</v>
      </c>
      <c r="AR137" s="94">
        <f t="shared" si="91"/>
        <v>156</v>
      </c>
      <c r="AS137" s="94">
        <f t="shared" si="91"/>
        <v>156</v>
      </c>
      <c r="AT137" s="94">
        <f t="shared" si="91"/>
        <v>156</v>
      </c>
      <c r="AU137" s="94">
        <f t="shared" si="91"/>
        <v>156</v>
      </c>
      <c r="AV137" s="94">
        <f t="shared" si="91"/>
        <v>156</v>
      </c>
      <c r="AW137" s="94">
        <f t="shared" si="91"/>
        <v>156</v>
      </c>
      <c r="AX137" s="94">
        <f t="shared" si="91"/>
        <v>156</v>
      </c>
      <c r="AY137" s="94">
        <f t="shared" si="91"/>
        <v>156</v>
      </c>
      <c r="AZ137" s="95">
        <f t="shared" si="91"/>
        <v>156</v>
      </c>
      <c r="BA137" s="183"/>
      <c r="BC137" s="38"/>
      <c r="BD137" s="39"/>
      <c r="BY137" s="40"/>
      <c r="BZ137" s="37"/>
    </row>
    <row r="138" spans="20:78">
      <c r="T138" s="64"/>
      <c r="U138" s="302">
        <v>0</v>
      </c>
      <c r="V138" s="180">
        <v>1500</v>
      </c>
      <c r="W138" s="93">
        <f t="shared" si="88"/>
        <v>128</v>
      </c>
      <c r="X138" s="94">
        <f t="shared" ref="X138:AG138" si="92">ROUND(14.7*128/X41,0)</f>
        <v>128</v>
      </c>
      <c r="Y138" s="94">
        <f t="shared" si="92"/>
        <v>128</v>
      </c>
      <c r="Z138" s="94">
        <f t="shared" si="92"/>
        <v>128</v>
      </c>
      <c r="AA138" s="94">
        <f t="shared" si="92"/>
        <v>128</v>
      </c>
      <c r="AB138" s="94">
        <f t="shared" si="92"/>
        <v>128</v>
      </c>
      <c r="AC138" s="94">
        <f t="shared" si="92"/>
        <v>128</v>
      </c>
      <c r="AD138" s="94">
        <f t="shared" si="92"/>
        <v>128</v>
      </c>
      <c r="AE138" s="94">
        <f t="shared" si="92"/>
        <v>131</v>
      </c>
      <c r="AF138" s="94">
        <f t="shared" si="92"/>
        <v>137</v>
      </c>
      <c r="AG138" s="94">
        <f t="shared" si="92"/>
        <v>142</v>
      </c>
      <c r="AH138" s="94">
        <f t="shared" ref="AH138:AN160" si="93">ROUND(14.7*128/AH41,0)</f>
        <v>147</v>
      </c>
      <c r="AI138" s="94">
        <f t="shared" ref="AI138:AP144" si="94">ROUND(14.7*128/AI41,0)</f>
        <v>150</v>
      </c>
      <c r="AJ138" s="94">
        <f t="shared" si="94"/>
        <v>154</v>
      </c>
      <c r="AK138" s="94">
        <f t="shared" si="94"/>
        <v>156</v>
      </c>
      <c r="AL138" s="94">
        <f t="shared" si="94"/>
        <v>158</v>
      </c>
      <c r="AM138" s="94">
        <f t="shared" si="94"/>
        <v>158</v>
      </c>
      <c r="AN138" s="94">
        <f t="shared" si="94"/>
        <v>159</v>
      </c>
      <c r="AO138" s="94">
        <f t="shared" si="94"/>
        <v>159</v>
      </c>
      <c r="AP138" s="94">
        <f t="shared" si="94"/>
        <v>160</v>
      </c>
      <c r="AQ138" s="94">
        <f t="shared" si="91"/>
        <v>160</v>
      </c>
      <c r="AR138" s="94">
        <f t="shared" si="91"/>
        <v>160</v>
      </c>
      <c r="AS138" s="94">
        <f t="shared" si="91"/>
        <v>160</v>
      </c>
      <c r="AT138" s="94">
        <f t="shared" si="91"/>
        <v>160</v>
      </c>
      <c r="AU138" s="94">
        <f t="shared" ref="AU138:AU144" si="95">ROUND(14.7*128/AU41,0)</f>
        <v>160</v>
      </c>
      <c r="AV138" s="94">
        <f t="shared" si="91"/>
        <v>160</v>
      </c>
      <c r="AW138" s="94">
        <f t="shared" si="91"/>
        <v>160</v>
      </c>
      <c r="AX138" s="94">
        <f t="shared" si="91"/>
        <v>160</v>
      </c>
      <c r="AY138" s="94">
        <f t="shared" si="91"/>
        <v>160</v>
      </c>
      <c r="AZ138" s="95">
        <f t="shared" si="91"/>
        <v>160</v>
      </c>
      <c r="BA138" s="183"/>
      <c r="BC138" s="38"/>
      <c r="BD138" s="39"/>
      <c r="BY138" s="40"/>
      <c r="BZ138" s="37"/>
    </row>
    <row r="139" spans="20:78">
      <c r="T139" s="64"/>
      <c r="U139" s="302">
        <v>0</v>
      </c>
      <c r="V139" s="180">
        <v>2000</v>
      </c>
      <c r="W139" s="93">
        <f t="shared" si="88"/>
        <v>128</v>
      </c>
      <c r="X139" s="94">
        <f t="shared" ref="X139:AG139" si="96">ROUND(14.7*128/X42,0)</f>
        <v>128</v>
      </c>
      <c r="Y139" s="94">
        <f t="shared" si="96"/>
        <v>128</v>
      </c>
      <c r="Z139" s="94">
        <f t="shared" si="96"/>
        <v>128</v>
      </c>
      <c r="AA139" s="94">
        <f t="shared" si="96"/>
        <v>128</v>
      </c>
      <c r="AB139" s="94">
        <f t="shared" si="96"/>
        <v>128</v>
      </c>
      <c r="AC139" s="94">
        <f t="shared" si="96"/>
        <v>128</v>
      </c>
      <c r="AD139" s="94">
        <f t="shared" si="96"/>
        <v>128</v>
      </c>
      <c r="AE139" s="94">
        <f t="shared" si="96"/>
        <v>131</v>
      </c>
      <c r="AF139" s="94">
        <f t="shared" si="96"/>
        <v>137</v>
      </c>
      <c r="AG139" s="94">
        <f t="shared" si="96"/>
        <v>144</v>
      </c>
      <c r="AH139" s="94">
        <f t="shared" si="93"/>
        <v>150</v>
      </c>
      <c r="AI139" s="94">
        <f t="shared" si="94"/>
        <v>155</v>
      </c>
      <c r="AJ139" s="94">
        <f t="shared" si="94"/>
        <v>159</v>
      </c>
      <c r="AK139" s="94">
        <f t="shared" si="94"/>
        <v>161</v>
      </c>
      <c r="AL139" s="94">
        <f t="shared" si="94"/>
        <v>163</v>
      </c>
      <c r="AM139" s="94">
        <f t="shared" si="94"/>
        <v>163</v>
      </c>
      <c r="AN139" s="94">
        <f t="shared" si="94"/>
        <v>164</v>
      </c>
      <c r="AO139" s="94">
        <f t="shared" si="94"/>
        <v>164</v>
      </c>
      <c r="AP139" s="94">
        <f t="shared" si="94"/>
        <v>165</v>
      </c>
      <c r="AQ139" s="94">
        <f t="shared" si="91"/>
        <v>165</v>
      </c>
      <c r="AR139" s="94">
        <f t="shared" si="91"/>
        <v>165</v>
      </c>
      <c r="AS139" s="94">
        <f t="shared" si="91"/>
        <v>165</v>
      </c>
      <c r="AT139" s="94">
        <f t="shared" si="91"/>
        <v>165</v>
      </c>
      <c r="AU139" s="94">
        <f t="shared" si="95"/>
        <v>165</v>
      </c>
      <c r="AV139" s="94">
        <f t="shared" si="91"/>
        <v>165</v>
      </c>
      <c r="AW139" s="94">
        <f t="shared" si="91"/>
        <v>165</v>
      </c>
      <c r="AX139" s="94">
        <f t="shared" si="91"/>
        <v>165</v>
      </c>
      <c r="AY139" s="94">
        <f t="shared" si="91"/>
        <v>165</v>
      </c>
      <c r="AZ139" s="95">
        <f t="shared" si="91"/>
        <v>165</v>
      </c>
      <c r="BA139" s="183"/>
      <c r="BC139" s="38"/>
      <c r="BD139" s="39"/>
      <c r="BY139" s="40"/>
      <c r="BZ139" s="37"/>
    </row>
    <row r="140" spans="20:78">
      <c r="T140" s="64"/>
      <c r="U140" s="302">
        <v>0</v>
      </c>
      <c r="V140" s="180">
        <v>2250</v>
      </c>
      <c r="W140" s="93">
        <f t="shared" si="88"/>
        <v>128</v>
      </c>
      <c r="X140" s="94">
        <f t="shared" ref="X140:AG140" si="97">ROUND(14.7*128/X43,0)</f>
        <v>128</v>
      </c>
      <c r="Y140" s="94">
        <f t="shared" si="97"/>
        <v>128</v>
      </c>
      <c r="Z140" s="94">
        <f t="shared" si="97"/>
        <v>128</v>
      </c>
      <c r="AA140" s="94">
        <f t="shared" si="97"/>
        <v>128</v>
      </c>
      <c r="AB140" s="94">
        <f t="shared" si="97"/>
        <v>128</v>
      </c>
      <c r="AC140" s="94">
        <f t="shared" si="97"/>
        <v>128</v>
      </c>
      <c r="AD140" s="94">
        <f t="shared" si="97"/>
        <v>128</v>
      </c>
      <c r="AE140" s="94">
        <f t="shared" si="97"/>
        <v>132</v>
      </c>
      <c r="AF140" s="94">
        <f t="shared" si="97"/>
        <v>138</v>
      </c>
      <c r="AG140" s="94">
        <f t="shared" si="97"/>
        <v>146</v>
      </c>
      <c r="AH140" s="94">
        <f t="shared" si="93"/>
        <v>152</v>
      </c>
      <c r="AI140" s="94">
        <f t="shared" si="94"/>
        <v>157</v>
      </c>
      <c r="AJ140" s="94">
        <f t="shared" si="94"/>
        <v>161</v>
      </c>
      <c r="AK140" s="94">
        <f t="shared" si="94"/>
        <v>164</v>
      </c>
      <c r="AL140" s="94">
        <f t="shared" si="94"/>
        <v>166</v>
      </c>
      <c r="AM140" s="94">
        <f t="shared" si="94"/>
        <v>167</v>
      </c>
      <c r="AN140" s="94">
        <f t="shared" si="94"/>
        <v>167</v>
      </c>
      <c r="AO140" s="94">
        <f t="shared" si="94"/>
        <v>168</v>
      </c>
      <c r="AP140" s="94">
        <f t="shared" si="94"/>
        <v>168</v>
      </c>
      <c r="AQ140" s="94">
        <f t="shared" si="91"/>
        <v>168</v>
      </c>
      <c r="AR140" s="94">
        <f t="shared" si="91"/>
        <v>168</v>
      </c>
      <c r="AS140" s="94">
        <f t="shared" si="91"/>
        <v>168</v>
      </c>
      <c r="AT140" s="94">
        <f t="shared" si="91"/>
        <v>168</v>
      </c>
      <c r="AU140" s="94">
        <f t="shared" si="95"/>
        <v>168</v>
      </c>
      <c r="AV140" s="94">
        <f t="shared" si="91"/>
        <v>168</v>
      </c>
      <c r="AW140" s="94">
        <f t="shared" si="91"/>
        <v>168</v>
      </c>
      <c r="AX140" s="94">
        <f t="shared" si="91"/>
        <v>168</v>
      </c>
      <c r="AY140" s="94">
        <f t="shared" si="91"/>
        <v>168</v>
      </c>
      <c r="AZ140" s="95">
        <f t="shared" si="91"/>
        <v>168</v>
      </c>
      <c r="BA140" s="183"/>
      <c r="BC140" s="38"/>
      <c r="BD140" s="39"/>
      <c r="BY140" s="40"/>
      <c r="BZ140" s="37"/>
    </row>
    <row r="141" spans="20:78">
      <c r="T141" s="64"/>
      <c r="U141" s="302">
        <v>0</v>
      </c>
      <c r="V141" s="181">
        <v>2500</v>
      </c>
      <c r="W141" s="93">
        <f t="shared" si="88"/>
        <v>128</v>
      </c>
      <c r="X141" s="94">
        <f t="shared" ref="X141:AG141" si="98">ROUND(14.7*128/X44,0)</f>
        <v>128</v>
      </c>
      <c r="Y141" s="94">
        <f t="shared" si="98"/>
        <v>128</v>
      </c>
      <c r="Z141" s="94">
        <f t="shared" si="98"/>
        <v>128</v>
      </c>
      <c r="AA141" s="94">
        <f t="shared" si="98"/>
        <v>128</v>
      </c>
      <c r="AB141" s="94">
        <f t="shared" si="98"/>
        <v>128</v>
      </c>
      <c r="AC141" s="94">
        <f t="shared" si="98"/>
        <v>128</v>
      </c>
      <c r="AD141" s="94">
        <f t="shared" si="98"/>
        <v>128</v>
      </c>
      <c r="AE141" s="94">
        <f t="shared" si="98"/>
        <v>132</v>
      </c>
      <c r="AF141" s="94">
        <f t="shared" si="98"/>
        <v>138</v>
      </c>
      <c r="AG141" s="94">
        <f t="shared" si="98"/>
        <v>147</v>
      </c>
      <c r="AH141" s="94">
        <f t="shared" si="93"/>
        <v>154</v>
      </c>
      <c r="AI141" s="94">
        <f t="shared" si="94"/>
        <v>159</v>
      </c>
      <c r="AJ141" s="94">
        <f t="shared" si="94"/>
        <v>164</v>
      </c>
      <c r="AK141" s="94">
        <f t="shared" si="94"/>
        <v>167</v>
      </c>
      <c r="AL141" s="94">
        <f t="shared" si="94"/>
        <v>169</v>
      </c>
      <c r="AM141" s="94">
        <f t="shared" si="94"/>
        <v>170</v>
      </c>
      <c r="AN141" s="94">
        <f t="shared" si="94"/>
        <v>171</v>
      </c>
      <c r="AO141" s="94">
        <f t="shared" si="94"/>
        <v>171</v>
      </c>
      <c r="AP141" s="94">
        <f t="shared" si="94"/>
        <v>172</v>
      </c>
      <c r="AQ141" s="94">
        <f t="shared" si="91"/>
        <v>172</v>
      </c>
      <c r="AR141" s="94">
        <f t="shared" si="91"/>
        <v>172</v>
      </c>
      <c r="AS141" s="94">
        <f t="shared" si="91"/>
        <v>172</v>
      </c>
      <c r="AT141" s="94">
        <f t="shared" si="91"/>
        <v>172</v>
      </c>
      <c r="AU141" s="94">
        <f t="shared" si="95"/>
        <v>172</v>
      </c>
      <c r="AV141" s="94">
        <f t="shared" si="91"/>
        <v>172</v>
      </c>
      <c r="AW141" s="94">
        <f t="shared" si="91"/>
        <v>172</v>
      </c>
      <c r="AX141" s="94">
        <f t="shared" si="91"/>
        <v>172</v>
      </c>
      <c r="AY141" s="94">
        <f t="shared" si="91"/>
        <v>172</v>
      </c>
      <c r="AZ141" s="95">
        <f t="shared" si="91"/>
        <v>172</v>
      </c>
      <c r="BA141" s="183"/>
      <c r="BC141" s="38"/>
      <c r="BD141" s="39"/>
      <c r="BY141" s="40"/>
      <c r="BZ141" s="37"/>
    </row>
    <row r="142" spans="20:78">
      <c r="T142" s="64"/>
      <c r="U142" s="302">
        <v>0</v>
      </c>
      <c r="V142" s="181">
        <v>2750</v>
      </c>
      <c r="W142" s="93">
        <f t="shared" si="88"/>
        <v>128</v>
      </c>
      <c r="X142" s="94">
        <f t="shared" ref="X142:AG142" si="99">ROUND(14.7*128/X45,0)</f>
        <v>128</v>
      </c>
      <c r="Y142" s="94">
        <f t="shared" si="99"/>
        <v>128</v>
      </c>
      <c r="Z142" s="94">
        <f t="shared" si="99"/>
        <v>128</v>
      </c>
      <c r="AA142" s="94">
        <f t="shared" si="99"/>
        <v>128</v>
      </c>
      <c r="AB142" s="94">
        <f t="shared" si="99"/>
        <v>128</v>
      </c>
      <c r="AC142" s="94">
        <f t="shared" si="99"/>
        <v>128</v>
      </c>
      <c r="AD142" s="94">
        <f t="shared" si="99"/>
        <v>128</v>
      </c>
      <c r="AE142" s="94">
        <f t="shared" si="99"/>
        <v>133</v>
      </c>
      <c r="AF142" s="94">
        <f t="shared" si="99"/>
        <v>139</v>
      </c>
      <c r="AG142" s="94">
        <f t="shared" si="99"/>
        <v>149</v>
      </c>
      <c r="AH142" s="94">
        <f t="shared" si="93"/>
        <v>156</v>
      </c>
      <c r="AI142" s="94">
        <f t="shared" si="94"/>
        <v>161</v>
      </c>
      <c r="AJ142" s="94">
        <f t="shared" si="94"/>
        <v>167</v>
      </c>
      <c r="AK142" s="94">
        <f t="shared" si="94"/>
        <v>169</v>
      </c>
      <c r="AL142" s="94">
        <f t="shared" si="94"/>
        <v>172</v>
      </c>
      <c r="AM142" s="94">
        <f t="shared" si="94"/>
        <v>172</v>
      </c>
      <c r="AN142" s="94">
        <f t="shared" si="94"/>
        <v>173</v>
      </c>
      <c r="AO142" s="94">
        <f t="shared" si="94"/>
        <v>174</v>
      </c>
      <c r="AP142" s="94">
        <f t="shared" si="94"/>
        <v>175</v>
      </c>
      <c r="AQ142" s="94">
        <f t="shared" si="91"/>
        <v>175</v>
      </c>
      <c r="AR142" s="94">
        <f t="shared" si="91"/>
        <v>175</v>
      </c>
      <c r="AS142" s="94">
        <f t="shared" si="91"/>
        <v>175</v>
      </c>
      <c r="AT142" s="94">
        <f t="shared" si="91"/>
        <v>175</v>
      </c>
      <c r="AU142" s="94">
        <f t="shared" si="95"/>
        <v>175</v>
      </c>
      <c r="AV142" s="94">
        <f t="shared" si="91"/>
        <v>175</v>
      </c>
      <c r="AW142" s="94">
        <f t="shared" si="91"/>
        <v>175</v>
      </c>
      <c r="AX142" s="94">
        <f t="shared" si="91"/>
        <v>175</v>
      </c>
      <c r="AY142" s="94">
        <f t="shared" si="91"/>
        <v>175</v>
      </c>
      <c r="AZ142" s="95">
        <f t="shared" si="91"/>
        <v>175</v>
      </c>
      <c r="BA142" s="183"/>
      <c r="BC142" s="38"/>
      <c r="BD142" s="39"/>
      <c r="BY142" s="40"/>
      <c r="BZ142" s="37"/>
    </row>
    <row r="143" spans="20:78">
      <c r="T143" s="64"/>
      <c r="U143" s="302">
        <v>0</v>
      </c>
      <c r="V143" s="181">
        <v>3000</v>
      </c>
      <c r="W143" s="93">
        <f t="shared" si="88"/>
        <v>128</v>
      </c>
      <c r="X143" s="94">
        <f t="shared" ref="X143:AG143" si="100">ROUND(14.7*128/X46,0)</f>
        <v>128</v>
      </c>
      <c r="Y143" s="94">
        <f t="shared" si="100"/>
        <v>128</v>
      </c>
      <c r="Z143" s="94">
        <f t="shared" si="100"/>
        <v>128</v>
      </c>
      <c r="AA143" s="94">
        <f t="shared" si="100"/>
        <v>128</v>
      </c>
      <c r="AB143" s="94">
        <f t="shared" si="100"/>
        <v>128</v>
      </c>
      <c r="AC143" s="94">
        <f t="shared" si="100"/>
        <v>128</v>
      </c>
      <c r="AD143" s="94">
        <f t="shared" si="100"/>
        <v>128</v>
      </c>
      <c r="AE143" s="94">
        <f t="shared" si="100"/>
        <v>133</v>
      </c>
      <c r="AF143" s="94">
        <f t="shared" si="100"/>
        <v>140</v>
      </c>
      <c r="AG143" s="94">
        <f t="shared" si="100"/>
        <v>150</v>
      </c>
      <c r="AH143" s="94">
        <f t="shared" si="93"/>
        <v>158</v>
      </c>
      <c r="AI143" s="94">
        <f t="shared" si="94"/>
        <v>164</v>
      </c>
      <c r="AJ143" s="94">
        <f t="shared" si="94"/>
        <v>168</v>
      </c>
      <c r="AK143" s="94">
        <f t="shared" si="94"/>
        <v>171</v>
      </c>
      <c r="AL143" s="94">
        <f t="shared" si="94"/>
        <v>174</v>
      </c>
      <c r="AM143" s="94">
        <f t="shared" si="94"/>
        <v>175</v>
      </c>
      <c r="AN143" s="94">
        <f t="shared" si="94"/>
        <v>174</v>
      </c>
      <c r="AO143" s="94">
        <f t="shared" si="94"/>
        <v>177</v>
      </c>
      <c r="AP143" s="94">
        <f t="shared" si="94"/>
        <v>178</v>
      </c>
      <c r="AQ143" s="94">
        <f t="shared" si="91"/>
        <v>178</v>
      </c>
      <c r="AR143" s="94">
        <f t="shared" si="91"/>
        <v>178</v>
      </c>
      <c r="AS143" s="94">
        <f t="shared" si="91"/>
        <v>178</v>
      </c>
      <c r="AT143" s="94">
        <f t="shared" si="91"/>
        <v>178</v>
      </c>
      <c r="AU143" s="94">
        <f t="shared" si="95"/>
        <v>178</v>
      </c>
      <c r="AV143" s="94">
        <f t="shared" si="91"/>
        <v>178</v>
      </c>
      <c r="AW143" s="94">
        <f t="shared" si="91"/>
        <v>178</v>
      </c>
      <c r="AX143" s="94">
        <f t="shared" si="91"/>
        <v>178</v>
      </c>
      <c r="AY143" s="94">
        <f t="shared" si="91"/>
        <v>178</v>
      </c>
      <c r="AZ143" s="95">
        <f t="shared" si="91"/>
        <v>178</v>
      </c>
      <c r="BA143" s="183"/>
      <c r="BC143" s="38"/>
      <c r="BD143" s="39"/>
      <c r="BY143" s="40"/>
      <c r="BZ143" s="37"/>
    </row>
    <row r="144" spans="20:78">
      <c r="T144" s="64"/>
      <c r="U144" s="302">
        <v>0</v>
      </c>
      <c r="V144" s="181">
        <v>3250</v>
      </c>
      <c r="W144" s="93">
        <f t="shared" si="88"/>
        <v>128</v>
      </c>
      <c r="X144" s="94">
        <f t="shared" ref="X144:AG144" si="101">ROUND(14.7*128/X47,0)</f>
        <v>128</v>
      </c>
      <c r="Y144" s="94">
        <f t="shared" si="101"/>
        <v>128</v>
      </c>
      <c r="Z144" s="94">
        <f t="shared" si="101"/>
        <v>128</v>
      </c>
      <c r="AA144" s="94">
        <f t="shared" si="101"/>
        <v>128</v>
      </c>
      <c r="AB144" s="94">
        <f t="shared" si="101"/>
        <v>128</v>
      </c>
      <c r="AC144" s="94">
        <f t="shared" si="101"/>
        <v>128</v>
      </c>
      <c r="AD144" s="94">
        <f t="shared" si="101"/>
        <v>128</v>
      </c>
      <c r="AE144" s="94">
        <f t="shared" si="101"/>
        <v>133</v>
      </c>
      <c r="AF144" s="94">
        <f t="shared" si="101"/>
        <v>142</v>
      </c>
      <c r="AG144" s="94">
        <f t="shared" si="101"/>
        <v>152</v>
      </c>
      <c r="AH144" s="94">
        <f t="shared" si="93"/>
        <v>160</v>
      </c>
      <c r="AI144" s="94">
        <f t="shared" si="94"/>
        <v>166</v>
      </c>
      <c r="AJ144" s="94">
        <f t="shared" si="94"/>
        <v>170</v>
      </c>
      <c r="AK144" s="94">
        <f t="shared" si="94"/>
        <v>173</v>
      </c>
      <c r="AL144" s="94">
        <f t="shared" si="94"/>
        <v>176</v>
      </c>
      <c r="AM144" s="94">
        <f t="shared" si="94"/>
        <v>175</v>
      </c>
      <c r="AN144" s="94">
        <f t="shared" si="94"/>
        <v>176</v>
      </c>
      <c r="AO144" s="94">
        <f t="shared" si="94"/>
        <v>179</v>
      </c>
      <c r="AP144" s="94">
        <f t="shared" si="94"/>
        <v>179</v>
      </c>
      <c r="AQ144" s="94">
        <f t="shared" si="91"/>
        <v>180</v>
      </c>
      <c r="AR144" s="94">
        <f t="shared" si="91"/>
        <v>180</v>
      </c>
      <c r="AS144" s="94">
        <f t="shared" si="91"/>
        <v>180</v>
      </c>
      <c r="AT144" s="94">
        <f t="shared" si="91"/>
        <v>180</v>
      </c>
      <c r="AU144" s="94">
        <f t="shared" si="95"/>
        <v>180</v>
      </c>
      <c r="AV144" s="94">
        <f t="shared" si="91"/>
        <v>180</v>
      </c>
      <c r="AW144" s="94">
        <f t="shared" si="91"/>
        <v>180</v>
      </c>
      <c r="AX144" s="94">
        <f t="shared" si="91"/>
        <v>180</v>
      </c>
      <c r="AY144" s="94">
        <f t="shared" si="91"/>
        <v>180</v>
      </c>
      <c r="AZ144" s="95">
        <f t="shared" si="91"/>
        <v>180</v>
      </c>
      <c r="BA144" s="183"/>
      <c r="BC144" s="38"/>
      <c r="BD144" s="39"/>
      <c r="BY144" s="40"/>
      <c r="BZ144" s="37"/>
    </row>
    <row r="145" spans="20:78">
      <c r="T145" s="64"/>
      <c r="U145" s="302"/>
      <c r="V145" s="181">
        <v>3500</v>
      </c>
      <c r="W145" s="93">
        <f t="shared" ref="W145:AZ145" si="102">ROUND(14.7*128/W48,0)</f>
        <v>128</v>
      </c>
      <c r="X145" s="94">
        <f t="shared" si="102"/>
        <v>128</v>
      </c>
      <c r="Y145" s="94">
        <f t="shared" si="102"/>
        <v>128</v>
      </c>
      <c r="Z145" s="94">
        <f t="shared" si="102"/>
        <v>128</v>
      </c>
      <c r="AA145" s="94">
        <f t="shared" si="102"/>
        <v>128</v>
      </c>
      <c r="AB145" s="94">
        <f t="shared" si="102"/>
        <v>128</v>
      </c>
      <c r="AC145" s="94">
        <f t="shared" si="102"/>
        <v>128</v>
      </c>
      <c r="AD145" s="94">
        <f t="shared" si="102"/>
        <v>128</v>
      </c>
      <c r="AE145" s="94">
        <f t="shared" si="102"/>
        <v>133</v>
      </c>
      <c r="AF145" s="94">
        <f t="shared" si="102"/>
        <v>143</v>
      </c>
      <c r="AG145" s="94">
        <f t="shared" si="102"/>
        <v>153</v>
      </c>
      <c r="AH145" s="94">
        <f t="shared" si="93"/>
        <v>161</v>
      </c>
      <c r="AI145" s="94">
        <f t="shared" si="102"/>
        <v>167</v>
      </c>
      <c r="AJ145" s="94">
        <f t="shared" si="102"/>
        <v>170</v>
      </c>
      <c r="AK145" s="94">
        <f t="shared" si="102"/>
        <v>172</v>
      </c>
      <c r="AL145" s="94">
        <f t="shared" si="102"/>
        <v>175</v>
      </c>
      <c r="AM145" s="94">
        <f t="shared" si="102"/>
        <v>176</v>
      </c>
      <c r="AN145" s="94">
        <f t="shared" si="102"/>
        <v>175</v>
      </c>
      <c r="AO145" s="94">
        <f t="shared" si="102"/>
        <v>178</v>
      </c>
      <c r="AP145" s="94">
        <f t="shared" si="102"/>
        <v>179</v>
      </c>
      <c r="AQ145" s="94">
        <f t="shared" si="102"/>
        <v>180</v>
      </c>
      <c r="AR145" s="94">
        <f t="shared" si="102"/>
        <v>180</v>
      </c>
      <c r="AS145" s="94">
        <f t="shared" si="102"/>
        <v>180</v>
      </c>
      <c r="AT145" s="94">
        <f t="shared" si="102"/>
        <v>180</v>
      </c>
      <c r="AU145" s="94">
        <f t="shared" si="102"/>
        <v>180</v>
      </c>
      <c r="AV145" s="94">
        <f t="shared" si="102"/>
        <v>180</v>
      </c>
      <c r="AW145" s="94">
        <f t="shared" si="102"/>
        <v>180</v>
      </c>
      <c r="AX145" s="94">
        <f t="shared" si="102"/>
        <v>180</v>
      </c>
      <c r="AY145" s="94">
        <f t="shared" si="102"/>
        <v>180</v>
      </c>
      <c r="AZ145" s="95">
        <f t="shared" si="102"/>
        <v>180</v>
      </c>
      <c r="BA145" s="183"/>
      <c r="BC145" s="38"/>
      <c r="BD145" s="39"/>
      <c r="BY145" s="40"/>
      <c r="BZ145" s="37"/>
    </row>
    <row r="146" spans="20:78">
      <c r="T146" s="64"/>
      <c r="U146" s="302"/>
      <c r="V146" s="181">
        <v>3750</v>
      </c>
      <c r="W146" s="93">
        <f t="shared" ref="W146:AZ146" si="103">ROUND(14.7*128/W49,0)</f>
        <v>128</v>
      </c>
      <c r="X146" s="94">
        <f t="shared" si="103"/>
        <v>128</v>
      </c>
      <c r="Y146" s="94">
        <f t="shared" si="103"/>
        <v>128</v>
      </c>
      <c r="Z146" s="94">
        <f t="shared" si="103"/>
        <v>128</v>
      </c>
      <c r="AA146" s="94">
        <f t="shared" si="103"/>
        <v>128</v>
      </c>
      <c r="AB146" s="94">
        <f t="shared" si="103"/>
        <v>128</v>
      </c>
      <c r="AC146" s="94">
        <f t="shared" si="103"/>
        <v>129</v>
      </c>
      <c r="AD146" s="94">
        <f t="shared" si="103"/>
        <v>129</v>
      </c>
      <c r="AE146" s="94">
        <f t="shared" si="103"/>
        <v>134</v>
      </c>
      <c r="AF146" s="94">
        <f t="shared" si="103"/>
        <v>145</v>
      </c>
      <c r="AG146" s="94">
        <f t="shared" si="103"/>
        <v>155</v>
      </c>
      <c r="AH146" s="94">
        <f t="shared" si="93"/>
        <v>163</v>
      </c>
      <c r="AI146" s="94">
        <f t="shared" si="103"/>
        <v>166</v>
      </c>
      <c r="AJ146" s="94">
        <f t="shared" si="103"/>
        <v>171</v>
      </c>
      <c r="AK146" s="94">
        <f t="shared" si="103"/>
        <v>173</v>
      </c>
      <c r="AL146" s="94">
        <f t="shared" si="103"/>
        <v>176</v>
      </c>
      <c r="AM146" s="94">
        <f t="shared" si="103"/>
        <v>176</v>
      </c>
      <c r="AN146" s="94">
        <f t="shared" si="103"/>
        <v>177</v>
      </c>
      <c r="AO146" s="94">
        <f t="shared" si="103"/>
        <v>178</v>
      </c>
      <c r="AP146" s="94">
        <f t="shared" si="103"/>
        <v>180</v>
      </c>
      <c r="AQ146" s="94">
        <f t="shared" si="103"/>
        <v>181</v>
      </c>
      <c r="AR146" s="94">
        <f t="shared" si="103"/>
        <v>181</v>
      </c>
      <c r="AS146" s="94">
        <f t="shared" si="103"/>
        <v>181</v>
      </c>
      <c r="AT146" s="94">
        <f t="shared" si="103"/>
        <v>181</v>
      </c>
      <c r="AU146" s="94">
        <f t="shared" si="103"/>
        <v>181</v>
      </c>
      <c r="AV146" s="94">
        <f t="shared" si="103"/>
        <v>181</v>
      </c>
      <c r="AW146" s="94">
        <f t="shared" si="103"/>
        <v>181</v>
      </c>
      <c r="AX146" s="94">
        <f t="shared" si="103"/>
        <v>181</v>
      </c>
      <c r="AY146" s="94">
        <f t="shared" si="103"/>
        <v>181</v>
      </c>
      <c r="AZ146" s="95">
        <f t="shared" si="103"/>
        <v>181</v>
      </c>
      <c r="BA146" s="183"/>
      <c r="BC146" s="38"/>
      <c r="BD146" s="39"/>
      <c r="BY146" s="40"/>
      <c r="BZ146" s="37"/>
    </row>
    <row r="147" spans="20:78">
      <c r="T147" s="64"/>
      <c r="U147" s="302"/>
      <c r="V147" s="181">
        <v>4000</v>
      </c>
      <c r="W147" s="93">
        <f t="shared" ref="W147:AG147" si="104">ROUND(14.7*128/W50,0)</f>
        <v>128</v>
      </c>
      <c r="X147" s="94">
        <f t="shared" si="104"/>
        <v>128</v>
      </c>
      <c r="Y147" s="94">
        <f t="shared" si="104"/>
        <v>128</v>
      </c>
      <c r="Z147" s="94">
        <f t="shared" si="104"/>
        <v>128</v>
      </c>
      <c r="AA147" s="94">
        <f t="shared" si="104"/>
        <v>128</v>
      </c>
      <c r="AB147" s="94">
        <f t="shared" si="104"/>
        <v>128</v>
      </c>
      <c r="AC147" s="94">
        <f t="shared" si="104"/>
        <v>129</v>
      </c>
      <c r="AD147" s="94">
        <f t="shared" si="104"/>
        <v>129</v>
      </c>
      <c r="AE147" s="94">
        <f t="shared" si="104"/>
        <v>135</v>
      </c>
      <c r="AF147" s="94">
        <f t="shared" si="104"/>
        <v>147</v>
      </c>
      <c r="AG147" s="94">
        <f t="shared" si="104"/>
        <v>156</v>
      </c>
      <c r="AH147" s="94">
        <f t="shared" si="93"/>
        <v>164</v>
      </c>
      <c r="AI147" s="94">
        <f t="shared" si="93"/>
        <v>167</v>
      </c>
      <c r="AJ147" s="94">
        <f t="shared" si="93"/>
        <v>172</v>
      </c>
      <c r="AK147" s="94">
        <f t="shared" si="93"/>
        <v>174</v>
      </c>
      <c r="AL147" s="94">
        <f t="shared" si="93"/>
        <v>176</v>
      </c>
      <c r="AM147" s="94">
        <f t="shared" si="93"/>
        <v>175</v>
      </c>
      <c r="AN147" s="94">
        <f t="shared" si="93"/>
        <v>178</v>
      </c>
      <c r="AO147" s="94">
        <f t="shared" ref="AO147:AZ147" si="105">ROUND(14.7*128/AO50,0)</f>
        <v>179</v>
      </c>
      <c r="AP147" s="94">
        <f t="shared" si="105"/>
        <v>180</v>
      </c>
      <c r="AQ147" s="94">
        <f t="shared" si="105"/>
        <v>180</v>
      </c>
      <c r="AR147" s="94">
        <f t="shared" si="105"/>
        <v>182</v>
      </c>
      <c r="AS147" s="94">
        <f t="shared" si="105"/>
        <v>182</v>
      </c>
      <c r="AT147" s="94">
        <f t="shared" si="105"/>
        <v>182</v>
      </c>
      <c r="AU147" s="94">
        <f t="shared" si="105"/>
        <v>182</v>
      </c>
      <c r="AV147" s="94">
        <f t="shared" si="105"/>
        <v>182</v>
      </c>
      <c r="AW147" s="94">
        <f t="shared" si="105"/>
        <v>182</v>
      </c>
      <c r="AX147" s="94">
        <f t="shared" si="105"/>
        <v>182</v>
      </c>
      <c r="AY147" s="94">
        <f t="shared" si="105"/>
        <v>182</v>
      </c>
      <c r="AZ147" s="95">
        <f t="shared" si="105"/>
        <v>182</v>
      </c>
      <c r="BA147" s="183"/>
      <c r="BC147" s="38"/>
      <c r="BD147" s="39"/>
      <c r="BY147" s="40"/>
      <c r="BZ147" s="37"/>
    </row>
    <row r="148" spans="20:78">
      <c r="T148" s="64"/>
      <c r="U148" s="302"/>
      <c r="V148" s="181">
        <v>4250</v>
      </c>
      <c r="W148" s="93">
        <f t="shared" ref="W148:AG148" si="106">ROUND(14.7*128/W51,0)</f>
        <v>128</v>
      </c>
      <c r="X148" s="94">
        <f t="shared" si="106"/>
        <v>128</v>
      </c>
      <c r="Y148" s="94">
        <f t="shared" si="106"/>
        <v>128</v>
      </c>
      <c r="Z148" s="94">
        <f t="shared" si="106"/>
        <v>128</v>
      </c>
      <c r="AA148" s="94">
        <f t="shared" si="106"/>
        <v>129</v>
      </c>
      <c r="AB148" s="94">
        <f t="shared" si="106"/>
        <v>129</v>
      </c>
      <c r="AC148" s="94">
        <f t="shared" si="106"/>
        <v>133</v>
      </c>
      <c r="AD148" s="94">
        <f t="shared" si="106"/>
        <v>134</v>
      </c>
      <c r="AE148" s="94">
        <f t="shared" si="106"/>
        <v>138</v>
      </c>
      <c r="AF148" s="94">
        <f t="shared" si="106"/>
        <v>149</v>
      </c>
      <c r="AG148" s="94">
        <f t="shared" si="106"/>
        <v>158</v>
      </c>
      <c r="AH148" s="94">
        <f t="shared" si="93"/>
        <v>165</v>
      </c>
      <c r="AI148" s="94">
        <f t="shared" si="93"/>
        <v>167</v>
      </c>
      <c r="AJ148" s="94">
        <f t="shared" si="93"/>
        <v>172</v>
      </c>
      <c r="AK148" s="94">
        <f t="shared" si="93"/>
        <v>175</v>
      </c>
      <c r="AL148" s="94">
        <f t="shared" si="93"/>
        <v>176</v>
      </c>
      <c r="AM148" s="94">
        <f t="shared" si="93"/>
        <v>175</v>
      </c>
      <c r="AN148" s="94">
        <f t="shared" si="93"/>
        <v>179</v>
      </c>
      <c r="AO148" s="94">
        <f t="shared" ref="AO148:AZ148" si="107">ROUND(14.7*128/AO51,0)</f>
        <v>180</v>
      </c>
      <c r="AP148" s="94">
        <f t="shared" si="107"/>
        <v>181</v>
      </c>
      <c r="AQ148" s="94">
        <f t="shared" si="107"/>
        <v>180</v>
      </c>
      <c r="AR148" s="94">
        <f t="shared" si="107"/>
        <v>182</v>
      </c>
      <c r="AS148" s="94">
        <f t="shared" si="107"/>
        <v>184</v>
      </c>
      <c r="AT148" s="94">
        <f t="shared" si="107"/>
        <v>184</v>
      </c>
      <c r="AU148" s="94">
        <f t="shared" si="107"/>
        <v>184</v>
      </c>
      <c r="AV148" s="94">
        <f t="shared" si="107"/>
        <v>184</v>
      </c>
      <c r="AW148" s="94">
        <f t="shared" si="107"/>
        <v>184</v>
      </c>
      <c r="AX148" s="94">
        <f t="shared" si="107"/>
        <v>184</v>
      </c>
      <c r="AY148" s="94">
        <f t="shared" si="107"/>
        <v>184</v>
      </c>
      <c r="AZ148" s="95">
        <f t="shared" si="107"/>
        <v>184</v>
      </c>
      <c r="BA148" s="183"/>
      <c r="BC148" s="38"/>
      <c r="BD148" s="39"/>
      <c r="BY148" s="40"/>
      <c r="BZ148" s="37"/>
    </row>
    <row r="149" spans="20:78">
      <c r="T149" s="64"/>
      <c r="U149" s="302"/>
      <c r="V149" s="181">
        <v>4500</v>
      </c>
      <c r="W149" s="93">
        <f t="shared" ref="W149:AG149" si="108">ROUND(14.7*128/W52,0)</f>
        <v>128</v>
      </c>
      <c r="X149" s="94">
        <f t="shared" si="108"/>
        <v>128</v>
      </c>
      <c r="Y149" s="94">
        <f t="shared" si="108"/>
        <v>128</v>
      </c>
      <c r="Z149" s="94">
        <f t="shared" si="108"/>
        <v>128</v>
      </c>
      <c r="AA149" s="94">
        <f t="shared" si="108"/>
        <v>129</v>
      </c>
      <c r="AB149" s="94">
        <f t="shared" si="108"/>
        <v>129</v>
      </c>
      <c r="AC149" s="94">
        <f t="shared" si="108"/>
        <v>133</v>
      </c>
      <c r="AD149" s="94">
        <f t="shared" si="108"/>
        <v>136</v>
      </c>
      <c r="AE149" s="94">
        <f t="shared" si="108"/>
        <v>141</v>
      </c>
      <c r="AF149" s="94">
        <f t="shared" si="108"/>
        <v>152</v>
      </c>
      <c r="AG149" s="94">
        <f t="shared" si="108"/>
        <v>159</v>
      </c>
      <c r="AH149" s="94">
        <f t="shared" si="93"/>
        <v>166</v>
      </c>
      <c r="AI149" s="94">
        <f t="shared" si="93"/>
        <v>167</v>
      </c>
      <c r="AJ149" s="94">
        <f t="shared" si="93"/>
        <v>172</v>
      </c>
      <c r="AK149" s="94">
        <f t="shared" si="93"/>
        <v>174</v>
      </c>
      <c r="AL149" s="94">
        <f t="shared" si="93"/>
        <v>177</v>
      </c>
      <c r="AM149" s="94">
        <f t="shared" si="93"/>
        <v>175</v>
      </c>
      <c r="AN149" s="94">
        <f t="shared" si="93"/>
        <v>179</v>
      </c>
      <c r="AO149" s="94">
        <f t="shared" ref="AO149:AZ149" si="109">ROUND(14.7*128/AO52,0)</f>
        <v>181</v>
      </c>
      <c r="AP149" s="94">
        <f t="shared" si="109"/>
        <v>180</v>
      </c>
      <c r="AQ149" s="94">
        <f t="shared" si="109"/>
        <v>181</v>
      </c>
      <c r="AR149" s="94">
        <f t="shared" si="109"/>
        <v>183</v>
      </c>
      <c r="AS149" s="94">
        <f t="shared" si="109"/>
        <v>185</v>
      </c>
      <c r="AT149" s="94">
        <f t="shared" si="109"/>
        <v>185</v>
      </c>
      <c r="AU149" s="94">
        <f t="shared" si="109"/>
        <v>185</v>
      </c>
      <c r="AV149" s="94">
        <f t="shared" si="109"/>
        <v>185</v>
      </c>
      <c r="AW149" s="94">
        <f t="shared" si="109"/>
        <v>185</v>
      </c>
      <c r="AX149" s="94">
        <f t="shared" si="109"/>
        <v>185</v>
      </c>
      <c r="AY149" s="94">
        <f t="shared" si="109"/>
        <v>185</v>
      </c>
      <c r="AZ149" s="95">
        <f t="shared" si="109"/>
        <v>185</v>
      </c>
      <c r="BA149" s="183"/>
      <c r="BC149" s="38"/>
      <c r="BD149" s="39"/>
      <c r="BY149" s="40"/>
      <c r="BZ149" s="37"/>
    </row>
    <row r="150" spans="20:78">
      <c r="T150" s="64"/>
      <c r="U150" s="302"/>
      <c r="V150" s="181">
        <v>4750</v>
      </c>
      <c r="W150" s="93">
        <f t="shared" ref="W150:AG150" si="110">ROUND(14.7*128/W53,0)</f>
        <v>128</v>
      </c>
      <c r="X150" s="94">
        <f t="shared" si="110"/>
        <v>128</v>
      </c>
      <c r="Y150" s="94">
        <f t="shared" si="110"/>
        <v>128</v>
      </c>
      <c r="Z150" s="94">
        <f t="shared" si="110"/>
        <v>129</v>
      </c>
      <c r="AA150" s="94">
        <f t="shared" si="110"/>
        <v>130</v>
      </c>
      <c r="AB150" s="94">
        <f t="shared" si="110"/>
        <v>130</v>
      </c>
      <c r="AC150" s="94">
        <f t="shared" si="110"/>
        <v>134</v>
      </c>
      <c r="AD150" s="94">
        <f t="shared" si="110"/>
        <v>139</v>
      </c>
      <c r="AE150" s="94">
        <f t="shared" si="110"/>
        <v>144</v>
      </c>
      <c r="AF150" s="94">
        <f t="shared" si="110"/>
        <v>154</v>
      </c>
      <c r="AG150" s="94">
        <f t="shared" si="110"/>
        <v>159</v>
      </c>
      <c r="AH150" s="94">
        <f t="shared" si="93"/>
        <v>166</v>
      </c>
      <c r="AI150" s="94">
        <f t="shared" si="93"/>
        <v>167</v>
      </c>
      <c r="AJ150" s="94">
        <f t="shared" si="93"/>
        <v>172</v>
      </c>
      <c r="AK150" s="94">
        <f t="shared" si="93"/>
        <v>174</v>
      </c>
      <c r="AL150" s="94">
        <f t="shared" si="93"/>
        <v>176</v>
      </c>
      <c r="AM150" s="94">
        <f t="shared" si="93"/>
        <v>175</v>
      </c>
      <c r="AN150" s="94">
        <f t="shared" si="93"/>
        <v>179</v>
      </c>
      <c r="AO150" s="94">
        <f t="shared" ref="AO150:AZ150" si="111">ROUND(14.7*128/AO53,0)</f>
        <v>181</v>
      </c>
      <c r="AP150" s="94">
        <f t="shared" si="111"/>
        <v>180</v>
      </c>
      <c r="AQ150" s="94">
        <f t="shared" si="111"/>
        <v>181</v>
      </c>
      <c r="AR150" s="94">
        <f t="shared" si="111"/>
        <v>183</v>
      </c>
      <c r="AS150" s="94">
        <f t="shared" si="111"/>
        <v>185</v>
      </c>
      <c r="AT150" s="94">
        <f t="shared" si="111"/>
        <v>185</v>
      </c>
      <c r="AU150" s="94">
        <f t="shared" si="111"/>
        <v>185</v>
      </c>
      <c r="AV150" s="94">
        <f t="shared" si="111"/>
        <v>185</v>
      </c>
      <c r="AW150" s="94">
        <f t="shared" si="111"/>
        <v>185</v>
      </c>
      <c r="AX150" s="94">
        <f t="shared" si="111"/>
        <v>185</v>
      </c>
      <c r="AY150" s="94">
        <f t="shared" si="111"/>
        <v>185</v>
      </c>
      <c r="AZ150" s="95">
        <f t="shared" si="111"/>
        <v>185</v>
      </c>
      <c r="BA150" s="183"/>
      <c r="BC150" s="38"/>
      <c r="BD150" s="39"/>
      <c r="BY150" s="40"/>
      <c r="BZ150" s="37"/>
    </row>
    <row r="151" spans="20:78">
      <c r="T151" s="64"/>
      <c r="U151" s="302"/>
      <c r="V151" s="181">
        <v>5000</v>
      </c>
      <c r="W151" s="93">
        <f t="shared" ref="W151:AG151" si="112">ROUND(14.7*128/W54,0)</f>
        <v>128</v>
      </c>
      <c r="X151" s="94">
        <f t="shared" si="112"/>
        <v>128</v>
      </c>
      <c r="Y151" s="94">
        <f t="shared" si="112"/>
        <v>128</v>
      </c>
      <c r="Z151" s="94">
        <f t="shared" si="112"/>
        <v>129</v>
      </c>
      <c r="AA151" s="94">
        <f t="shared" si="112"/>
        <v>130</v>
      </c>
      <c r="AB151" s="94">
        <f t="shared" si="112"/>
        <v>132</v>
      </c>
      <c r="AC151" s="94">
        <f t="shared" si="112"/>
        <v>136</v>
      </c>
      <c r="AD151" s="94">
        <f t="shared" si="112"/>
        <v>142</v>
      </c>
      <c r="AE151" s="94">
        <f t="shared" si="112"/>
        <v>148</v>
      </c>
      <c r="AF151" s="94">
        <f t="shared" si="112"/>
        <v>156</v>
      </c>
      <c r="AG151" s="94">
        <f t="shared" si="112"/>
        <v>161</v>
      </c>
      <c r="AH151" s="94">
        <f t="shared" si="93"/>
        <v>166</v>
      </c>
      <c r="AI151" s="94">
        <f t="shared" si="93"/>
        <v>167</v>
      </c>
      <c r="AJ151" s="94">
        <f t="shared" si="93"/>
        <v>172</v>
      </c>
      <c r="AK151" s="94">
        <f t="shared" si="93"/>
        <v>175</v>
      </c>
      <c r="AL151" s="94">
        <f t="shared" si="93"/>
        <v>176</v>
      </c>
      <c r="AM151" s="94">
        <f t="shared" si="93"/>
        <v>175</v>
      </c>
      <c r="AN151" s="94">
        <f t="shared" si="93"/>
        <v>179</v>
      </c>
      <c r="AO151" s="94">
        <f t="shared" ref="AO151:AZ151" si="113">ROUND(14.7*128/AO54,0)</f>
        <v>181</v>
      </c>
      <c r="AP151" s="94">
        <f t="shared" si="113"/>
        <v>180</v>
      </c>
      <c r="AQ151" s="94">
        <f t="shared" si="113"/>
        <v>181</v>
      </c>
      <c r="AR151" s="94">
        <f t="shared" si="113"/>
        <v>183</v>
      </c>
      <c r="AS151" s="94">
        <f t="shared" si="113"/>
        <v>185</v>
      </c>
      <c r="AT151" s="94">
        <f t="shared" si="113"/>
        <v>185</v>
      </c>
      <c r="AU151" s="94">
        <f t="shared" si="113"/>
        <v>185</v>
      </c>
      <c r="AV151" s="94">
        <f t="shared" si="113"/>
        <v>185</v>
      </c>
      <c r="AW151" s="94">
        <f t="shared" si="113"/>
        <v>185</v>
      </c>
      <c r="AX151" s="94">
        <f t="shared" si="113"/>
        <v>185</v>
      </c>
      <c r="AY151" s="94">
        <f t="shared" si="113"/>
        <v>185</v>
      </c>
      <c r="AZ151" s="95">
        <f t="shared" si="113"/>
        <v>185</v>
      </c>
      <c r="BA151" s="183"/>
      <c r="BC151" s="38"/>
      <c r="BD151" s="39"/>
      <c r="BY151" s="40"/>
      <c r="BZ151" s="37"/>
    </row>
    <row r="152" spans="20:78">
      <c r="T152" s="64"/>
      <c r="U152" s="302">
        <v>0</v>
      </c>
      <c r="V152" s="181">
        <v>5250</v>
      </c>
      <c r="W152" s="93">
        <f t="shared" ref="W152:AG152" si="114">ROUND(14.7*128/W55,0)</f>
        <v>128</v>
      </c>
      <c r="X152" s="94">
        <f t="shared" si="114"/>
        <v>128</v>
      </c>
      <c r="Y152" s="94">
        <f t="shared" si="114"/>
        <v>129</v>
      </c>
      <c r="Z152" s="94">
        <f t="shared" si="114"/>
        <v>129</v>
      </c>
      <c r="AA152" s="94">
        <f t="shared" si="114"/>
        <v>131</v>
      </c>
      <c r="AB152" s="94">
        <f t="shared" si="114"/>
        <v>134</v>
      </c>
      <c r="AC152" s="94">
        <f t="shared" si="114"/>
        <v>138</v>
      </c>
      <c r="AD152" s="94">
        <f t="shared" si="114"/>
        <v>146</v>
      </c>
      <c r="AE152" s="94">
        <f t="shared" si="114"/>
        <v>150</v>
      </c>
      <c r="AF152" s="94">
        <f t="shared" si="114"/>
        <v>157</v>
      </c>
      <c r="AG152" s="94">
        <f t="shared" si="114"/>
        <v>162</v>
      </c>
      <c r="AH152" s="94">
        <f t="shared" si="93"/>
        <v>166</v>
      </c>
      <c r="AI152" s="94">
        <f t="shared" si="93"/>
        <v>167</v>
      </c>
      <c r="AJ152" s="94">
        <f t="shared" si="93"/>
        <v>172</v>
      </c>
      <c r="AK152" s="94">
        <f t="shared" si="93"/>
        <v>174</v>
      </c>
      <c r="AL152" s="94">
        <f t="shared" si="93"/>
        <v>176</v>
      </c>
      <c r="AM152" s="94">
        <f t="shared" si="93"/>
        <v>175</v>
      </c>
      <c r="AN152" s="94">
        <f t="shared" si="93"/>
        <v>179</v>
      </c>
      <c r="AO152" s="94">
        <f t="shared" ref="AO152:AZ152" si="115">ROUND(14.7*128/AO55,0)</f>
        <v>180</v>
      </c>
      <c r="AP152" s="94">
        <f t="shared" si="115"/>
        <v>178</v>
      </c>
      <c r="AQ152" s="94">
        <f t="shared" si="115"/>
        <v>180</v>
      </c>
      <c r="AR152" s="94">
        <f t="shared" si="115"/>
        <v>182</v>
      </c>
      <c r="AS152" s="94">
        <f t="shared" si="115"/>
        <v>182</v>
      </c>
      <c r="AT152" s="94">
        <f t="shared" si="115"/>
        <v>182</v>
      </c>
      <c r="AU152" s="94">
        <f t="shared" si="115"/>
        <v>182</v>
      </c>
      <c r="AV152" s="94">
        <f t="shared" si="115"/>
        <v>182</v>
      </c>
      <c r="AW152" s="94">
        <f t="shared" si="115"/>
        <v>182</v>
      </c>
      <c r="AX152" s="94">
        <f t="shared" si="115"/>
        <v>182</v>
      </c>
      <c r="AY152" s="94">
        <f t="shared" si="115"/>
        <v>182</v>
      </c>
      <c r="AZ152" s="95">
        <f t="shared" si="115"/>
        <v>182</v>
      </c>
      <c r="BA152" s="183"/>
      <c r="BC152" s="38"/>
      <c r="BD152" s="39"/>
      <c r="BY152" s="40"/>
      <c r="BZ152" s="37"/>
    </row>
    <row r="153" spans="20:78">
      <c r="T153" s="64"/>
      <c r="U153" s="302">
        <v>0</v>
      </c>
      <c r="V153" s="181">
        <v>5500</v>
      </c>
      <c r="W153" s="93">
        <f t="shared" ref="W153:AG153" si="116">ROUND(14.7*128/W56,0)</f>
        <v>128</v>
      </c>
      <c r="X153" s="94">
        <f t="shared" si="116"/>
        <v>128</v>
      </c>
      <c r="Y153" s="94">
        <f t="shared" si="116"/>
        <v>129</v>
      </c>
      <c r="Z153" s="94">
        <f t="shared" si="116"/>
        <v>129</v>
      </c>
      <c r="AA153" s="94">
        <f t="shared" si="116"/>
        <v>132</v>
      </c>
      <c r="AB153" s="94">
        <f t="shared" si="116"/>
        <v>136</v>
      </c>
      <c r="AC153" s="94">
        <f t="shared" si="116"/>
        <v>141</v>
      </c>
      <c r="AD153" s="94">
        <f t="shared" si="116"/>
        <v>148</v>
      </c>
      <c r="AE153" s="94">
        <f t="shared" si="116"/>
        <v>152</v>
      </c>
      <c r="AF153" s="94">
        <f t="shared" si="116"/>
        <v>157</v>
      </c>
      <c r="AG153" s="94">
        <f t="shared" si="116"/>
        <v>162</v>
      </c>
      <c r="AH153" s="94">
        <f t="shared" si="93"/>
        <v>166</v>
      </c>
      <c r="AI153" s="94">
        <f t="shared" si="93"/>
        <v>167</v>
      </c>
      <c r="AJ153" s="94">
        <f t="shared" si="93"/>
        <v>172</v>
      </c>
      <c r="AK153" s="94">
        <f t="shared" si="93"/>
        <v>173</v>
      </c>
      <c r="AL153" s="94">
        <f t="shared" si="93"/>
        <v>175</v>
      </c>
      <c r="AM153" s="94">
        <f t="shared" si="93"/>
        <v>175</v>
      </c>
      <c r="AN153" s="94">
        <f t="shared" si="93"/>
        <v>178</v>
      </c>
      <c r="AO153" s="94">
        <f t="shared" ref="AO153:AZ153" si="117">ROUND(14.7*128/AO56,0)</f>
        <v>175</v>
      </c>
      <c r="AP153" s="94">
        <f t="shared" si="117"/>
        <v>177</v>
      </c>
      <c r="AQ153" s="94">
        <f t="shared" si="117"/>
        <v>180</v>
      </c>
      <c r="AR153" s="94">
        <f t="shared" si="117"/>
        <v>180</v>
      </c>
      <c r="AS153" s="94">
        <f t="shared" si="117"/>
        <v>180</v>
      </c>
      <c r="AT153" s="94">
        <f t="shared" si="117"/>
        <v>182</v>
      </c>
      <c r="AU153" s="94">
        <f t="shared" si="117"/>
        <v>182</v>
      </c>
      <c r="AV153" s="94">
        <f t="shared" si="117"/>
        <v>182</v>
      </c>
      <c r="AW153" s="94">
        <f t="shared" si="117"/>
        <v>182</v>
      </c>
      <c r="AX153" s="94">
        <f t="shared" si="117"/>
        <v>182</v>
      </c>
      <c r="AY153" s="94">
        <f t="shared" si="117"/>
        <v>182</v>
      </c>
      <c r="AZ153" s="95">
        <f t="shared" si="117"/>
        <v>182</v>
      </c>
      <c r="BA153" s="183"/>
      <c r="BC153" s="38"/>
      <c r="BD153" s="39"/>
      <c r="BY153" s="40"/>
      <c r="BZ153" s="37"/>
    </row>
    <row r="154" spans="20:78">
      <c r="T154" s="64"/>
      <c r="U154" s="302"/>
      <c r="V154" s="181">
        <v>6000</v>
      </c>
      <c r="W154" s="93">
        <f t="shared" ref="W154:AG154" si="118">ROUND(14.7*128/W57,0)</f>
        <v>130</v>
      </c>
      <c r="X154" s="94">
        <f t="shared" si="118"/>
        <v>131</v>
      </c>
      <c r="Y154" s="94">
        <f t="shared" si="118"/>
        <v>131</v>
      </c>
      <c r="Z154" s="94">
        <f t="shared" si="118"/>
        <v>133</v>
      </c>
      <c r="AA154" s="94">
        <f t="shared" si="118"/>
        <v>135</v>
      </c>
      <c r="AB154" s="94">
        <f t="shared" si="118"/>
        <v>140</v>
      </c>
      <c r="AC154" s="94">
        <f t="shared" si="118"/>
        <v>146</v>
      </c>
      <c r="AD154" s="94">
        <f t="shared" si="118"/>
        <v>152</v>
      </c>
      <c r="AE154" s="94">
        <f t="shared" si="118"/>
        <v>154</v>
      </c>
      <c r="AF154" s="94">
        <f t="shared" si="118"/>
        <v>159</v>
      </c>
      <c r="AG154" s="94">
        <f t="shared" si="118"/>
        <v>162</v>
      </c>
      <c r="AH154" s="94">
        <f t="shared" si="93"/>
        <v>165</v>
      </c>
      <c r="AI154" s="94">
        <f t="shared" si="93"/>
        <v>167</v>
      </c>
      <c r="AJ154" s="94">
        <f t="shared" si="93"/>
        <v>170</v>
      </c>
      <c r="AK154" s="94">
        <f t="shared" si="93"/>
        <v>172</v>
      </c>
      <c r="AL154" s="94">
        <f t="shared" si="93"/>
        <v>175</v>
      </c>
      <c r="AM154" s="94">
        <f t="shared" si="93"/>
        <v>176</v>
      </c>
      <c r="AN154" s="94">
        <f t="shared" si="93"/>
        <v>177</v>
      </c>
      <c r="AO154" s="94">
        <f t="shared" ref="AO154:AZ154" si="119">ROUND(14.7*128/AO57,0)</f>
        <v>175</v>
      </c>
      <c r="AP154" s="94">
        <f t="shared" si="119"/>
        <v>177</v>
      </c>
      <c r="AQ154" s="94">
        <f t="shared" si="119"/>
        <v>179</v>
      </c>
      <c r="AR154" s="94">
        <f t="shared" si="119"/>
        <v>181</v>
      </c>
      <c r="AS154" s="94">
        <f t="shared" si="119"/>
        <v>181</v>
      </c>
      <c r="AT154" s="94">
        <f t="shared" si="119"/>
        <v>181</v>
      </c>
      <c r="AU154" s="94">
        <f t="shared" si="119"/>
        <v>181</v>
      </c>
      <c r="AV154" s="94">
        <f t="shared" si="119"/>
        <v>183</v>
      </c>
      <c r="AW154" s="94">
        <f t="shared" si="119"/>
        <v>183</v>
      </c>
      <c r="AX154" s="94">
        <f t="shared" si="119"/>
        <v>183</v>
      </c>
      <c r="AY154" s="94">
        <f t="shared" si="119"/>
        <v>183</v>
      </c>
      <c r="AZ154" s="95">
        <f t="shared" si="119"/>
        <v>183</v>
      </c>
      <c r="BA154" s="183"/>
      <c r="BC154" s="38"/>
      <c r="BD154" s="39"/>
      <c r="BY154" s="40"/>
      <c r="BZ154" s="37"/>
    </row>
    <row r="155" spans="20:78">
      <c r="T155" s="64"/>
      <c r="U155" s="302"/>
      <c r="V155" s="181">
        <v>6500</v>
      </c>
      <c r="W155" s="93">
        <f t="shared" ref="W155:AG155" si="120">ROUND(14.7*128/W58,0)</f>
        <v>134</v>
      </c>
      <c r="X155" s="94">
        <f t="shared" si="120"/>
        <v>134</v>
      </c>
      <c r="Y155" s="94">
        <f t="shared" si="120"/>
        <v>134</v>
      </c>
      <c r="Z155" s="94">
        <f t="shared" si="120"/>
        <v>136</v>
      </c>
      <c r="AA155" s="94">
        <f t="shared" si="120"/>
        <v>139</v>
      </c>
      <c r="AB155" s="94">
        <f t="shared" si="120"/>
        <v>144</v>
      </c>
      <c r="AC155" s="94">
        <f t="shared" si="120"/>
        <v>149</v>
      </c>
      <c r="AD155" s="94">
        <f t="shared" si="120"/>
        <v>154</v>
      </c>
      <c r="AE155" s="94">
        <f t="shared" si="120"/>
        <v>155</v>
      </c>
      <c r="AF155" s="94">
        <f t="shared" si="120"/>
        <v>159</v>
      </c>
      <c r="AG155" s="94">
        <f t="shared" si="120"/>
        <v>162</v>
      </c>
      <c r="AH155" s="94">
        <f t="shared" si="93"/>
        <v>165</v>
      </c>
      <c r="AI155" s="94">
        <f t="shared" si="93"/>
        <v>167</v>
      </c>
      <c r="AJ155" s="94">
        <f t="shared" si="93"/>
        <v>170</v>
      </c>
      <c r="AK155" s="94">
        <f t="shared" si="93"/>
        <v>172</v>
      </c>
      <c r="AL155" s="94">
        <f t="shared" si="93"/>
        <v>175</v>
      </c>
      <c r="AM155" s="94">
        <f t="shared" si="93"/>
        <v>175</v>
      </c>
      <c r="AN155" s="94">
        <f t="shared" si="93"/>
        <v>178</v>
      </c>
      <c r="AO155" s="94">
        <f t="shared" ref="AO155:AZ155" si="121">ROUND(14.7*128/AO58,0)</f>
        <v>177</v>
      </c>
      <c r="AP155" s="94">
        <f t="shared" si="121"/>
        <v>178</v>
      </c>
      <c r="AQ155" s="94">
        <f t="shared" si="121"/>
        <v>178</v>
      </c>
      <c r="AR155" s="94">
        <f t="shared" si="121"/>
        <v>180</v>
      </c>
      <c r="AS155" s="94">
        <f t="shared" si="121"/>
        <v>180</v>
      </c>
      <c r="AT155" s="94">
        <f t="shared" si="121"/>
        <v>180</v>
      </c>
      <c r="AU155" s="94">
        <f t="shared" si="121"/>
        <v>180</v>
      </c>
      <c r="AV155" s="94">
        <f t="shared" si="121"/>
        <v>182</v>
      </c>
      <c r="AW155" s="94">
        <f t="shared" si="121"/>
        <v>182</v>
      </c>
      <c r="AX155" s="94">
        <f t="shared" si="121"/>
        <v>182</v>
      </c>
      <c r="AY155" s="94">
        <f t="shared" si="121"/>
        <v>182</v>
      </c>
      <c r="AZ155" s="95">
        <f t="shared" si="121"/>
        <v>182</v>
      </c>
      <c r="BA155" s="183"/>
      <c r="BC155" s="38"/>
      <c r="BD155" s="39"/>
      <c r="BY155" s="40"/>
      <c r="BZ155" s="37"/>
    </row>
    <row r="156" spans="20:78">
      <c r="T156" s="64"/>
      <c r="U156" s="302"/>
      <c r="V156" s="181">
        <v>7000</v>
      </c>
      <c r="W156" s="93">
        <f t="shared" ref="W156:AG156" si="122">ROUND(14.7*128/W59,0)</f>
        <v>136</v>
      </c>
      <c r="X156" s="94">
        <f t="shared" si="122"/>
        <v>136</v>
      </c>
      <c r="Y156" s="94">
        <f t="shared" si="122"/>
        <v>136</v>
      </c>
      <c r="Z156" s="94">
        <f t="shared" si="122"/>
        <v>138</v>
      </c>
      <c r="AA156" s="94">
        <f t="shared" si="122"/>
        <v>142</v>
      </c>
      <c r="AB156" s="94">
        <f t="shared" si="122"/>
        <v>147</v>
      </c>
      <c r="AC156" s="94">
        <f t="shared" si="122"/>
        <v>152</v>
      </c>
      <c r="AD156" s="94">
        <f t="shared" si="122"/>
        <v>155</v>
      </c>
      <c r="AE156" s="94">
        <f t="shared" si="122"/>
        <v>157</v>
      </c>
      <c r="AF156" s="94">
        <f t="shared" si="122"/>
        <v>159</v>
      </c>
      <c r="AG156" s="94">
        <f t="shared" si="122"/>
        <v>162</v>
      </c>
      <c r="AH156" s="94">
        <f t="shared" si="93"/>
        <v>165</v>
      </c>
      <c r="AI156" s="94">
        <f t="shared" si="93"/>
        <v>166</v>
      </c>
      <c r="AJ156" s="94">
        <f t="shared" si="93"/>
        <v>169</v>
      </c>
      <c r="AK156" s="94">
        <f t="shared" si="93"/>
        <v>170</v>
      </c>
      <c r="AL156" s="94">
        <f t="shared" si="93"/>
        <v>172</v>
      </c>
      <c r="AM156" s="94">
        <f t="shared" si="93"/>
        <v>173</v>
      </c>
      <c r="AN156" s="94">
        <f t="shared" si="93"/>
        <v>178</v>
      </c>
      <c r="AO156" s="94">
        <f t="shared" ref="AO156:AZ156" si="123">ROUND(14.7*128/AO59,0)</f>
        <v>175</v>
      </c>
      <c r="AP156" s="94">
        <f t="shared" si="123"/>
        <v>176</v>
      </c>
      <c r="AQ156" s="94">
        <f t="shared" si="123"/>
        <v>175</v>
      </c>
      <c r="AR156" s="94">
        <f t="shared" si="123"/>
        <v>179</v>
      </c>
      <c r="AS156" s="94">
        <f t="shared" si="123"/>
        <v>179</v>
      </c>
      <c r="AT156" s="94">
        <f t="shared" si="123"/>
        <v>179</v>
      </c>
      <c r="AU156" s="94">
        <f t="shared" si="123"/>
        <v>179</v>
      </c>
      <c r="AV156" s="94">
        <f t="shared" si="123"/>
        <v>181</v>
      </c>
      <c r="AW156" s="94">
        <f t="shared" si="123"/>
        <v>181</v>
      </c>
      <c r="AX156" s="94">
        <f t="shared" si="123"/>
        <v>181</v>
      </c>
      <c r="AY156" s="94">
        <f t="shared" si="123"/>
        <v>181</v>
      </c>
      <c r="AZ156" s="95">
        <f t="shared" si="123"/>
        <v>181</v>
      </c>
      <c r="BA156" s="183"/>
      <c r="BC156" s="38"/>
      <c r="BD156" s="39"/>
      <c r="BY156" s="40"/>
      <c r="BZ156" s="37"/>
    </row>
    <row r="157" spans="20:78">
      <c r="T157" s="64"/>
      <c r="U157" s="302"/>
      <c r="V157" s="181">
        <v>7500</v>
      </c>
      <c r="W157" s="93">
        <f t="shared" ref="W157:AG157" si="124">ROUND(14.7*128/W60,0)</f>
        <v>136</v>
      </c>
      <c r="X157" s="94">
        <f t="shared" si="124"/>
        <v>136</v>
      </c>
      <c r="Y157" s="94">
        <f t="shared" si="124"/>
        <v>136</v>
      </c>
      <c r="Z157" s="94">
        <f t="shared" si="124"/>
        <v>138</v>
      </c>
      <c r="AA157" s="94">
        <f t="shared" si="124"/>
        <v>142</v>
      </c>
      <c r="AB157" s="94">
        <f t="shared" si="124"/>
        <v>148</v>
      </c>
      <c r="AC157" s="94">
        <f t="shared" si="124"/>
        <v>153</v>
      </c>
      <c r="AD157" s="94">
        <f t="shared" si="124"/>
        <v>156</v>
      </c>
      <c r="AE157" s="94">
        <f t="shared" si="124"/>
        <v>157</v>
      </c>
      <c r="AF157" s="94">
        <f t="shared" si="124"/>
        <v>159</v>
      </c>
      <c r="AG157" s="94">
        <f t="shared" si="124"/>
        <v>162</v>
      </c>
      <c r="AH157" s="94">
        <f t="shared" si="93"/>
        <v>165</v>
      </c>
      <c r="AI157" s="94">
        <f t="shared" si="93"/>
        <v>166</v>
      </c>
      <c r="AJ157" s="94">
        <f t="shared" si="93"/>
        <v>168</v>
      </c>
      <c r="AK157" s="94">
        <f t="shared" si="93"/>
        <v>169</v>
      </c>
      <c r="AL157" s="94">
        <f t="shared" si="93"/>
        <v>173</v>
      </c>
      <c r="AM157" s="94">
        <f t="shared" si="93"/>
        <v>173</v>
      </c>
      <c r="AN157" s="94">
        <f t="shared" si="93"/>
        <v>176</v>
      </c>
      <c r="AO157" s="94">
        <f t="shared" ref="AO157:AZ157" si="125">ROUND(14.7*128/AO60,0)</f>
        <v>175</v>
      </c>
      <c r="AP157" s="94">
        <f t="shared" si="125"/>
        <v>175</v>
      </c>
      <c r="AQ157" s="94">
        <f t="shared" si="125"/>
        <v>175</v>
      </c>
      <c r="AR157" s="94">
        <f t="shared" si="125"/>
        <v>177</v>
      </c>
      <c r="AS157" s="94">
        <f t="shared" si="125"/>
        <v>177</v>
      </c>
      <c r="AT157" s="94">
        <f t="shared" si="125"/>
        <v>177</v>
      </c>
      <c r="AU157" s="94">
        <f t="shared" si="125"/>
        <v>177</v>
      </c>
      <c r="AV157" s="94">
        <f t="shared" si="125"/>
        <v>179</v>
      </c>
      <c r="AW157" s="94">
        <f t="shared" si="125"/>
        <v>179</v>
      </c>
      <c r="AX157" s="94">
        <f t="shared" si="125"/>
        <v>179</v>
      </c>
      <c r="AY157" s="94">
        <f t="shared" si="125"/>
        <v>179</v>
      </c>
      <c r="AZ157" s="95">
        <f t="shared" si="125"/>
        <v>179</v>
      </c>
      <c r="BA157" s="183"/>
      <c r="BC157" s="38"/>
      <c r="BD157" s="39"/>
      <c r="BY157" s="40"/>
      <c r="BZ157" s="37"/>
    </row>
    <row r="158" spans="20:78">
      <c r="T158" s="64"/>
      <c r="U158" s="302"/>
      <c r="V158" s="181">
        <v>8000</v>
      </c>
      <c r="W158" s="93">
        <f t="shared" ref="W158:AG158" si="126">ROUND(14.7*128/W61,0)</f>
        <v>136</v>
      </c>
      <c r="X158" s="94">
        <f t="shared" si="126"/>
        <v>136</v>
      </c>
      <c r="Y158" s="94">
        <f t="shared" si="126"/>
        <v>136</v>
      </c>
      <c r="Z158" s="94">
        <f t="shared" si="126"/>
        <v>138</v>
      </c>
      <c r="AA158" s="94">
        <f t="shared" si="126"/>
        <v>142</v>
      </c>
      <c r="AB158" s="94">
        <f t="shared" si="126"/>
        <v>148</v>
      </c>
      <c r="AC158" s="94">
        <f t="shared" si="126"/>
        <v>153</v>
      </c>
      <c r="AD158" s="94">
        <f t="shared" si="126"/>
        <v>156</v>
      </c>
      <c r="AE158" s="94">
        <f t="shared" si="126"/>
        <v>157</v>
      </c>
      <c r="AF158" s="94">
        <f t="shared" si="126"/>
        <v>159</v>
      </c>
      <c r="AG158" s="94">
        <f t="shared" si="126"/>
        <v>162</v>
      </c>
      <c r="AH158" s="94">
        <f t="shared" si="93"/>
        <v>165</v>
      </c>
      <c r="AI158" s="94">
        <f t="shared" si="93"/>
        <v>166</v>
      </c>
      <c r="AJ158" s="94">
        <f t="shared" si="93"/>
        <v>168</v>
      </c>
      <c r="AK158" s="94">
        <f t="shared" si="93"/>
        <v>169</v>
      </c>
      <c r="AL158" s="94">
        <f t="shared" si="93"/>
        <v>171</v>
      </c>
      <c r="AM158" s="94">
        <f t="shared" si="93"/>
        <v>173</v>
      </c>
      <c r="AN158" s="94">
        <f t="shared" si="93"/>
        <v>174</v>
      </c>
      <c r="AO158" s="94">
        <f t="shared" ref="AO158:AZ158" si="127">ROUND(14.7*128/AO61,0)</f>
        <v>175</v>
      </c>
      <c r="AP158" s="94">
        <f t="shared" si="127"/>
        <v>175</v>
      </c>
      <c r="AQ158" s="94">
        <f t="shared" si="127"/>
        <v>173</v>
      </c>
      <c r="AR158" s="94">
        <f t="shared" si="127"/>
        <v>175</v>
      </c>
      <c r="AS158" s="94">
        <f t="shared" si="127"/>
        <v>175</v>
      </c>
      <c r="AT158" s="94">
        <f t="shared" si="127"/>
        <v>175</v>
      </c>
      <c r="AU158" s="94">
        <f t="shared" si="127"/>
        <v>175</v>
      </c>
      <c r="AV158" s="94">
        <f t="shared" si="127"/>
        <v>177</v>
      </c>
      <c r="AW158" s="94">
        <f t="shared" si="127"/>
        <v>177</v>
      </c>
      <c r="AX158" s="94">
        <f t="shared" si="127"/>
        <v>177</v>
      </c>
      <c r="AY158" s="94">
        <f t="shared" si="127"/>
        <v>177</v>
      </c>
      <c r="AZ158" s="95">
        <f t="shared" si="127"/>
        <v>177</v>
      </c>
      <c r="BA158" s="183"/>
      <c r="BC158" s="38"/>
      <c r="BD158" s="39"/>
      <c r="BY158" s="40"/>
      <c r="BZ158" s="37"/>
    </row>
    <row r="159" spans="20:78">
      <c r="T159" s="64"/>
      <c r="U159" s="302">
        <v>0</v>
      </c>
      <c r="V159" s="181">
        <v>8500</v>
      </c>
      <c r="W159" s="93">
        <f t="shared" ref="W159:AG159" si="128">ROUND(14.7*128/W62,0)</f>
        <v>136</v>
      </c>
      <c r="X159" s="94">
        <f t="shared" si="128"/>
        <v>136</v>
      </c>
      <c r="Y159" s="94">
        <f t="shared" si="128"/>
        <v>136</v>
      </c>
      <c r="Z159" s="94">
        <f t="shared" si="128"/>
        <v>138</v>
      </c>
      <c r="AA159" s="94">
        <f t="shared" si="128"/>
        <v>142</v>
      </c>
      <c r="AB159" s="94">
        <f t="shared" si="128"/>
        <v>148</v>
      </c>
      <c r="AC159" s="94">
        <f t="shared" si="128"/>
        <v>153</v>
      </c>
      <c r="AD159" s="94">
        <f t="shared" si="128"/>
        <v>156</v>
      </c>
      <c r="AE159" s="94">
        <f t="shared" si="128"/>
        <v>157</v>
      </c>
      <c r="AF159" s="94">
        <f t="shared" si="128"/>
        <v>159</v>
      </c>
      <c r="AG159" s="94">
        <f t="shared" si="128"/>
        <v>162</v>
      </c>
      <c r="AH159" s="94">
        <f t="shared" si="93"/>
        <v>165</v>
      </c>
      <c r="AI159" s="94">
        <f t="shared" si="93"/>
        <v>166</v>
      </c>
      <c r="AJ159" s="94">
        <f t="shared" si="93"/>
        <v>168</v>
      </c>
      <c r="AK159" s="94">
        <f t="shared" si="93"/>
        <v>169</v>
      </c>
      <c r="AL159" s="94">
        <f t="shared" si="93"/>
        <v>171</v>
      </c>
      <c r="AM159" s="94">
        <f t="shared" si="93"/>
        <v>173</v>
      </c>
      <c r="AN159" s="94">
        <f t="shared" si="93"/>
        <v>174</v>
      </c>
      <c r="AO159" s="94">
        <f t="shared" ref="AO159:AZ159" si="129">ROUND(14.7*128/AO62,0)</f>
        <v>175</v>
      </c>
      <c r="AP159" s="94">
        <f t="shared" si="129"/>
        <v>175</v>
      </c>
      <c r="AQ159" s="94">
        <f t="shared" si="129"/>
        <v>173</v>
      </c>
      <c r="AR159" s="94">
        <f t="shared" si="129"/>
        <v>175</v>
      </c>
      <c r="AS159" s="94">
        <f t="shared" si="129"/>
        <v>175</v>
      </c>
      <c r="AT159" s="94">
        <f t="shared" si="129"/>
        <v>175</v>
      </c>
      <c r="AU159" s="94">
        <f t="shared" si="129"/>
        <v>175</v>
      </c>
      <c r="AV159" s="94">
        <f t="shared" si="129"/>
        <v>175</v>
      </c>
      <c r="AW159" s="94">
        <f t="shared" si="129"/>
        <v>175</v>
      </c>
      <c r="AX159" s="94">
        <f t="shared" si="129"/>
        <v>175</v>
      </c>
      <c r="AY159" s="94">
        <f t="shared" si="129"/>
        <v>175</v>
      </c>
      <c r="AZ159" s="95">
        <f t="shared" si="129"/>
        <v>175</v>
      </c>
      <c r="BA159" s="183"/>
      <c r="BC159" s="38"/>
      <c r="BD159" s="39"/>
      <c r="BY159" s="40"/>
      <c r="BZ159" s="37"/>
    </row>
    <row r="160" spans="20:78" ht="13.5" thickBot="1">
      <c r="T160" s="64"/>
      <c r="U160" s="302"/>
      <c r="V160" s="182">
        <v>11000</v>
      </c>
      <c r="W160" s="96">
        <f t="shared" ref="W160:AG160" si="130">ROUND(14.7*128/W63,0)</f>
        <v>136</v>
      </c>
      <c r="X160" s="97">
        <f t="shared" si="130"/>
        <v>136</v>
      </c>
      <c r="Y160" s="97">
        <f t="shared" si="130"/>
        <v>136</v>
      </c>
      <c r="Z160" s="97">
        <f t="shared" si="130"/>
        <v>138</v>
      </c>
      <c r="AA160" s="97">
        <f t="shared" si="130"/>
        <v>142</v>
      </c>
      <c r="AB160" s="97">
        <f t="shared" si="130"/>
        <v>148</v>
      </c>
      <c r="AC160" s="97">
        <f t="shared" si="130"/>
        <v>153</v>
      </c>
      <c r="AD160" s="97">
        <f t="shared" si="130"/>
        <v>156</v>
      </c>
      <c r="AE160" s="97">
        <f t="shared" si="130"/>
        <v>157</v>
      </c>
      <c r="AF160" s="97">
        <f t="shared" si="130"/>
        <v>159</v>
      </c>
      <c r="AG160" s="97">
        <f t="shared" si="130"/>
        <v>162</v>
      </c>
      <c r="AH160" s="97">
        <f t="shared" si="93"/>
        <v>165</v>
      </c>
      <c r="AI160" s="97">
        <f t="shared" si="93"/>
        <v>166</v>
      </c>
      <c r="AJ160" s="97">
        <f t="shared" si="93"/>
        <v>168</v>
      </c>
      <c r="AK160" s="97">
        <f t="shared" si="93"/>
        <v>169</v>
      </c>
      <c r="AL160" s="97">
        <f t="shared" si="93"/>
        <v>171</v>
      </c>
      <c r="AM160" s="97">
        <f t="shared" si="93"/>
        <v>173</v>
      </c>
      <c r="AN160" s="97">
        <f t="shared" si="93"/>
        <v>174</v>
      </c>
      <c r="AO160" s="97">
        <f t="shared" ref="AO160:AZ160" si="131">ROUND(14.7*128/AO63,0)</f>
        <v>175</v>
      </c>
      <c r="AP160" s="97">
        <f t="shared" si="131"/>
        <v>175</v>
      </c>
      <c r="AQ160" s="97">
        <f t="shared" si="131"/>
        <v>173</v>
      </c>
      <c r="AR160" s="97">
        <f t="shared" si="131"/>
        <v>175</v>
      </c>
      <c r="AS160" s="97">
        <f t="shared" si="131"/>
        <v>175</v>
      </c>
      <c r="AT160" s="97">
        <f t="shared" si="131"/>
        <v>175</v>
      </c>
      <c r="AU160" s="97">
        <f t="shared" si="131"/>
        <v>175</v>
      </c>
      <c r="AV160" s="97">
        <f t="shared" si="131"/>
        <v>175</v>
      </c>
      <c r="AW160" s="97">
        <f t="shared" si="131"/>
        <v>175</v>
      </c>
      <c r="AX160" s="97">
        <f t="shared" si="131"/>
        <v>175</v>
      </c>
      <c r="AY160" s="97">
        <f t="shared" si="131"/>
        <v>175</v>
      </c>
      <c r="AZ160" s="98">
        <f t="shared" si="131"/>
        <v>175</v>
      </c>
      <c r="BA160" s="183"/>
      <c r="BC160" s="38"/>
      <c r="BD160" s="39"/>
      <c r="BY160" s="40"/>
      <c r="BZ160" s="37"/>
    </row>
    <row r="161" spans="20:78" ht="12" customHeight="1">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183"/>
      <c r="BD161" s="37"/>
      <c r="BE161" s="37"/>
      <c r="BF161" s="37"/>
      <c r="BG161" s="37"/>
      <c r="BH161" s="37"/>
      <c r="BI161" s="37"/>
      <c r="BJ161" s="37"/>
      <c r="BK161" s="37"/>
      <c r="BL161" s="37"/>
      <c r="BM161" s="37"/>
      <c r="BN161" s="37"/>
      <c r="BO161" s="37"/>
      <c r="BP161" s="37"/>
      <c r="BQ161" s="37"/>
      <c r="BR161" s="37"/>
      <c r="BS161" s="37"/>
      <c r="BT161" s="37"/>
      <c r="BU161" s="37"/>
      <c r="BV161" s="37"/>
      <c r="BW161" s="37"/>
      <c r="BX161" s="37"/>
      <c r="BY161" s="37"/>
      <c r="BZ161" s="37"/>
    </row>
    <row r="162" spans="20:78" ht="12" customHeight="1">
      <c r="BD162" s="37"/>
      <c r="BE162" s="37"/>
      <c r="BF162" s="37"/>
      <c r="BG162" s="37"/>
      <c r="BH162" s="37"/>
      <c r="BI162" s="37"/>
      <c r="BJ162" s="37"/>
      <c r="BK162" s="37"/>
      <c r="BL162" s="37"/>
      <c r="BM162" s="37"/>
      <c r="BN162" s="37"/>
      <c r="BO162" s="37"/>
      <c r="BP162" s="37"/>
      <c r="BQ162" s="37"/>
      <c r="BR162" s="37"/>
      <c r="BS162" s="37"/>
      <c r="BT162" s="37"/>
      <c r="BU162" s="37"/>
      <c r="BV162" s="37"/>
      <c r="BW162" s="37"/>
      <c r="BX162" s="37"/>
      <c r="BY162" s="37"/>
      <c r="BZ162" s="37"/>
    </row>
  </sheetData>
  <mergeCells count="48">
    <mergeCell ref="U1:V1"/>
    <mergeCell ref="W1:Y1"/>
    <mergeCell ref="Z1:AA1"/>
    <mergeCell ref="AD1:AE1"/>
    <mergeCell ref="U2:V2"/>
    <mergeCell ref="W2:Y2"/>
    <mergeCell ref="Z2:AA2"/>
    <mergeCell ref="BB1:BX1"/>
    <mergeCell ref="BB52:BX52"/>
    <mergeCell ref="BZ49:DD49"/>
    <mergeCell ref="BZ12:DD12"/>
    <mergeCell ref="W36:AZ36"/>
    <mergeCell ref="W37:AZ37"/>
    <mergeCell ref="W3:AZ3"/>
    <mergeCell ref="W4:AZ4"/>
    <mergeCell ref="AD2:AE2"/>
    <mergeCell ref="U3:V5"/>
    <mergeCell ref="V31:X32"/>
    <mergeCell ref="Y31:Z31"/>
    <mergeCell ref="AA31:AA32"/>
    <mergeCell ref="Y32:Z32"/>
    <mergeCell ref="U6:U30"/>
    <mergeCell ref="AH32:AI32"/>
    <mergeCell ref="AJ32:AK32"/>
    <mergeCell ref="AM32:AN32"/>
    <mergeCell ref="V33:X34"/>
    <mergeCell ref="Y33:Z33"/>
    <mergeCell ref="AA33:AA34"/>
    <mergeCell ref="AH33:AI33"/>
    <mergeCell ref="AJ33:AK33"/>
    <mergeCell ref="AM33:AN33"/>
    <mergeCell ref="Y34:Z34"/>
    <mergeCell ref="U66:V68"/>
    <mergeCell ref="U69:U93"/>
    <mergeCell ref="U35:AA35"/>
    <mergeCell ref="U36:V38"/>
    <mergeCell ref="U136:U160"/>
    <mergeCell ref="U39:U63"/>
    <mergeCell ref="T99:AZ99"/>
    <mergeCell ref="U100:V102"/>
    <mergeCell ref="U103:U127"/>
    <mergeCell ref="T130:AZ132"/>
    <mergeCell ref="W101:AZ101"/>
    <mergeCell ref="W100:AZ100"/>
    <mergeCell ref="W133:AZ133"/>
    <mergeCell ref="W134:AZ134"/>
    <mergeCell ref="W66:AZ66"/>
    <mergeCell ref="W67:AZ67"/>
  </mergeCells>
  <conditionalFormatting sqref="W58:AZ59">
    <cfRule type="cellIs" dxfId="75" priority="15" stopIfTrue="1" operator="greaterThan">
      <formula>W95</formula>
    </cfRule>
    <cfRule type="cellIs" dxfId="74" priority="16" stopIfTrue="1" operator="lessThan">
      <formula>W95</formula>
    </cfRule>
  </conditionalFormatting>
  <conditionalFormatting sqref="W30:AZ30">
    <cfRule type="cellIs" dxfId="73" priority="13" stopIfTrue="1" operator="greaterThan">
      <formula>W60*1.005</formula>
    </cfRule>
    <cfRule type="cellIs" dxfId="72" priority="14" stopIfTrue="1" operator="lessThan">
      <formula>W60*0.995</formula>
    </cfRule>
  </conditionalFormatting>
  <conditionalFormatting sqref="AA31:AA34">
    <cfRule type="cellIs" dxfId="71" priority="11" stopIfTrue="1" operator="lessThan">
      <formula>0</formula>
    </cfRule>
    <cfRule type="cellIs" dxfId="70" priority="12" stopIfTrue="1" operator="greaterThan">
      <formula>0</formula>
    </cfRule>
  </conditionalFormatting>
  <conditionalFormatting sqref="W103:AZ127">
    <cfRule type="cellIs" dxfId="69" priority="10" stopIfTrue="1" operator="equal">
      <formula>1</formula>
    </cfRule>
  </conditionalFormatting>
  <conditionalFormatting sqref="CA51:DD84 CA14:DD38">
    <cfRule type="cellIs" dxfId="68" priority="7" stopIfTrue="1" operator="greaterThanOrEqual">
      <formula>0.0001</formula>
    </cfRule>
    <cfRule type="cellIs" dxfId="67" priority="8" stopIfTrue="1" operator="lessThanOrEqual">
      <formula>-0.0001</formula>
    </cfRule>
    <cfRule type="cellIs" dxfId="66" priority="9" stopIfTrue="1" operator="between">
      <formula>-0.0001</formula>
      <formula>0.0001</formula>
    </cfRule>
  </conditionalFormatting>
  <conditionalFormatting sqref="W29:AZ29">
    <cfRule type="cellIs" dxfId="65" priority="17" stopIfTrue="1" operator="greaterThan">
      <formula>W60*1.005</formula>
    </cfRule>
    <cfRule type="cellIs" dxfId="64" priority="18" stopIfTrue="1" operator="lessThan">
      <formula>W60*0.995</formula>
    </cfRule>
  </conditionalFormatting>
  <conditionalFormatting sqref="W28:AZ28">
    <cfRule type="cellIs" dxfId="63" priority="19" stopIfTrue="1" operator="greaterThan">
      <formula>W62*1.005</formula>
    </cfRule>
    <cfRule type="cellIs" dxfId="62" priority="20" stopIfTrue="1" operator="lessThan">
      <formula>W62*0.995</formula>
    </cfRule>
  </conditionalFormatting>
  <conditionalFormatting sqref="W22:AZ22">
    <cfRule type="cellIs" dxfId="61" priority="21" stopIfTrue="1" operator="greaterThan">
      <formula>W60*1.005</formula>
    </cfRule>
    <cfRule type="cellIs" dxfId="60" priority="22" stopIfTrue="1" operator="lessThan">
      <formula>W60*0.995</formula>
    </cfRule>
  </conditionalFormatting>
  <conditionalFormatting sqref="W6:AZ30">
    <cfRule type="cellIs" dxfId="59" priority="23" stopIfTrue="1" operator="greaterThan">
      <formula>W39*1.005</formula>
    </cfRule>
    <cfRule type="cellIs" dxfId="58" priority="24" stopIfTrue="1" operator="lessThan">
      <formula>W39*0.995</formula>
    </cfRule>
  </conditionalFormatting>
  <conditionalFormatting sqref="W23:AZ30">
    <cfRule type="cellIs" dxfId="57" priority="25" stopIfTrue="1" operator="greaterThan">
      <formula>W60*1.005</formula>
    </cfRule>
    <cfRule type="cellIs" dxfId="56" priority="26" stopIfTrue="1" operator="lessThan">
      <formula>W60*0.995</formula>
    </cfRule>
  </conditionalFormatting>
  <conditionalFormatting sqref="W27:AZ27">
    <cfRule type="cellIs" dxfId="55" priority="27" stopIfTrue="1" operator="greaterThan">
      <formula>W62*1.005</formula>
    </cfRule>
    <cfRule type="cellIs" dxfId="54" priority="28" stopIfTrue="1" operator="lessThan">
      <formula>W62*0.995</formula>
    </cfRule>
  </conditionalFormatting>
  <conditionalFormatting sqref="W25:AZ26">
    <cfRule type="cellIs" dxfId="53" priority="29" stopIfTrue="1" operator="greaterThan">
      <formula>W61*1.005</formula>
    </cfRule>
    <cfRule type="cellIs" dxfId="52" priority="30" stopIfTrue="1" operator="lessThan">
      <formula>W61*0.995</formula>
    </cfRule>
  </conditionalFormatting>
  <conditionalFormatting sqref="W60:AZ60">
    <cfRule type="cellIs" dxfId="51" priority="5" stopIfTrue="1" operator="greaterThan">
      <formula>V94</formula>
    </cfRule>
    <cfRule type="cellIs" dxfId="50" priority="6" stopIfTrue="1" operator="lessThan">
      <formula>V94</formula>
    </cfRule>
  </conditionalFormatting>
  <conditionalFormatting sqref="W61:AZ61">
    <cfRule type="cellIs" dxfId="49" priority="3" stopIfTrue="1" operator="greaterThan">
      <formula>W95</formula>
    </cfRule>
    <cfRule type="cellIs" dxfId="48" priority="4" stopIfTrue="1" operator="lessThan">
      <formula>W95</formula>
    </cfRule>
  </conditionalFormatting>
  <conditionalFormatting sqref="W62:AZ63">
    <cfRule type="cellIs" dxfId="47" priority="1" stopIfTrue="1" operator="greaterThan">
      <formula>W96</formula>
    </cfRule>
    <cfRule type="cellIs" dxfId="46" priority="2" stopIfTrue="1" operator="lessThan">
      <formula>W96</formula>
    </cfRule>
  </conditionalFormatting>
  <conditionalFormatting sqref="W21:AZ30">
    <cfRule type="cellIs" dxfId="45" priority="33" stopIfTrue="1" operator="greaterThan">
      <formula>W60*1.005</formula>
    </cfRule>
    <cfRule type="cellIs" dxfId="44" priority="34" stopIfTrue="1" operator="lessThan">
      <formula>W60*0.995</formula>
    </cfRule>
  </conditionalFormatting>
  <conditionalFormatting sqref="W39:AZ41 W40:AD48">
    <cfRule type="cellIs" dxfId="43" priority="35" stopIfTrue="1" operator="greaterThan">
      <formula>W69</formula>
    </cfRule>
    <cfRule type="cellIs" dxfId="42" priority="36" stopIfTrue="1" operator="lessThan">
      <formula>W69</formula>
    </cfRule>
  </conditionalFormatting>
  <conditionalFormatting sqref="W55:AZ63">
    <cfRule type="cellIs" dxfId="41" priority="39" stopIfTrue="1" operator="greaterThan">
      <formula>W95</formula>
    </cfRule>
    <cfRule type="cellIs" dxfId="40" priority="40" stopIfTrue="1" operator="lessThan">
      <formula>W95</formula>
    </cfRule>
  </conditionalFormatting>
  <conditionalFormatting sqref="W57:AZ57">
    <cfRule type="cellIs" dxfId="39" priority="43" stopIfTrue="1" operator="greaterThan">
      <formula>V94</formula>
    </cfRule>
    <cfRule type="cellIs" dxfId="38" priority="44" stopIfTrue="1" operator="lessThan">
      <formula>V94</formula>
    </cfRule>
  </conditionalFormatting>
  <conditionalFormatting sqref="W54:AZ54">
    <cfRule type="cellIs" dxfId="37" priority="56" stopIfTrue="1" operator="greaterThan">
      <formula>V94</formula>
    </cfRule>
    <cfRule type="cellIs" dxfId="36" priority="57" stopIfTrue="1" operator="lessThan">
      <formula>V94</formula>
    </cfRule>
  </conditionalFormatting>
  <conditionalFormatting sqref="W42:AZ53">
    <cfRule type="cellIs" dxfId="35" priority="66" stopIfTrue="1" operator="greaterThan">
      <formula>W85</formula>
    </cfRule>
    <cfRule type="cellIs" dxfId="34" priority="67" stopIfTrue="1" operator="lessThan">
      <formula>W85</formula>
    </cfRule>
  </conditionalFormatting>
  <conditionalFormatting sqref="W51:AZ53">
    <cfRule type="cellIs" dxfId="33" priority="68" stopIfTrue="1" operator="greaterThan">
      <formula>#REF!</formula>
    </cfRule>
    <cfRule type="cellIs" dxfId="32" priority="69" stopIfTrue="1" operator="lessThan">
      <formula>#REF!</formula>
    </cfRule>
  </conditionalFormatting>
  <printOptions horizontalCentered="1"/>
  <pageMargins left="0.3" right="0.3" top="1.5" bottom="0.3" header="0.5" footer="0.5"/>
  <pageSetup paperSize="17" scale="21" fitToWidth="0" fitToHeight="0" orientation="landscape" horizontalDpi="200" verticalDpi="200" r:id="rId1"/>
  <headerFooter alignWithMargins="0"/>
  <drawing r:id="rId2"/>
  <legacyDrawing r:id="rId3"/>
  <controls>
    <control shapeId="234503" r:id="rId4" name="SpinButton6"/>
    <control shapeId="234502" r:id="rId5" name="SpinButton5"/>
    <control shapeId="234501" r:id="rId6" name="SpinButton4"/>
    <control shapeId="234500" r:id="rId7" name="SpinButton3"/>
    <control shapeId="234499" r:id="rId8" name="CheckBox1"/>
    <control shapeId="234498" r:id="rId9" name="SpinButton2"/>
    <control shapeId="234497" r:id="rId10" name="SpinButton1"/>
  </controls>
</worksheet>
</file>

<file path=xl/worksheets/sheet7.xml><?xml version="1.0" encoding="utf-8"?>
<worksheet xmlns="http://schemas.openxmlformats.org/spreadsheetml/2006/main" xmlns:r="http://schemas.openxmlformats.org/officeDocument/2006/relationships">
  <sheetPr codeName="Sheet7"/>
  <dimension ref="A1:CO88"/>
  <sheetViews>
    <sheetView topLeftCell="B1" zoomScale="60" zoomScaleNormal="60" workbookViewId="0">
      <selection activeCell="AO19" sqref="AO19"/>
    </sheetView>
  </sheetViews>
  <sheetFormatPr defaultColWidth="9.140625" defaultRowHeight="15"/>
  <cols>
    <col min="1" max="1" width="28.7109375" style="117" bestFit="1" customWidth="1"/>
    <col min="2" max="24" width="4" style="117" customWidth="1"/>
    <col min="25" max="25" width="2" style="117" customWidth="1"/>
    <col min="26" max="26" width="8.7109375" style="117" bestFit="1" customWidth="1"/>
    <col min="27" max="27" width="7" style="117" bestFit="1" customWidth="1"/>
    <col min="28" max="36" width="4.5703125" style="117" bestFit="1" customWidth="1"/>
    <col min="37" max="50" width="4.7109375" style="117" bestFit="1" customWidth="1"/>
    <col min="51" max="51" width="5" style="117" bestFit="1" customWidth="1"/>
    <col min="52" max="57" width="4.7109375" style="117" bestFit="1" customWidth="1"/>
    <col min="58" max="58" width="4.28515625" style="117" customWidth="1"/>
    <col min="59" max="59" width="7" style="117" bestFit="1" customWidth="1"/>
    <col min="60" max="68" width="3.7109375" style="117" bestFit="1" customWidth="1"/>
    <col min="69" max="89" width="4.7109375" style="117" bestFit="1" customWidth="1"/>
    <col min="90" max="91" width="4" style="117" customWidth="1"/>
    <col min="92" max="93" width="11.7109375" style="117" bestFit="1" customWidth="1"/>
    <col min="94" max="197" width="4" style="117" customWidth="1"/>
    <col min="198" max="16384" width="9.140625" style="117"/>
  </cols>
  <sheetData>
    <row r="1" spans="1:93" ht="17.25" customHeight="1">
      <c r="A1" s="172" t="s">
        <v>5</v>
      </c>
      <c r="AD1" s="171"/>
      <c r="AE1" s="388" t="s">
        <v>7</v>
      </c>
      <c r="AF1" s="388"/>
      <c r="AG1" s="388"/>
      <c r="AH1" s="388"/>
      <c r="AI1" s="388"/>
      <c r="AJ1" s="388"/>
      <c r="AK1" s="388"/>
    </row>
    <row r="2" spans="1:93" ht="16.5" customHeight="1" thickBot="1"/>
    <row r="3" spans="1:93" s="144" customFormat="1" ht="16.5" customHeight="1" thickBot="1">
      <c r="Z3" s="376">
        <v>1</v>
      </c>
      <c r="AA3" s="377"/>
      <c r="AB3" s="382" t="s">
        <v>27</v>
      </c>
      <c r="AC3" s="383"/>
      <c r="AD3" s="383"/>
      <c r="AE3" s="383"/>
      <c r="AF3" s="383"/>
      <c r="AG3" s="383"/>
      <c r="AH3" s="383"/>
      <c r="AI3" s="383"/>
      <c r="AJ3" s="383"/>
      <c r="AK3" s="383"/>
      <c r="AL3" s="383"/>
      <c r="AM3" s="383"/>
      <c r="AN3" s="383"/>
      <c r="AO3" s="383"/>
      <c r="AP3" s="383"/>
      <c r="AQ3" s="383"/>
      <c r="AR3" s="383"/>
      <c r="AS3" s="383"/>
      <c r="AT3" s="383"/>
      <c r="AU3" s="383"/>
      <c r="AV3" s="383"/>
      <c r="AW3" s="383"/>
      <c r="AX3" s="383"/>
      <c r="AY3" s="383"/>
      <c r="AZ3" s="383"/>
      <c r="BA3" s="383"/>
      <c r="BB3" s="383"/>
      <c r="BC3" s="383"/>
      <c r="BD3" s="383"/>
      <c r="BE3" s="384"/>
    </row>
    <row r="4" spans="1:93" s="144" customFormat="1" ht="16.5" customHeight="1" thickBot="1">
      <c r="Z4" s="378"/>
      <c r="AA4" s="379"/>
      <c r="AB4" s="385" t="s">
        <v>0</v>
      </c>
      <c r="AC4" s="386"/>
      <c r="AD4" s="386"/>
      <c r="AE4" s="386"/>
      <c r="AF4" s="386"/>
      <c r="AG4" s="386"/>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7"/>
      <c r="CN4" s="29" t="s">
        <v>4</v>
      </c>
      <c r="CO4" s="29" t="s">
        <v>4</v>
      </c>
    </row>
    <row r="5" spans="1:93" s="144" customFormat="1" ht="16.5" customHeight="1" thickBot="1">
      <c r="Z5" s="380"/>
      <c r="AA5" s="381"/>
      <c r="AB5" s="170">
        <v>10</v>
      </c>
      <c r="AC5" s="169">
        <v>20</v>
      </c>
      <c r="AD5" s="168">
        <v>30</v>
      </c>
      <c r="AE5" s="168">
        <v>40</v>
      </c>
      <c r="AF5" s="168">
        <v>50</v>
      </c>
      <c r="AG5" s="167">
        <v>60</v>
      </c>
      <c r="AH5" s="167">
        <v>70</v>
      </c>
      <c r="AI5" s="167">
        <v>80</v>
      </c>
      <c r="AJ5" s="167">
        <v>90</v>
      </c>
      <c r="AK5" s="167">
        <v>100</v>
      </c>
      <c r="AL5" s="167">
        <v>120</v>
      </c>
      <c r="AM5" s="167">
        <v>140</v>
      </c>
      <c r="AN5" s="167">
        <v>150</v>
      </c>
      <c r="AO5" s="166">
        <v>160</v>
      </c>
      <c r="AP5" s="166">
        <v>170</v>
      </c>
      <c r="AQ5" s="166">
        <v>180</v>
      </c>
      <c r="AR5" s="166">
        <v>190</v>
      </c>
      <c r="AS5" s="166">
        <v>200</v>
      </c>
      <c r="AT5" s="166">
        <v>210</v>
      </c>
      <c r="AU5" s="166">
        <v>220</v>
      </c>
      <c r="AV5" s="166">
        <v>230</v>
      </c>
      <c r="AW5" s="166">
        <v>240</v>
      </c>
      <c r="AX5" s="166">
        <v>250</v>
      </c>
      <c r="AY5" s="166">
        <v>260</v>
      </c>
      <c r="AZ5" s="166">
        <v>270</v>
      </c>
      <c r="BA5" s="166">
        <v>280</v>
      </c>
      <c r="BB5" s="166">
        <v>290</v>
      </c>
      <c r="BC5" s="166">
        <v>300</v>
      </c>
      <c r="BD5" s="166">
        <v>310</v>
      </c>
      <c r="BE5" s="165">
        <v>320</v>
      </c>
      <c r="CN5" s="30" t="s">
        <v>2</v>
      </c>
      <c r="CO5" s="31" t="s">
        <v>3</v>
      </c>
    </row>
    <row r="6" spans="1:93" s="144" customFormat="1" ht="16.5" customHeight="1">
      <c r="Z6" s="373" t="s">
        <v>1</v>
      </c>
      <c r="AA6" s="137">
        <v>500</v>
      </c>
      <c r="AB6" s="164">
        <f t="shared" ref="AB6:BE6" si="0">AB35</f>
        <v>13</v>
      </c>
      <c r="AC6" s="163">
        <f t="shared" si="0"/>
        <v>13</v>
      </c>
      <c r="AD6" s="163">
        <f t="shared" si="0"/>
        <v>13</v>
      </c>
      <c r="AE6" s="163">
        <f t="shared" si="0"/>
        <v>13</v>
      </c>
      <c r="AF6" s="163">
        <f t="shared" si="0"/>
        <v>12</v>
      </c>
      <c r="AG6" s="163">
        <f t="shared" si="0"/>
        <v>12</v>
      </c>
      <c r="AH6" s="163">
        <f t="shared" si="0"/>
        <v>12</v>
      </c>
      <c r="AI6" s="163">
        <f t="shared" si="0"/>
        <v>11</v>
      </c>
      <c r="AJ6" s="163">
        <f t="shared" si="0"/>
        <v>10</v>
      </c>
      <c r="AK6" s="163">
        <f t="shared" si="0"/>
        <v>9</v>
      </c>
      <c r="AL6" s="163">
        <f t="shared" si="0"/>
        <v>6</v>
      </c>
      <c r="AM6" s="163">
        <f t="shared" si="0"/>
        <v>4</v>
      </c>
      <c r="AN6" s="163">
        <f t="shared" si="0"/>
        <v>3</v>
      </c>
      <c r="AO6" s="163">
        <f t="shared" si="0"/>
        <v>2</v>
      </c>
      <c r="AP6" s="163">
        <f t="shared" si="0"/>
        <v>2</v>
      </c>
      <c r="AQ6" s="163">
        <f t="shared" si="0"/>
        <v>2</v>
      </c>
      <c r="AR6" s="163">
        <f t="shared" si="0"/>
        <v>1</v>
      </c>
      <c r="AS6" s="163">
        <f t="shared" si="0"/>
        <v>0</v>
      </c>
      <c r="AT6" s="163">
        <f t="shared" si="0"/>
        <v>-2</v>
      </c>
      <c r="AU6" s="163">
        <f t="shared" si="0"/>
        <v>-3</v>
      </c>
      <c r="AV6" s="163">
        <f t="shared" si="0"/>
        <v>-5</v>
      </c>
      <c r="AW6" s="163">
        <f t="shared" si="0"/>
        <v>-6</v>
      </c>
      <c r="AX6" s="163">
        <f t="shared" si="0"/>
        <v>-7</v>
      </c>
      <c r="AY6" s="163">
        <f t="shared" si="0"/>
        <v>-7</v>
      </c>
      <c r="AZ6" s="163">
        <f t="shared" si="0"/>
        <v>-7</v>
      </c>
      <c r="BA6" s="163">
        <f t="shared" si="0"/>
        <v>-7</v>
      </c>
      <c r="BB6" s="163">
        <f t="shared" si="0"/>
        <v>-7</v>
      </c>
      <c r="BC6" s="163">
        <f t="shared" si="0"/>
        <v>-7</v>
      </c>
      <c r="BD6" s="163">
        <f t="shared" si="0"/>
        <v>-7</v>
      </c>
      <c r="BE6" s="162">
        <f t="shared" si="0"/>
        <v>-7</v>
      </c>
      <c r="CN6" s="24">
        <v>0</v>
      </c>
      <c r="CO6" s="28">
        <v>500</v>
      </c>
    </row>
    <row r="7" spans="1:93" s="144" customFormat="1" ht="16.5" customHeight="1">
      <c r="Z7" s="374"/>
      <c r="AA7" s="133">
        <v>1000</v>
      </c>
      <c r="AB7" s="156">
        <f t="shared" ref="AB7:BE7" si="1">AB36</f>
        <v>13</v>
      </c>
      <c r="AC7" s="160">
        <f t="shared" si="1"/>
        <v>13</v>
      </c>
      <c r="AD7" s="160">
        <f t="shared" si="1"/>
        <v>13</v>
      </c>
      <c r="AE7" s="160">
        <f t="shared" si="1"/>
        <v>13</v>
      </c>
      <c r="AF7" s="160">
        <f t="shared" si="1"/>
        <v>13</v>
      </c>
      <c r="AG7" s="160">
        <f t="shared" si="1"/>
        <v>13</v>
      </c>
      <c r="AH7" s="160">
        <f t="shared" si="1"/>
        <v>13</v>
      </c>
      <c r="AI7" s="160">
        <f t="shared" si="1"/>
        <v>12</v>
      </c>
      <c r="AJ7" s="160">
        <f t="shared" si="1"/>
        <v>11</v>
      </c>
      <c r="AK7" s="160">
        <f t="shared" si="1"/>
        <v>10</v>
      </c>
      <c r="AL7" s="160">
        <f t="shared" si="1"/>
        <v>7</v>
      </c>
      <c r="AM7" s="160">
        <f t="shared" si="1"/>
        <v>5</v>
      </c>
      <c r="AN7" s="160">
        <f t="shared" si="1"/>
        <v>4</v>
      </c>
      <c r="AO7" s="160">
        <f t="shared" si="1"/>
        <v>3</v>
      </c>
      <c r="AP7" s="160">
        <f t="shared" si="1"/>
        <v>3</v>
      </c>
      <c r="AQ7" s="160">
        <f t="shared" si="1"/>
        <v>3</v>
      </c>
      <c r="AR7" s="160">
        <f t="shared" si="1"/>
        <v>2</v>
      </c>
      <c r="AS7" s="160">
        <f t="shared" si="1"/>
        <v>0</v>
      </c>
      <c r="AT7" s="160">
        <f t="shared" si="1"/>
        <v>-1</v>
      </c>
      <c r="AU7" s="160">
        <f t="shared" si="1"/>
        <v>-2</v>
      </c>
      <c r="AV7" s="160">
        <f t="shared" si="1"/>
        <v>-4</v>
      </c>
      <c r="AW7" s="160">
        <f t="shared" si="1"/>
        <v>-5</v>
      </c>
      <c r="AX7" s="160">
        <f t="shared" si="1"/>
        <v>-6</v>
      </c>
      <c r="AY7" s="160">
        <f t="shared" si="1"/>
        <v>-6</v>
      </c>
      <c r="AZ7" s="160">
        <f t="shared" si="1"/>
        <v>-6</v>
      </c>
      <c r="BA7" s="160">
        <f t="shared" si="1"/>
        <v>-6</v>
      </c>
      <c r="BB7" s="160">
        <f t="shared" si="1"/>
        <v>-6</v>
      </c>
      <c r="BC7" s="160">
        <f t="shared" si="1"/>
        <v>-6</v>
      </c>
      <c r="BD7" s="160">
        <f t="shared" si="1"/>
        <v>-6</v>
      </c>
      <c r="BE7" s="161">
        <f t="shared" si="1"/>
        <v>-6</v>
      </c>
      <c r="CN7" s="25">
        <v>421.875</v>
      </c>
      <c r="CO7" s="26">
        <v>1035.1600000000001</v>
      </c>
    </row>
    <row r="8" spans="1:93" s="144" customFormat="1" ht="16.5" customHeight="1">
      <c r="Z8" s="374"/>
      <c r="AA8" s="133">
        <v>1250</v>
      </c>
      <c r="AB8" s="156">
        <f t="shared" ref="AB8:BE8" si="2">AB37</f>
        <v>15</v>
      </c>
      <c r="AC8" s="160">
        <f t="shared" si="2"/>
        <v>15</v>
      </c>
      <c r="AD8" s="160">
        <f t="shared" si="2"/>
        <v>15</v>
      </c>
      <c r="AE8" s="160">
        <f t="shared" si="2"/>
        <v>15</v>
      </c>
      <c r="AF8" s="160">
        <f t="shared" si="2"/>
        <v>15</v>
      </c>
      <c r="AG8" s="160">
        <f t="shared" si="2"/>
        <v>15</v>
      </c>
      <c r="AH8" s="160">
        <f t="shared" si="2"/>
        <v>14</v>
      </c>
      <c r="AI8" s="160">
        <f t="shared" si="2"/>
        <v>14</v>
      </c>
      <c r="AJ8" s="160">
        <f t="shared" si="2"/>
        <v>13</v>
      </c>
      <c r="AK8" s="160">
        <f t="shared" si="2"/>
        <v>11</v>
      </c>
      <c r="AL8" s="160">
        <f t="shared" si="2"/>
        <v>8</v>
      </c>
      <c r="AM8" s="160">
        <f t="shared" si="2"/>
        <v>6</v>
      </c>
      <c r="AN8" s="160">
        <f t="shared" si="2"/>
        <v>5</v>
      </c>
      <c r="AO8" s="160">
        <f t="shared" si="2"/>
        <v>4</v>
      </c>
      <c r="AP8" s="160">
        <f t="shared" si="2"/>
        <v>4</v>
      </c>
      <c r="AQ8" s="160">
        <f t="shared" si="2"/>
        <v>4</v>
      </c>
      <c r="AR8" s="160">
        <f t="shared" si="2"/>
        <v>3</v>
      </c>
      <c r="AS8" s="160">
        <f t="shared" si="2"/>
        <v>2</v>
      </c>
      <c r="AT8" s="160">
        <f t="shared" si="2"/>
        <v>1</v>
      </c>
      <c r="AU8" s="160">
        <f t="shared" si="2"/>
        <v>0</v>
      </c>
      <c r="AV8" s="160">
        <f t="shared" si="2"/>
        <v>-1</v>
      </c>
      <c r="AW8" s="160">
        <f t="shared" si="2"/>
        <v>-2</v>
      </c>
      <c r="AX8" s="160">
        <f t="shared" si="2"/>
        <v>-2</v>
      </c>
      <c r="AY8" s="160">
        <f t="shared" si="2"/>
        <v>-2</v>
      </c>
      <c r="AZ8" s="160">
        <f t="shared" si="2"/>
        <v>-2</v>
      </c>
      <c r="BA8" s="160">
        <f t="shared" si="2"/>
        <v>-2</v>
      </c>
      <c r="BB8" s="160">
        <f t="shared" si="2"/>
        <v>-2</v>
      </c>
      <c r="BC8" s="160">
        <f t="shared" si="2"/>
        <v>-2</v>
      </c>
      <c r="BD8" s="160">
        <f t="shared" si="2"/>
        <v>-2</v>
      </c>
      <c r="BE8" s="161">
        <f t="shared" si="2"/>
        <v>-2</v>
      </c>
      <c r="CN8" s="25">
        <v>843.75</v>
      </c>
      <c r="CO8" s="26">
        <v>1570.31</v>
      </c>
    </row>
    <row r="9" spans="1:93" s="144" customFormat="1" ht="16.5" customHeight="1">
      <c r="Z9" s="374"/>
      <c r="AA9" s="132">
        <v>1500</v>
      </c>
      <c r="AB9" s="156">
        <f t="shared" ref="AB9:AJ9" si="3">AB38</f>
        <v>18</v>
      </c>
      <c r="AC9" s="160">
        <f t="shared" si="3"/>
        <v>18</v>
      </c>
      <c r="AD9" s="160">
        <f t="shared" si="3"/>
        <v>18</v>
      </c>
      <c r="AE9" s="160">
        <f t="shared" si="3"/>
        <v>18</v>
      </c>
      <c r="AF9" s="160">
        <f t="shared" si="3"/>
        <v>18</v>
      </c>
      <c r="AG9" s="160">
        <f t="shared" si="3"/>
        <v>18</v>
      </c>
      <c r="AH9" s="160">
        <f t="shared" si="3"/>
        <v>18</v>
      </c>
      <c r="AI9" s="160">
        <f t="shared" si="3"/>
        <v>17</v>
      </c>
      <c r="AJ9" s="160">
        <f t="shared" si="3"/>
        <v>15</v>
      </c>
      <c r="AK9" s="123">
        <f t="shared" ref="AK9:AT9" si="4">ROUND(AVERAGE(AK38,AK38,AJ37:AL39),0)</f>
        <v>13</v>
      </c>
      <c r="AL9" s="123">
        <f t="shared" si="4"/>
        <v>10</v>
      </c>
      <c r="AM9" s="123">
        <f t="shared" si="4"/>
        <v>8</v>
      </c>
      <c r="AN9" s="123">
        <f t="shared" si="4"/>
        <v>6</v>
      </c>
      <c r="AO9" s="123">
        <f t="shared" si="4"/>
        <v>6</v>
      </c>
      <c r="AP9" s="123">
        <f t="shared" si="4"/>
        <v>5</v>
      </c>
      <c r="AQ9" s="123">
        <f t="shared" si="4"/>
        <v>5</v>
      </c>
      <c r="AR9" s="123">
        <f t="shared" si="4"/>
        <v>4</v>
      </c>
      <c r="AS9" s="123">
        <f t="shared" si="4"/>
        <v>3</v>
      </c>
      <c r="AT9" s="123">
        <f t="shared" si="4"/>
        <v>2</v>
      </c>
      <c r="AU9" s="160">
        <f t="shared" ref="AU9:BE9" si="5">AU38</f>
        <v>1</v>
      </c>
      <c r="AV9" s="160">
        <f t="shared" si="5"/>
        <v>0</v>
      </c>
      <c r="AW9" s="160">
        <f t="shared" si="5"/>
        <v>-1</v>
      </c>
      <c r="AX9" s="160">
        <f t="shared" si="5"/>
        <v>-1</v>
      </c>
      <c r="AY9" s="160">
        <f t="shared" si="5"/>
        <v>-1</v>
      </c>
      <c r="AZ9" s="160">
        <f t="shared" si="5"/>
        <v>-1</v>
      </c>
      <c r="BA9" s="160">
        <f t="shared" si="5"/>
        <v>-1</v>
      </c>
      <c r="BB9" s="160">
        <f t="shared" si="5"/>
        <v>-1</v>
      </c>
      <c r="BC9" s="160">
        <f t="shared" si="5"/>
        <v>-1</v>
      </c>
      <c r="BD9" s="160">
        <f t="shared" si="5"/>
        <v>-1</v>
      </c>
      <c r="BE9" s="161">
        <f t="shared" si="5"/>
        <v>-1</v>
      </c>
      <c r="CN9" s="25">
        <v>1261.72</v>
      </c>
      <c r="CO9" s="26">
        <v>2105.4699999999998</v>
      </c>
    </row>
    <row r="10" spans="1:93" s="144" customFormat="1" ht="16.5" customHeight="1">
      <c r="Z10" s="374"/>
      <c r="AA10" s="128">
        <v>2000</v>
      </c>
      <c r="AB10" s="156">
        <f t="shared" ref="AB10:AJ10" si="6">AB39</f>
        <v>29</v>
      </c>
      <c r="AC10" s="160">
        <f t="shared" si="6"/>
        <v>29</v>
      </c>
      <c r="AD10" s="160">
        <f t="shared" si="6"/>
        <v>29</v>
      </c>
      <c r="AE10" s="160">
        <f t="shared" si="6"/>
        <v>28</v>
      </c>
      <c r="AF10" s="160">
        <f t="shared" si="6"/>
        <v>27</v>
      </c>
      <c r="AG10" s="160">
        <f t="shared" si="6"/>
        <v>26</v>
      </c>
      <c r="AH10" s="160">
        <f t="shared" si="6"/>
        <v>25</v>
      </c>
      <c r="AI10" s="160">
        <f t="shared" si="6"/>
        <v>23</v>
      </c>
      <c r="AJ10" s="160">
        <f t="shared" si="6"/>
        <v>19</v>
      </c>
      <c r="AK10" s="123">
        <f t="shared" ref="AK10:AT10" si="7">ROUND(AVERAGE(AK39,AK39,AJ38:AL40),0)</f>
        <v>16</v>
      </c>
      <c r="AL10" s="123">
        <f t="shared" si="7"/>
        <v>13</v>
      </c>
      <c r="AM10" s="123">
        <f t="shared" si="7"/>
        <v>10</v>
      </c>
      <c r="AN10" s="123">
        <f t="shared" si="7"/>
        <v>8</v>
      </c>
      <c r="AO10" s="123">
        <f t="shared" si="7"/>
        <v>7</v>
      </c>
      <c r="AP10" s="123">
        <f t="shared" si="7"/>
        <v>6</v>
      </c>
      <c r="AQ10" s="123">
        <f t="shared" si="7"/>
        <v>5</v>
      </c>
      <c r="AR10" s="123">
        <f t="shared" si="7"/>
        <v>4</v>
      </c>
      <c r="AS10" s="123">
        <f t="shared" si="7"/>
        <v>4</v>
      </c>
      <c r="AT10" s="123">
        <f t="shared" si="7"/>
        <v>3</v>
      </c>
      <c r="AU10" s="160">
        <f t="shared" ref="AU10:BE10" si="8">AU39</f>
        <v>3</v>
      </c>
      <c r="AV10" s="160">
        <f t="shared" si="8"/>
        <v>2</v>
      </c>
      <c r="AW10" s="160">
        <f t="shared" si="8"/>
        <v>0</v>
      </c>
      <c r="AX10" s="160">
        <f t="shared" si="8"/>
        <v>0</v>
      </c>
      <c r="AY10" s="160">
        <f t="shared" si="8"/>
        <v>0</v>
      </c>
      <c r="AZ10" s="160">
        <f t="shared" si="8"/>
        <v>-1</v>
      </c>
      <c r="BA10" s="160">
        <f t="shared" si="8"/>
        <v>-1</v>
      </c>
      <c r="BB10" s="160">
        <f t="shared" si="8"/>
        <v>-1</v>
      </c>
      <c r="BC10" s="160">
        <f t="shared" si="8"/>
        <v>-1</v>
      </c>
      <c r="BD10" s="160">
        <f t="shared" si="8"/>
        <v>-1</v>
      </c>
      <c r="BE10" s="161">
        <f t="shared" si="8"/>
        <v>-1</v>
      </c>
      <c r="CN10" s="25">
        <v>1683.59</v>
      </c>
      <c r="CO10" s="26">
        <v>2644.53</v>
      </c>
    </row>
    <row r="11" spans="1:93" s="144" customFormat="1" ht="16.5" customHeight="1">
      <c r="Z11" s="374"/>
      <c r="AA11" s="128">
        <v>2500</v>
      </c>
      <c r="AB11" s="156">
        <f t="shared" ref="AB11:AJ11" si="9">AB40</f>
        <v>33</v>
      </c>
      <c r="AC11" s="160">
        <f t="shared" si="9"/>
        <v>33</v>
      </c>
      <c r="AD11" s="160">
        <f t="shared" si="9"/>
        <v>33</v>
      </c>
      <c r="AE11" s="160">
        <f t="shared" si="9"/>
        <v>31</v>
      </c>
      <c r="AF11" s="160">
        <f t="shared" si="9"/>
        <v>30</v>
      </c>
      <c r="AG11" s="160">
        <f t="shared" si="9"/>
        <v>29</v>
      </c>
      <c r="AH11" s="160">
        <f t="shared" si="9"/>
        <v>27</v>
      </c>
      <c r="AI11" s="160">
        <f t="shared" si="9"/>
        <v>25</v>
      </c>
      <c r="AJ11" s="160">
        <f t="shared" si="9"/>
        <v>21</v>
      </c>
      <c r="AK11" s="123">
        <f t="shared" ref="AK11:AT11" si="10">ROUND(AVERAGE(AK40,AK40,AJ39:AL41),0)</f>
        <v>18</v>
      </c>
      <c r="AL11" s="123">
        <f t="shared" si="10"/>
        <v>15</v>
      </c>
      <c r="AM11" s="123">
        <f t="shared" si="10"/>
        <v>12</v>
      </c>
      <c r="AN11" s="123">
        <f t="shared" si="10"/>
        <v>9</v>
      </c>
      <c r="AO11" s="123">
        <f t="shared" si="10"/>
        <v>8</v>
      </c>
      <c r="AP11" s="123">
        <f t="shared" si="10"/>
        <v>6</v>
      </c>
      <c r="AQ11" s="123">
        <f t="shared" si="10"/>
        <v>6</v>
      </c>
      <c r="AR11" s="123">
        <f t="shared" si="10"/>
        <v>5</v>
      </c>
      <c r="AS11" s="123">
        <f t="shared" si="10"/>
        <v>5</v>
      </c>
      <c r="AT11" s="123">
        <f t="shared" si="10"/>
        <v>4</v>
      </c>
      <c r="AU11" s="123">
        <f t="shared" ref="AU11:AZ11" si="11">ROUND(AVERAGE(AU40,AU40,AT39:AV41),0)</f>
        <v>3</v>
      </c>
      <c r="AV11" s="123">
        <f t="shared" si="11"/>
        <v>2</v>
      </c>
      <c r="AW11" s="123">
        <f t="shared" si="11"/>
        <v>1</v>
      </c>
      <c r="AX11" s="123">
        <f t="shared" si="11"/>
        <v>1</v>
      </c>
      <c r="AY11" s="123">
        <f t="shared" si="11"/>
        <v>0</v>
      </c>
      <c r="AZ11" s="123">
        <f t="shared" si="11"/>
        <v>0</v>
      </c>
      <c r="BA11" s="160">
        <f t="shared" ref="BA11:BE11" si="12">BA40</f>
        <v>-1</v>
      </c>
      <c r="BB11" s="160">
        <f t="shared" si="12"/>
        <v>-1</v>
      </c>
      <c r="BC11" s="160">
        <f t="shared" si="12"/>
        <v>-1</v>
      </c>
      <c r="BD11" s="160">
        <f t="shared" si="12"/>
        <v>-1</v>
      </c>
      <c r="BE11" s="161">
        <f t="shared" si="12"/>
        <v>-1</v>
      </c>
      <c r="CN11" s="25">
        <v>2105.4699999999998</v>
      </c>
      <c r="CO11" s="26">
        <v>3179.69</v>
      </c>
    </row>
    <row r="12" spans="1:93" s="144" customFormat="1" ht="16.5" customHeight="1">
      <c r="Z12" s="374"/>
      <c r="AA12" s="128">
        <v>2750</v>
      </c>
      <c r="AB12" s="156">
        <f t="shared" ref="AB12:AB30" si="13">AB41</f>
        <v>35</v>
      </c>
      <c r="AC12" s="123">
        <f t="shared" ref="AC12:AJ24" si="14">ROUND(AVERAGE(AC41,AC41,AB40:AD42),0)</f>
        <v>35</v>
      </c>
      <c r="AD12" s="123">
        <f t="shared" si="14"/>
        <v>34</v>
      </c>
      <c r="AE12" s="123">
        <f t="shared" si="14"/>
        <v>33</v>
      </c>
      <c r="AF12" s="123">
        <f t="shared" si="14"/>
        <v>32</v>
      </c>
      <c r="AG12" s="123">
        <f t="shared" si="14"/>
        <v>31</v>
      </c>
      <c r="AH12" s="123">
        <f t="shared" si="14"/>
        <v>29</v>
      </c>
      <c r="AI12" s="123">
        <f t="shared" si="14"/>
        <v>27</v>
      </c>
      <c r="AJ12" s="123">
        <f t="shared" si="14"/>
        <v>24</v>
      </c>
      <c r="AK12" s="123">
        <f t="shared" ref="AK12:AT12" si="15">ROUND(AVERAGE(AK41,AK41,AJ40:AL42),0)</f>
        <v>21</v>
      </c>
      <c r="AL12" s="123">
        <f t="shared" si="15"/>
        <v>17</v>
      </c>
      <c r="AM12" s="123">
        <f t="shared" si="15"/>
        <v>14</v>
      </c>
      <c r="AN12" s="123">
        <f t="shared" si="15"/>
        <v>11</v>
      </c>
      <c r="AO12" s="123">
        <f t="shared" si="15"/>
        <v>9</v>
      </c>
      <c r="AP12" s="123">
        <f t="shared" si="15"/>
        <v>7</v>
      </c>
      <c r="AQ12" s="123">
        <f t="shared" si="15"/>
        <v>7</v>
      </c>
      <c r="AR12" s="123">
        <f t="shared" si="15"/>
        <v>6</v>
      </c>
      <c r="AS12" s="123">
        <f t="shared" si="15"/>
        <v>6</v>
      </c>
      <c r="AT12" s="123">
        <f t="shared" si="15"/>
        <v>5</v>
      </c>
      <c r="AU12" s="123">
        <f t="shared" ref="AU12:BE12" si="16">ROUND(AVERAGE(AU41,AU41,AT40:AV42),0)</f>
        <v>4</v>
      </c>
      <c r="AV12" s="123">
        <f t="shared" si="16"/>
        <v>3</v>
      </c>
      <c r="AW12" s="123">
        <f t="shared" si="16"/>
        <v>3</v>
      </c>
      <c r="AX12" s="123">
        <f t="shared" si="16"/>
        <v>2</v>
      </c>
      <c r="AY12" s="123">
        <f t="shared" si="16"/>
        <v>1</v>
      </c>
      <c r="AZ12" s="123">
        <f t="shared" si="16"/>
        <v>1</v>
      </c>
      <c r="BA12" s="123">
        <f t="shared" si="16"/>
        <v>1</v>
      </c>
      <c r="BB12" s="123">
        <f t="shared" si="16"/>
        <v>0</v>
      </c>
      <c r="BC12" s="123">
        <f t="shared" si="16"/>
        <v>0</v>
      </c>
      <c r="BD12" s="123">
        <f t="shared" si="16"/>
        <v>0</v>
      </c>
      <c r="BE12" s="122">
        <f t="shared" si="16"/>
        <v>0</v>
      </c>
      <c r="CN12" s="25">
        <v>2527.34</v>
      </c>
      <c r="CO12" s="26">
        <v>3714.84</v>
      </c>
    </row>
    <row r="13" spans="1:93" s="144" customFormat="1" ht="16.5" customHeight="1">
      <c r="Z13" s="374"/>
      <c r="AA13" s="128">
        <v>3000</v>
      </c>
      <c r="AB13" s="156">
        <f t="shared" si="13"/>
        <v>36</v>
      </c>
      <c r="AC13" s="123">
        <f t="shared" si="14"/>
        <v>36</v>
      </c>
      <c r="AD13" s="123">
        <f t="shared" si="14"/>
        <v>36</v>
      </c>
      <c r="AE13" s="123">
        <f t="shared" si="14"/>
        <v>35</v>
      </c>
      <c r="AF13" s="123">
        <f t="shared" si="14"/>
        <v>34</v>
      </c>
      <c r="AG13" s="123">
        <f t="shared" si="14"/>
        <v>33</v>
      </c>
      <c r="AH13" s="123">
        <f t="shared" si="14"/>
        <v>31</v>
      </c>
      <c r="AI13" s="123">
        <f t="shared" si="14"/>
        <v>29</v>
      </c>
      <c r="AJ13" s="123">
        <f t="shared" si="14"/>
        <v>26</v>
      </c>
      <c r="AK13" s="123">
        <f t="shared" ref="AK13:AT13" si="17">ROUND(AVERAGE(AK42,AK42,AJ41:AL43),0)</f>
        <v>23</v>
      </c>
      <c r="AL13" s="123">
        <f t="shared" si="17"/>
        <v>19</v>
      </c>
      <c r="AM13" s="123">
        <f t="shared" si="17"/>
        <v>15</v>
      </c>
      <c r="AN13" s="123">
        <f t="shared" si="17"/>
        <v>12</v>
      </c>
      <c r="AO13" s="123">
        <f t="shared" si="17"/>
        <v>10</v>
      </c>
      <c r="AP13" s="123">
        <f t="shared" si="17"/>
        <v>8</v>
      </c>
      <c r="AQ13" s="123">
        <f t="shared" si="17"/>
        <v>8</v>
      </c>
      <c r="AR13" s="123">
        <f t="shared" si="17"/>
        <v>7</v>
      </c>
      <c r="AS13" s="123">
        <f t="shared" si="17"/>
        <v>6</v>
      </c>
      <c r="AT13" s="123">
        <f t="shared" si="17"/>
        <v>6</v>
      </c>
      <c r="AU13" s="123">
        <f t="shared" ref="AU13:BE13" si="18">ROUND(AVERAGE(AU42,AU42,AT41:AV43),0)</f>
        <v>5</v>
      </c>
      <c r="AV13" s="123">
        <f t="shared" si="18"/>
        <v>4</v>
      </c>
      <c r="AW13" s="123">
        <f t="shared" si="18"/>
        <v>4</v>
      </c>
      <c r="AX13" s="123">
        <f t="shared" si="18"/>
        <v>3</v>
      </c>
      <c r="AY13" s="123">
        <f t="shared" si="18"/>
        <v>2</v>
      </c>
      <c r="AZ13" s="123">
        <f t="shared" si="18"/>
        <v>2</v>
      </c>
      <c r="BA13" s="123">
        <f t="shared" si="18"/>
        <v>1</v>
      </c>
      <c r="BB13" s="123">
        <f t="shared" si="18"/>
        <v>1</v>
      </c>
      <c r="BC13" s="123">
        <f t="shared" si="18"/>
        <v>1</v>
      </c>
      <c r="BD13" s="123">
        <f t="shared" si="18"/>
        <v>1</v>
      </c>
      <c r="BE13" s="122">
        <f t="shared" si="18"/>
        <v>1</v>
      </c>
      <c r="CN13" s="25">
        <v>2949.22</v>
      </c>
      <c r="CO13" s="26">
        <v>4250</v>
      </c>
    </row>
    <row r="14" spans="1:93" s="144" customFormat="1" ht="16.5" customHeight="1">
      <c r="Z14" s="374"/>
      <c r="AA14" s="128">
        <v>3250</v>
      </c>
      <c r="AB14" s="156">
        <f t="shared" si="13"/>
        <v>37</v>
      </c>
      <c r="AC14" s="123">
        <f t="shared" si="14"/>
        <v>37</v>
      </c>
      <c r="AD14" s="123">
        <f t="shared" si="14"/>
        <v>37</v>
      </c>
      <c r="AE14" s="123">
        <f t="shared" si="14"/>
        <v>36</v>
      </c>
      <c r="AF14" s="123">
        <f t="shared" si="14"/>
        <v>35</v>
      </c>
      <c r="AG14" s="123">
        <f t="shared" si="14"/>
        <v>34</v>
      </c>
      <c r="AH14" s="123">
        <f t="shared" si="14"/>
        <v>32</v>
      </c>
      <c r="AI14" s="123">
        <f t="shared" si="14"/>
        <v>30</v>
      </c>
      <c r="AJ14" s="123">
        <f t="shared" si="14"/>
        <v>27</v>
      </c>
      <c r="AK14" s="123">
        <f t="shared" ref="AK14:AT14" si="19">ROUND(AVERAGE(AK43,AK43,AJ42:AL44),0)</f>
        <v>24</v>
      </c>
      <c r="AL14" s="123">
        <f t="shared" si="19"/>
        <v>20</v>
      </c>
      <c r="AM14" s="123">
        <f t="shared" si="19"/>
        <v>16</v>
      </c>
      <c r="AN14" s="123">
        <f t="shared" si="19"/>
        <v>13</v>
      </c>
      <c r="AO14" s="123">
        <f t="shared" si="19"/>
        <v>11</v>
      </c>
      <c r="AP14" s="123">
        <f t="shared" si="19"/>
        <v>9</v>
      </c>
      <c r="AQ14" s="123">
        <f t="shared" si="19"/>
        <v>8</v>
      </c>
      <c r="AR14" s="123">
        <f t="shared" si="19"/>
        <v>7</v>
      </c>
      <c r="AS14" s="123">
        <f t="shared" si="19"/>
        <v>7</v>
      </c>
      <c r="AT14" s="123">
        <f t="shared" si="19"/>
        <v>6</v>
      </c>
      <c r="AU14" s="123">
        <f t="shared" ref="AU14:BE14" si="20">ROUND(AVERAGE(AU43,AU43,AT42:AV44),0)</f>
        <v>5</v>
      </c>
      <c r="AV14" s="123">
        <f t="shared" si="20"/>
        <v>5</v>
      </c>
      <c r="AW14" s="123">
        <f t="shared" si="20"/>
        <v>4</v>
      </c>
      <c r="AX14" s="123">
        <f t="shared" si="20"/>
        <v>3</v>
      </c>
      <c r="AY14" s="123">
        <f t="shared" si="20"/>
        <v>3</v>
      </c>
      <c r="AZ14" s="123">
        <f t="shared" si="20"/>
        <v>2</v>
      </c>
      <c r="BA14" s="123">
        <f t="shared" si="20"/>
        <v>2</v>
      </c>
      <c r="BB14" s="123">
        <f t="shared" si="20"/>
        <v>2</v>
      </c>
      <c r="BC14" s="123">
        <f t="shared" si="20"/>
        <v>2</v>
      </c>
      <c r="BD14" s="123">
        <f t="shared" si="20"/>
        <v>2</v>
      </c>
      <c r="BE14" s="122">
        <f t="shared" si="20"/>
        <v>2</v>
      </c>
      <c r="CN14" s="25">
        <v>3367.19</v>
      </c>
      <c r="CO14" s="26">
        <v>4785.16</v>
      </c>
    </row>
    <row r="15" spans="1:93" s="144" customFormat="1" ht="16.5" customHeight="1">
      <c r="Z15" s="374"/>
      <c r="AA15" s="128">
        <v>3500</v>
      </c>
      <c r="AB15" s="156">
        <f t="shared" si="13"/>
        <v>38</v>
      </c>
      <c r="AC15" s="123">
        <f t="shared" si="14"/>
        <v>38</v>
      </c>
      <c r="AD15" s="123">
        <f t="shared" si="14"/>
        <v>38</v>
      </c>
      <c r="AE15" s="123">
        <f t="shared" si="14"/>
        <v>37</v>
      </c>
      <c r="AF15" s="123">
        <f t="shared" si="14"/>
        <v>36</v>
      </c>
      <c r="AG15" s="123">
        <f t="shared" si="14"/>
        <v>34</v>
      </c>
      <c r="AH15" s="123">
        <f t="shared" si="14"/>
        <v>33</v>
      </c>
      <c r="AI15" s="123">
        <f t="shared" si="14"/>
        <v>31</v>
      </c>
      <c r="AJ15" s="123">
        <f t="shared" si="14"/>
        <v>28</v>
      </c>
      <c r="AK15" s="123">
        <f t="shared" ref="AK15:AT15" si="21">ROUND(AVERAGE(AK44,AK44,AJ43:AL45),0)</f>
        <v>25</v>
      </c>
      <c r="AL15" s="123">
        <f t="shared" si="21"/>
        <v>21</v>
      </c>
      <c r="AM15" s="123">
        <f t="shared" si="21"/>
        <v>17</v>
      </c>
      <c r="AN15" s="123">
        <f t="shared" si="21"/>
        <v>14</v>
      </c>
      <c r="AO15" s="123">
        <f t="shared" si="21"/>
        <v>12</v>
      </c>
      <c r="AP15" s="123">
        <f t="shared" si="21"/>
        <v>10</v>
      </c>
      <c r="AQ15" s="123">
        <f t="shared" si="21"/>
        <v>8</v>
      </c>
      <c r="AR15" s="123">
        <f t="shared" si="21"/>
        <v>8</v>
      </c>
      <c r="AS15" s="123">
        <f t="shared" si="21"/>
        <v>7</v>
      </c>
      <c r="AT15" s="123">
        <f t="shared" si="21"/>
        <v>7</v>
      </c>
      <c r="AU15" s="123">
        <f t="shared" ref="AU15:BE15" si="22">ROUND(AVERAGE(AU44,AU44,AT43:AV45),0)</f>
        <v>6</v>
      </c>
      <c r="AV15" s="123">
        <f t="shared" si="22"/>
        <v>5</v>
      </c>
      <c r="AW15" s="123">
        <f t="shared" si="22"/>
        <v>4</v>
      </c>
      <c r="AX15" s="123">
        <f t="shared" si="22"/>
        <v>4</v>
      </c>
      <c r="AY15" s="123">
        <f t="shared" si="22"/>
        <v>3</v>
      </c>
      <c r="AZ15" s="123">
        <f t="shared" si="22"/>
        <v>3</v>
      </c>
      <c r="BA15" s="123">
        <f t="shared" si="22"/>
        <v>3</v>
      </c>
      <c r="BB15" s="123">
        <f t="shared" si="22"/>
        <v>3</v>
      </c>
      <c r="BC15" s="123">
        <f t="shared" si="22"/>
        <v>3</v>
      </c>
      <c r="BD15" s="123">
        <f t="shared" si="22"/>
        <v>3</v>
      </c>
      <c r="BE15" s="122">
        <f t="shared" si="22"/>
        <v>3</v>
      </c>
      <c r="CN15" s="25">
        <v>3789.06</v>
      </c>
      <c r="CO15" s="26">
        <v>5320.31</v>
      </c>
    </row>
    <row r="16" spans="1:93" s="144" customFormat="1" ht="16.5" customHeight="1" thickBot="1">
      <c r="Z16" s="374"/>
      <c r="AA16" s="128">
        <v>3750</v>
      </c>
      <c r="AB16" s="156">
        <f t="shared" si="13"/>
        <v>38</v>
      </c>
      <c r="AC16" s="123">
        <f t="shared" si="14"/>
        <v>38</v>
      </c>
      <c r="AD16" s="123">
        <f t="shared" si="14"/>
        <v>38</v>
      </c>
      <c r="AE16" s="123">
        <f t="shared" si="14"/>
        <v>37</v>
      </c>
      <c r="AF16" s="123">
        <f t="shared" si="14"/>
        <v>36</v>
      </c>
      <c r="AG16" s="123">
        <f t="shared" si="14"/>
        <v>34</v>
      </c>
      <c r="AH16" s="123">
        <f t="shared" si="14"/>
        <v>33</v>
      </c>
      <c r="AI16" s="123">
        <f t="shared" si="14"/>
        <v>31</v>
      </c>
      <c r="AJ16" s="123">
        <f t="shared" si="14"/>
        <v>29</v>
      </c>
      <c r="AK16" s="123">
        <f t="shared" ref="AK16:AT16" si="23">ROUND(AVERAGE(AK45,AK45,AJ44:AL46),0)</f>
        <v>26</v>
      </c>
      <c r="AL16" s="123">
        <f t="shared" si="23"/>
        <v>21</v>
      </c>
      <c r="AM16" s="123">
        <f t="shared" si="23"/>
        <v>17</v>
      </c>
      <c r="AN16" s="123">
        <f t="shared" si="23"/>
        <v>14</v>
      </c>
      <c r="AO16" s="123">
        <f t="shared" si="23"/>
        <v>12</v>
      </c>
      <c r="AP16" s="123">
        <f t="shared" si="23"/>
        <v>10</v>
      </c>
      <c r="AQ16" s="123">
        <f t="shared" si="23"/>
        <v>9</v>
      </c>
      <c r="AR16" s="123">
        <f t="shared" si="23"/>
        <v>8</v>
      </c>
      <c r="AS16" s="123">
        <f t="shared" si="23"/>
        <v>8</v>
      </c>
      <c r="AT16" s="123">
        <f t="shared" si="23"/>
        <v>7</v>
      </c>
      <c r="AU16" s="123">
        <f t="shared" ref="AU16:BE16" si="24">ROUND(AVERAGE(AU45,AU45,AT44:AV46),0)</f>
        <v>6</v>
      </c>
      <c r="AV16" s="123">
        <f t="shared" si="24"/>
        <v>5</v>
      </c>
      <c r="AW16" s="123">
        <f t="shared" si="24"/>
        <v>5</v>
      </c>
      <c r="AX16" s="123">
        <f t="shared" si="24"/>
        <v>4</v>
      </c>
      <c r="AY16" s="123">
        <f t="shared" si="24"/>
        <v>4</v>
      </c>
      <c r="AZ16" s="123">
        <f t="shared" si="24"/>
        <v>3</v>
      </c>
      <c r="BA16" s="123">
        <f t="shared" si="24"/>
        <v>3</v>
      </c>
      <c r="BB16" s="123">
        <f t="shared" si="24"/>
        <v>3</v>
      </c>
      <c r="BC16" s="123">
        <f t="shared" si="24"/>
        <v>3</v>
      </c>
      <c r="BD16" s="123">
        <f t="shared" si="24"/>
        <v>3</v>
      </c>
      <c r="BE16" s="122">
        <f t="shared" si="24"/>
        <v>3</v>
      </c>
      <c r="CN16" s="25">
        <v>4210.9399999999996</v>
      </c>
      <c r="CO16" s="26">
        <v>5855.47</v>
      </c>
    </row>
    <row r="17" spans="26:93" s="144" customFormat="1" ht="16.5" customHeight="1" thickBot="1">
      <c r="Z17" s="374"/>
      <c r="AA17" s="128">
        <v>4000</v>
      </c>
      <c r="AB17" s="156">
        <f t="shared" si="13"/>
        <v>38</v>
      </c>
      <c r="AC17" s="123">
        <f t="shared" si="14"/>
        <v>38</v>
      </c>
      <c r="AD17" s="123">
        <f t="shared" si="14"/>
        <v>38</v>
      </c>
      <c r="AE17" s="123">
        <f t="shared" si="14"/>
        <v>38</v>
      </c>
      <c r="AF17" s="123">
        <f t="shared" si="14"/>
        <v>36</v>
      </c>
      <c r="AG17" s="123">
        <f t="shared" si="14"/>
        <v>35</v>
      </c>
      <c r="AH17" s="123">
        <f t="shared" si="14"/>
        <v>33</v>
      </c>
      <c r="AI17" s="123">
        <f t="shared" si="14"/>
        <v>32</v>
      </c>
      <c r="AJ17" s="123">
        <f t="shared" si="14"/>
        <v>30</v>
      </c>
      <c r="AK17" s="123">
        <f t="shared" ref="AK17:AT17" si="25">ROUND(AVERAGE(AK46,AK46,AJ45:AL47),0)</f>
        <v>27</v>
      </c>
      <c r="AL17" s="123">
        <f t="shared" si="25"/>
        <v>22</v>
      </c>
      <c r="AM17" s="123">
        <f t="shared" si="25"/>
        <v>17</v>
      </c>
      <c r="AN17" s="123">
        <f t="shared" si="25"/>
        <v>15</v>
      </c>
      <c r="AO17" s="123">
        <f t="shared" si="25"/>
        <v>12</v>
      </c>
      <c r="AP17" s="123">
        <f t="shared" si="25"/>
        <v>11</v>
      </c>
      <c r="AQ17" s="123">
        <f t="shared" si="25"/>
        <v>10</v>
      </c>
      <c r="AR17" s="123">
        <f t="shared" si="25"/>
        <v>9</v>
      </c>
      <c r="AS17" s="123">
        <f t="shared" si="25"/>
        <v>8</v>
      </c>
      <c r="AT17" s="123">
        <f t="shared" si="25"/>
        <v>8</v>
      </c>
      <c r="AU17" s="123">
        <f t="shared" ref="AU17:BE17" si="26">ROUND(AVERAGE(AU46,AU46,AT45:AV47),0)</f>
        <v>7</v>
      </c>
      <c r="AV17" s="123">
        <f t="shared" si="26"/>
        <v>6</v>
      </c>
      <c r="AW17" s="123">
        <f t="shared" si="26"/>
        <v>5</v>
      </c>
      <c r="AX17" s="123">
        <f t="shared" si="26"/>
        <v>5</v>
      </c>
      <c r="AY17" s="123">
        <f t="shared" si="26"/>
        <v>4</v>
      </c>
      <c r="AZ17" s="123">
        <f t="shared" si="26"/>
        <v>4</v>
      </c>
      <c r="BA17" s="123">
        <f t="shared" si="26"/>
        <v>3</v>
      </c>
      <c r="BB17" s="123">
        <f t="shared" si="26"/>
        <v>3</v>
      </c>
      <c r="BC17" s="123">
        <f t="shared" si="26"/>
        <v>3</v>
      </c>
      <c r="BD17" s="123">
        <f t="shared" si="26"/>
        <v>3</v>
      </c>
      <c r="BE17" s="122">
        <f t="shared" si="26"/>
        <v>3</v>
      </c>
      <c r="BG17" s="149"/>
      <c r="BH17" s="389" t="s">
        <v>6</v>
      </c>
      <c r="BI17" s="389"/>
      <c r="BJ17" s="389"/>
      <c r="BK17" s="389"/>
      <c r="BL17" s="389"/>
      <c r="BM17" s="389"/>
      <c r="BN17" s="389"/>
      <c r="BO17" s="389"/>
      <c r="BP17" s="389"/>
      <c r="BQ17" s="389"/>
      <c r="BR17" s="389"/>
      <c r="BS17" s="389"/>
      <c r="BT17" s="389"/>
      <c r="BU17" s="389"/>
      <c r="BV17" s="389"/>
      <c r="BW17" s="389"/>
      <c r="BX17" s="389"/>
      <c r="BY17" s="389"/>
      <c r="BZ17" s="389"/>
      <c r="CA17" s="389"/>
      <c r="CB17" s="389"/>
      <c r="CC17" s="389"/>
      <c r="CD17" s="389"/>
      <c r="CE17" s="389"/>
      <c r="CF17" s="389"/>
      <c r="CG17" s="389"/>
      <c r="CH17" s="389"/>
      <c r="CI17" s="389"/>
      <c r="CJ17" s="389"/>
      <c r="CK17" s="389"/>
      <c r="CN17" s="25">
        <v>4632.8100000000004</v>
      </c>
      <c r="CO17" s="26">
        <v>6394.53</v>
      </c>
    </row>
    <row r="18" spans="26:93" s="144" customFormat="1" ht="16.5" customHeight="1" thickBot="1">
      <c r="Z18" s="374"/>
      <c r="AA18" s="128">
        <v>4250</v>
      </c>
      <c r="AB18" s="156">
        <f t="shared" si="13"/>
        <v>38</v>
      </c>
      <c r="AC18" s="123">
        <f t="shared" si="14"/>
        <v>38</v>
      </c>
      <c r="AD18" s="123">
        <f t="shared" si="14"/>
        <v>38</v>
      </c>
      <c r="AE18" s="123">
        <f t="shared" si="14"/>
        <v>38</v>
      </c>
      <c r="AF18" s="123">
        <f t="shared" si="14"/>
        <v>37</v>
      </c>
      <c r="AG18" s="123">
        <f t="shared" si="14"/>
        <v>35</v>
      </c>
      <c r="AH18" s="123">
        <f t="shared" si="14"/>
        <v>33</v>
      </c>
      <c r="AI18" s="123">
        <f t="shared" si="14"/>
        <v>32</v>
      </c>
      <c r="AJ18" s="123">
        <f t="shared" si="14"/>
        <v>31</v>
      </c>
      <c r="AK18" s="123">
        <f t="shared" ref="AK18:AT18" si="27">ROUND(AVERAGE(AK47,AK47,AJ46:AL48),0)</f>
        <v>28</v>
      </c>
      <c r="AL18" s="123">
        <f t="shared" si="27"/>
        <v>23</v>
      </c>
      <c r="AM18" s="123">
        <f t="shared" si="27"/>
        <v>18</v>
      </c>
      <c r="AN18" s="123">
        <f t="shared" si="27"/>
        <v>15</v>
      </c>
      <c r="AO18" s="123">
        <f t="shared" si="27"/>
        <v>13</v>
      </c>
      <c r="AP18" s="123">
        <f t="shared" si="27"/>
        <v>11</v>
      </c>
      <c r="AQ18" s="123">
        <f t="shared" si="27"/>
        <v>10</v>
      </c>
      <c r="AR18" s="123">
        <f t="shared" si="27"/>
        <v>9</v>
      </c>
      <c r="AS18" s="123">
        <f t="shared" si="27"/>
        <v>9</v>
      </c>
      <c r="AT18" s="123">
        <f t="shared" si="27"/>
        <v>8</v>
      </c>
      <c r="AU18" s="123">
        <f t="shared" ref="AU18:BE18" si="28">ROUND(AVERAGE(AU47,AU47,AT46:AV48),0)</f>
        <v>7</v>
      </c>
      <c r="AV18" s="123">
        <f t="shared" si="28"/>
        <v>6</v>
      </c>
      <c r="AW18" s="123">
        <f t="shared" si="28"/>
        <v>6</v>
      </c>
      <c r="AX18" s="123">
        <f t="shared" si="28"/>
        <v>5</v>
      </c>
      <c r="AY18" s="123">
        <f t="shared" si="28"/>
        <v>5</v>
      </c>
      <c r="AZ18" s="123">
        <f t="shared" si="28"/>
        <v>4</v>
      </c>
      <c r="BA18" s="123">
        <f t="shared" si="28"/>
        <v>4</v>
      </c>
      <c r="BB18" s="123">
        <f t="shared" si="28"/>
        <v>3</v>
      </c>
      <c r="BC18" s="123">
        <f t="shared" si="28"/>
        <v>3</v>
      </c>
      <c r="BD18" s="123">
        <f t="shared" si="28"/>
        <v>3</v>
      </c>
      <c r="BE18" s="122">
        <f t="shared" si="28"/>
        <v>3</v>
      </c>
      <c r="BG18" s="148"/>
      <c r="BH18" s="159">
        <v>10</v>
      </c>
      <c r="BI18" s="159">
        <v>20</v>
      </c>
      <c r="BJ18" s="159">
        <v>30</v>
      </c>
      <c r="BK18" s="159">
        <v>40</v>
      </c>
      <c r="BL18" s="159">
        <v>50</v>
      </c>
      <c r="BM18" s="158">
        <v>60</v>
      </c>
      <c r="BN18" s="158">
        <v>70</v>
      </c>
      <c r="BO18" s="158">
        <v>80</v>
      </c>
      <c r="BP18" s="158">
        <v>90</v>
      </c>
      <c r="BQ18" s="158">
        <v>100</v>
      </c>
      <c r="BR18" s="158">
        <v>120</v>
      </c>
      <c r="BS18" s="158">
        <v>140</v>
      </c>
      <c r="BT18" s="158">
        <v>160</v>
      </c>
      <c r="BU18" s="157">
        <v>180</v>
      </c>
      <c r="BV18" s="157">
        <v>200</v>
      </c>
      <c r="BW18" s="157">
        <v>210</v>
      </c>
      <c r="BX18" s="157">
        <v>220</v>
      </c>
      <c r="BY18" s="157">
        <v>230</v>
      </c>
      <c r="BZ18" s="157">
        <v>240</v>
      </c>
      <c r="CA18" s="157">
        <v>250</v>
      </c>
      <c r="CB18" s="157">
        <v>260</v>
      </c>
      <c r="CC18" s="157">
        <v>270</v>
      </c>
      <c r="CD18" s="157">
        <v>280</v>
      </c>
      <c r="CE18" s="157">
        <v>290</v>
      </c>
      <c r="CF18" s="157">
        <v>300</v>
      </c>
      <c r="CG18" s="157">
        <v>310</v>
      </c>
      <c r="CH18" s="157">
        <v>320</v>
      </c>
      <c r="CI18" s="157">
        <v>330</v>
      </c>
      <c r="CJ18" s="157">
        <v>340</v>
      </c>
      <c r="CK18" s="157">
        <v>350</v>
      </c>
      <c r="CN18" s="25">
        <v>5050.78</v>
      </c>
      <c r="CO18" s="26">
        <v>6929.69</v>
      </c>
    </row>
    <row r="19" spans="26:93" s="144" customFormat="1" ht="16.5" customHeight="1">
      <c r="Z19" s="374"/>
      <c r="AA19" s="127">
        <v>4500</v>
      </c>
      <c r="AB19" s="156">
        <f t="shared" si="13"/>
        <v>38</v>
      </c>
      <c r="AC19" s="123">
        <f t="shared" si="14"/>
        <v>38</v>
      </c>
      <c r="AD19" s="123">
        <f t="shared" si="14"/>
        <v>38</v>
      </c>
      <c r="AE19" s="123">
        <f t="shared" si="14"/>
        <v>38</v>
      </c>
      <c r="AF19" s="123">
        <f t="shared" si="14"/>
        <v>37</v>
      </c>
      <c r="AG19" s="123">
        <f t="shared" si="14"/>
        <v>35</v>
      </c>
      <c r="AH19" s="123">
        <f t="shared" si="14"/>
        <v>33</v>
      </c>
      <c r="AI19" s="123">
        <f t="shared" si="14"/>
        <v>32</v>
      </c>
      <c r="AJ19" s="123">
        <f t="shared" si="14"/>
        <v>31</v>
      </c>
      <c r="AK19" s="123">
        <f t="shared" ref="AK19:AT19" si="29">ROUND(AVERAGE(AK48,AK48,AJ47:AL49),0)</f>
        <v>28</v>
      </c>
      <c r="AL19" s="123">
        <f t="shared" si="29"/>
        <v>23</v>
      </c>
      <c r="AM19" s="123">
        <f t="shared" si="29"/>
        <v>19</v>
      </c>
      <c r="AN19" s="123">
        <f t="shared" si="29"/>
        <v>16</v>
      </c>
      <c r="AO19" s="123">
        <f t="shared" si="29"/>
        <v>13</v>
      </c>
      <c r="AP19" s="123">
        <f t="shared" si="29"/>
        <v>11</v>
      </c>
      <c r="AQ19" s="123">
        <f t="shared" si="29"/>
        <v>10</v>
      </c>
      <c r="AR19" s="123">
        <f t="shared" si="29"/>
        <v>10</v>
      </c>
      <c r="AS19" s="123">
        <f t="shared" si="29"/>
        <v>10</v>
      </c>
      <c r="AT19" s="123">
        <f t="shared" si="29"/>
        <v>9</v>
      </c>
      <c r="AU19" s="123">
        <f t="shared" ref="AU19:BE19" si="30">ROUND(AVERAGE(AU48,AU48,AT47:AV49),0)</f>
        <v>8</v>
      </c>
      <c r="AV19" s="123">
        <f t="shared" si="30"/>
        <v>7</v>
      </c>
      <c r="AW19" s="123">
        <f t="shared" si="30"/>
        <v>6</v>
      </c>
      <c r="AX19" s="123">
        <f t="shared" si="30"/>
        <v>6</v>
      </c>
      <c r="AY19" s="123">
        <f t="shared" si="30"/>
        <v>5</v>
      </c>
      <c r="AZ19" s="123">
        <f t="shared" si="30"/>
        <v>5</v>
      </c>
      <c r="BA19" s="123">
        <f t="shared" si="30"/>
        <v>4</v>
      </c>
      <c r="BB19" s="123">
        <f t="shared" si="30"/>
        <v>4</v>
      </c>
      <c r="BC19" s="123">
        <f t="shared" si="30"/>
        <v>4</v>
      </c>
      <c r="BD19" s="123">
        <f t="shared" si="30"/>
        <v>4</v>
      </c>
      <c r="BE19" s="122">
        <f t="shared" si="30"/>
        <v>4</v>
      </c>
      <c r="BG19" s="147">
        <v>500</v>
      </c>
      <c r="BH19" s="136">
        <f t="shared" ref="BH19:BH43" si="31">AB6-AB35</f>
        <v>0</v>
      </c>
      <c r="BI19" s="135">
        <f t="shared" ref="BI19:BI43" si="32">AC6-AC35</f>
        <v>0</v>
      </c>
      <c r="BJ19" s="135">
        <f t="shared" ref="BJ19:BJ43" si="33">AD6-AD35</f>
        <v>0</v>
      </c>
      <c r="BK19" s="135">
        <f t="shared" ref="BK19:BK43" si="34">AE6-AE35</f>
        <v>0</v>
      </c>
      <c r="BL19" s="135">
        <f t="shared" ref="BL19:BL43" si="35">AF6-AF35</f>
        <v>0</v>
      </c>
      <c r="BM19" s="135">
        <f t="shared" ref="BM19:BM43" si="36">AG6-AG35</f>
        <v>0</v>
      </c>
      <c r="BN19" s="135">
        <f t="shared" ref="BN19:BN43" si="37">AH6-AH35</f>
        <v>0</v>
      </c>
      <c r="BO19" s="135">
        <f t="shared" ref="BO19:BO43" si="38">AI6-AI35</f>
        <v>0</v>
      </c>
      <c r="BP19" s="135">
        <f t="shared" ref="BP19:BP43" si="39">AJ6-AJ35</f>
        <v>0</v>
      </c>
      <c r="BQ19" s="135">
        <f t="shared" ref="BQ19:BQ43" si="40">AK6-AK35</f>
        <v>0</v>
      </c>
      <c r="BR19" s="135">
        <f t="shared" ref="BR19:BR43" si="41">AL6-AL35</f>
        <v>0</v>
      </c>
      <c r="BS19" s="135">
        <f t="shared" ref="BS19:BS43" si="42">AM6-AM35</f>
        <v>0</v>
      </c>
      <c r="BT19" s="135">
        <f t="shared" ref="BT19:BT43" si="43">AN6-AN35</f>
        <v>0</v>
      </c>
      <c r="BU19" s="135">
        <f t="shared" ref="BU19:BU43" si="44">AO6-AO35</f>
        <v>0</v>
      </c>
      <c r="BV19" s="135">
        <f t="shared" ref="BV19:BV43" si="45">AP6-AP35</f>
        <v>0</v>
      </c>
      <c r="BW19" s="135">
        <f t="shared" ref="BW19:BW43" si="46">AQ6-AQ35</f>
        <v>0</v>
      </c>
      <c r="BX19" s="135">
        <f t="shared" ref="BX19:BX43" si="47">AR6-AR35</f>
        <v>0</v>
      </c>
      <c r="BY19" s="135">
        <f t="shared" ref="BY19:BY43" si="48">AS6-AS35</f>
        <v>0</v>
      </c>
      <c r="BZ19" s="135">
        <f t="shared" ref="BZ19:BZ43" si="49">AT6-AT35</f>
        <v>0</v>
      </c>
      <c r="CA19" s="135">
        <f t="shared" ref="CA19:CA43" si="50">AU6-AU35</f>
        <v>0</v>
      </c>
      <c r="CB19" s="135">
        <f t="shared" ref="CB19:CB43" si="51">AV6-AV35</f>
        <v>0</v>
      </c>
      <c r="CC19" s="135">
        <f t="shared" ref="CC19:CC43" si="52">AW6-AW35</f>
        <v>0</v>
      </c>
      <c r="CD19" s="135">
        <f t="shared" ref="CD19:CD43" si="53">AX6-AX35</f>
        <v>0</v>
      </c>
      <c r="CE19" s="135">
        <f t="shared" ref="CE19:CE43" si="54">AY6-AY35</f>
        <v>0</v>
      </c>
      <c r="CF19" s="135">
        <f t="shared" ref="CF19:CF43" si="55">AZ6-AZ35</f>
        <v>0</v>
      </c>
      <c r="CG19" s="135">
        <f t="shared" ref="CG19:CG43" si="56">BA6-BA35</f>
        <v>0</v>
      </c>
      <c r="CH19" s="135">
        <f t="shared" ref="CH19:CH43" si="57">BB6-BB35</f>
        <v>0</v>
      </c>
      <c r="CI19" s="135">
        <f t="shared" ref="CI19:CI43" si="58">BC6-BC35</f>
        <v>0</v>
      </c>
      <c r="CJ19" s="135">
        <f t="shared" ref="CJ19:CJ43" si="59">BD6-BD35</f>
        <v>0</v>
      </c>
      <c r="CK19" s="134">
        <f t="shared" ref="CK19:CK43" si="60">BE6-BE35</f>
        <v>0</v>
      </c>
      <c r="CN19" s="25">
        <v>5472.66</v>
      </c>
      <c r="CO19" s="26">
        <v>7464.84</v>
      </c>
    </row>
    <row r="20" spans="26:93" s="144" customFormat="1" ht="16.5" customHeight="1" thickBot="1">
      <c r="Z20" s="374"/>
      <c r="AA20" s="127">
        <v>4750</v>
      </c>
      <c r="AB20" s="156">
        <f t="shared" si="13"/>
        <v>38</v>
      </c>
      <c r="AC20" s="123">
        <f t="shared" si="14"/>
        <v>38</v>
      </c>
      <c r="AD20" s="123">
        <f t="shared" si="14"/>
        <v>38</v>
      </c>
      <c r="AE20" s="123">
        <f t="shared" si="14"/>
        <v>38</v>
      </c>
      <c r="AF20" s="123">
        <f t="shared" si="14"/>
        <v>37</v>
      </c>
      <c r="AG20" s="123">
        <f t="shared" si="14"/>
        <v>35</v>
      </c>
      <c r="AH20" s="123">
        <f t="shared" si="14"/>
        <v>33</v>
      </c>
      <c r="AI20" s="123">
        <f t="shared" si="14"/>
        <v>32</v>
      </c>
      <c r="AJ20" s="123">
        <f t="shared" si="14"/>
        <v>31</v>
      </c>
      <c r="AK20" s="123">
        <f t="shared" ref="AK20:AT20" si="61">ROUND(AVERAGE(AK49,AK49,AJ48:AL50),0)</f>
        <v>29</v>
      </c>
      <c r="AL20" s="123">
        <f t="shared" si="61"/>
        <v>24</v>
      </c>
      <c r="AM20" s="123">
        <f t="shared" si="61"/>
        <v>20</v>
      </c>
      <c r="AN20" s="123">
        <f t="shared" si="61"/>
        <v>17</v>
      </c>
      <c r="AO20" s="123">
        <f t="shared" si="61"/>
        <v>14</v>
      </c>
      <c r="AP20" s="123">
        <f t="shared" si="61"/>
        <v>12</v>
      </c>
      <c r="AQ20" s="123">
        <f t="shared" si="61"/>
        <v>11</v>
      </c>
      <c r="AR20" s="123">
        <f t="shared" si="61"/>
        <v>11</v>
      </c>
      <c r="AS20" s="123">
        <f t="shared" si="61"/>
        <v>11</v>
      </c>
      <c r="AT20" s="123">
        <f t="shared" si="61"/>
        <v>10</v>
      </c>
      <c r="AU20" s="123">
        <f t="shared" ref="AU20:BE20" si="62">ROUND(AVERAGE(AU49,AU49,AT48:AV50),0)</f>
        <v>9</v>
      </c>
      <c r="AV20" s="123">
        <f t="shared" si="62"/>
        <v>8</v>
      </c>
      <c r="AW20" s="123">
        <f t="shared" si="62"/>
        <v>7</v>
      </c>
      <c r="AX20" s="123">
        <f t="shared" si="62"/>
        <v>7</v>
      </c>
      <c r="AY20" s="123">
        <f t="shared" si="62"/>
        <v>6</v>
      </c>
      <c r="AZ20" s="123">
        <f t="shared" si="62"/>
        <v>6</v>
      </c>
      <c r="BA20" s="123">
        <f t="shared" si="62"/>
        <v>5</v>
      </c>
      <c r="BB20" s="123">
        <f t="shared" si="62"/>
        <v>4</v>
      </c>
      <c r="BC20" s="123">
        <f t="shared" si="62"/>
        <v>4</v>
      </c>
      <c r="BD20" s="123">
        <f t="shared" si="62"/>
        <v>4</v>
      </c>
      <c r="BE20" s="122">
        <f t="shared" si="62"/>
        <v>4</v>
      </c>
      <c r="BG20" s="145">
        <v>1000</v>
      </c>
      <c r="BH20" s="124">
        <f t="shared" si="31"/>
        <v>0</v>
      </c>
      <c r="BI20" s="123">
        <f t="shared" si="32"/>
        <v>0</v>
      </c>
      <c r="BJ20" s="123">
        <f t="shared" si="33"/>
        <v>0</v>
      </c>
      <c r="BK20" s="123">
        <f t="shared" si="34"/>
        <v>0</v>
      </c>
      <c r="BL20" s="123">
        <f t="shared" si="35"/>
        <v>0</v>
      </c>
      <c r="BM20" s="123">
        <f t="shared" si="36"/>
        <v>0</v>
      </c>
      <c r="BN20" s="123">
        <f t="shared" si="37"/>
        <v>0</v>
      </c>
      <c r="BO20" s="123">
        <f t="shared" si="38"/>
        <v>0</v>
      </c>
      <c r="BP20" s="123">
        <f t="shared" si="39"/>
        <v>0</v>
      </c>
      <c r="BQ20" s="123">
        <f t="shared" si="40"/>
        <v>0</v>
      </c>
      <c r="BR20" s="123">
        <f t="shared" si="41"/>
        <v>0</v>
      </c>
      <c r="BS20" s="123">
        <f t="shared" si="42"/>
        <v>0</v>
      </c>
      <c r="BT20" s="123">
        <f t="shared" si="43"/>
        <v>0</v>
      </c>
      <c r="BU20" s="123">
        <f t="shared" si="44"/>
        <v>0</v>
      </c>
      <c r="BV20" s="123">
        <f t="shared" si="45"/>
        <v>0</v>
      </c>
      <c r="BW20" s="123">
        <f t="shared" si="46"/>
        <v>0</v>
      </c>
      <c r="BX20" s="123">
        <f t="shared" si="47"/>
        <v>0</v>
      </c>
      <c r="BY20" s="123">
        <f t="shared" si="48"/>
        <v>0</v>
      </c>
      <c r="BZ20" s="123">
        <f t="shared" si="49"/>
        <v>0</v>
      </c>
      <c r="CA20" s="123">
        <f t="shared" si="50"/>
        <v>0</v>
      </c>
      <c r="CB20" s="123">
        <f t="shared" si="51"/>
        <v>0</v>
      </c>
      <c r="CC20" s="123">
        <f t="shared" si="52"/>
        <v>0</v>
      </c>
      <c r="CD20" s="123">
        <f t="shared" si="53"/>
        <v>0</v>
      </c>
      <c r="CE20" s="123">
        <f t="shared" si="54"/>
        <v>0</v>
      </c>
      <c r="CF20" s="123">
        <f t="shared" si="55"/>
        <v>0</v>
      </c>
      <c r="CG20" s="123">
        <f t="shared" si="56"/>
        <v>0</v>
      </c>
      <c r="CH20" s="123">
        <f t="shared" si="57"/>
        <v>0</v>
      </c>
      <c r="CI20" s="123">
        <f t="shared" si="58"/>
        <v>0</v>
      </c>
      <c r="CJ20" s="123">
        <f t="shared" si="59"/>
        <v>0</v>
      </c>
      <c r="CK20" s="122">
        <f t="shared" si="60"/>
        <v>0</v>
      </c>
      <c r="CN20" s="25">
        <v>5894.53</v>
      </c>
      <c r="CO20" s="27">
        <v>8000</v>
      </c>
    </row>
    <row r="21" spans="26:93" s="144" customFormat="1" ht="16.5" customHeight="1">
      <c r="Z21" s="374"/>
      <c r="AA21" s="127">
        <v>5000</v>
      </c>
      <c r="AB21" s="156">
        <f t="shared" si="13"/>
        <v>38</v>
      </c>
      <c r="AC21" s="123">
        <f t="shared" si="14"/>
        <v>38</v>
      </c>
      <c r="AD21" s="123">
        <f t="shared" si="14"/>
        <v>38</v>
      </c>
      <c r="AE21" s="123">
        <f t="shared" si="14"/>
        <v>38</v>
      </c>
      <c r="AF21" s="123">
        <f t="shared" si="14"/>
        <v>37</v>
      </c>
      <c r="AG21" s="123">
        <f t="shared" si="14"/>
        <v>35</v>
      </c>
      <c r="AH21" s="123">
        <f t="shared" si="14"/>
        <v>33</v>
      </c>
      <c r="AI21" s="123">
        <f t="shared" si="14"/>
        <v>32</v>
      </c>
      <c r="AJ21" s="123">
        <f t="shared" si="14"/>
        <v>31</v>
      </c>
      <c r="AK21" s="123">
        <f t="shared" ref="AK21:AT21" si="63">ROUND(AVERAGE(AK50,AK50,AJ49:AL51),0)</f>
        <v>29</v>
      </c>
      <c r="AL21" s="123">
        <f t="shared" si="63"/>
        <v>25</v>
      </c>
      <c r="AM21" s="123">
        <f t="shared" si="63"/>
        <v>20</v>
      </c>
      <c r="AN21" s="123">
        <f t="shared" si="63"/>
        <v>17</v>
      </c>
      <c r="AO21" s="123">
        <f t="shared" si="63"/>
        <v>15</v>
      </c>
      <c r="AP21" s="123">
        <f t="shared" si="63"/>
        <v>13</v>
      </c>
      <c r="AQ21" s="123">
        <f t="shared" si="63"/>
        <v>12</v>
      </c>
      <c r="AR21" s="123">
        <f t="shared" si="63"/>
        <v>12</v>
      </c>
      <c r="AS21" s="123">
        <f t="shared" si="63"/>
        <v>11</v>
      </c>
      <c r="AT21" s="123">
        <f t="shared" si="63"/>
        <v>11</v>
      </c>
      <c r="AU21" s="123">
        <f t="shared" ref="AU21:BE21" si="64">ROUND(AVERAGE(AU50,AU50,AT49:AV51),0)</f>
        <v>10</v>
      </c>
      <c r="AV21" s="123">
        <f t="shared" si="64"/>
        <v>9</v>
      </c>
      <c r="AW21" s="123">
        <f t="shared" si="64"/>
        <v>8</v>
      </c>
      <c r="AX21" s="123">
        <f t="shared" si="64"/>
        <v>8</v>
      </c>
      <c r="AY21" s="123">
        <f t="shared" si="64"/>
        <v>7</v>
      </c>
      <c r="AZ21" s="123">
        <f t="shared" si="64"/>
        <v>7</v>
      </c>
      <c r="BA21" s="123">
        <f t="shared" si="64"/>
        <v>6</v>
      </c>
      <c r="BB21" s="123">
        <f t="shared" si="64"/>
        <v>5</v>
      </c>
      <c r="BC21" s="123">
        <f t="shared" si="64"/>
        <v>5</v>
      </c>
      <c r="BD21" s="123">
        <f t="shared" si="64"/>
        <v>5</v>
      </c>
      <c r="BE21" s="122">
        <f t="shared" si="64"/>
        <v>5</v>
      </c>
      <c r="BG21" s="145">
        <v>1500</v>
      </c>
      <c r="BH21" s="124">
        <f t="shared" si="31"/>
        <v>0</v>
      </c>
      <c r="BI21" s="123">
        <f t="shared" si="32"/>
        <v>0</v>
      </c>
      <c r="BJ21" s="123">
        <f t="shared" si="33"/>
        <v>0</v>
      </c>
      <c r="BK21" s="123">
        <f t="shared" si="34"/>
        <v>0</v>
      </c>
      <c r="BL21" s="123">
        <f t="shared" si="35"/>
        <v>0</v>
      </c>
      <c r="BM21" s="123">
        <f t="shared" si="36"/>
        <v>0</v>
      </c>
      <c r="BN21" s="123">
        <f t="shared" si="37"/>
        <v>0</v>
      </c>
      <c r="BO21" s="123">
        <f t="shared" si="38"/>
        <v>0</v>
      </c>
      <c r="BP21" s="123">
        <f t="shared" si="39"/>
        <v>0</v>
      </c>
      <c r="BQ21" s="123">
        <f t="shared" si="40"/>
        <v>0</v>
      </c>
      <c r="BR21" s="123">
        <f t="shared" si="41"/>
        <v>0</v>
      </c>
      <c r="BS21" s="123">
        <f t="shared" si="42"/>
        <v>0</v>
      </c>
      <c r="BT21" s="123">
        <f t="shared" si="43"/>
        <v>0</v>
      </c>
      <c r="BU21" s="123">
        <f t="shared" si="44"/>
        <v>0</v>
      </c>
      <c r="BV21" s="123">
        <f t="shared" si="45"/>
        <v>0</v>
      </c>
      <c r="BW21" s="123">
        <f t="shared" si="46"/>
        <v>0</v>
      </c>
      <c r="BX21" s="123">
        <f t="shared" si="47"/>
        <v>0</v>
      </c>
      <c r="BY21" s="123">
        <f t="shared" si="48"/>
        <v>0</v>
      </c>
      <c r="BZ21" s="123">
        <f t="shared" si="49"/>
        <v>0</v>
      </c>
      <c r="CA21" s="123">
        <f t="shared" si="50"/>
        <v>0</v>
      </c>
      <c r="CB21" s="123">
        <f t="shared" si="51"/>
        <v>0</v>
      </c>
      <c r="CC21" s="123">
        <f t="shared" si="52"/>
        <v>0</v>
      </c>
      <c r="CD21" s="123">
        <f t="shared" si="53"/>
        <v>0</v>
      </c>
      <c r="CE21" s="123">
        <f t="shared" si="54"/>
        <v>0</v>
      </c>
      <c r="CF21" s="123">
        <f t="shared" si="55"/>
        <v>0</v>
      </c>
      <c r="CG21" s="123">
        <f t="shared" si="56"/>
        <v>0</v>
      </c>
      <c r="CH21" s="123">
        <f t="shared" si="57"/>
        <v>0</v>
      </c>
      <c r="CI21" s="123">
        <f t="shared" si="58"/>
        <v>0</v>
      </c>
      <c r="CJ21" s="123">
        <f t="shared" si="59"/>
        <v>0</v>
      </c>
      <c r="CK21" s="122">
        <f t="shared" si="60"/>
        <v>0</v>
      </c>
      <c r="CN21" s="26">
        <v>6316.41</v>
      </c>
      <c r="CO21" s="4"/>
    </row>
    <row r="22" spans="26:93" s="144" customFormat="1" ht="16.5" customHeight="1">
      <c r="Z22" s="374"/>
      <c r="AA22" s="127">
        <v>5250</v>
      </c>
      <c r="AB22" s="156">
        <f t="shared" si="13"/>
        <v>38</v>
      </c>
      <c r="AC22" s="123">
        <f t="shared" si="14"/>
        <v>38</v>
      </c>
      <c r="AD22" s="123">
        <f t="shared" si="14"/>
        <v>38</v>
      </c>
      <c r="AE22" s="123">
        <f t="shared" si="14"/>
        <v>38</v>
      </c>
      <c r="AF22" s="123">
        <f t="shared" si="14"/>
        <v>37</v>
      </c>
      <c r="AG22" s="123">
        <f t="shared" si="14"/>
        <v>35</v>
      </c>
      <c r="AH22" s="123">
        <f t="shared" si="14"/>
        <v>33</v>
      </c>
      <c r="AI22" s="123">
        <f t="shared" si="14"/>
        <v>32</v>
      </c>
      <c r="AJ22" s="123">
        <f t="shared" si="14"/>
        <v>31</v>
      </c>
      <c r="AK22" s="123">
        <f t="shared" ref="AK22:AT22" si="65">ROUND(AVERAGE(AK51,AK51,AJ50:AL52),0)</f>
        <v>29</v>
      </c>
      <c r="AL22" s="123">
        <f t="shared" si="65"/>
        <v>25</v>
      </c>
      <c r="AM22" s="123">
        <f t="shared" si="65"/>
        <v>21</v>
      </c>
      <c r="AN22" s="123">
        <f t="shared" si="65"/>
        <v>18</v>
      </c>
      <c r="AO22" s="123">
        <f t="shared" si="65"/>
        <v>16</v>
      </c>
      <c r="AP22" s="123">
        <f t="shared" si="65"/>
        <v>14</v>
      </c>
      <c r="AQ22" s="123">
        <f t="shared" si="65"/>
        <v>13</v>
      </c>
      <c r="AR22" s="123">
        <f t="shared" si="65"/>
        <v>13</v>
      </c>
      <c r="AS22" s="123">
        <f t="shared" si="65"/>
        <v>12</v>
      </c>
      <c r="AT22" s="123">
        <f t="shared" si="65"/>
        <v>12</v>
      </c>
      <c r="AU22" s="123">
        <f t="shared" ref="AU22:BE22" si="66">ROUND(AVERAGE(AU51,AU51,AT50:AV52),0)</f>
        <v>11</v>
      </c>
      <c r="AV22" s="123">
        <f t="shared" si="66"/>
        <v>10</v>
      </c>
      <c r="AW22" s="123">
        <f t="shared" si="66"/>
        <v>9</v>
      </c>
      <c r="AX22" s="123">
        <f t="shared" si="66"/>
        <v>9</v>
      </c>
      <c r="AY22" s="123">
        <f t="shared" si="66"/>
        <v>8</v>
      </c>
      <c r="AZ22" s="123">
        <f t="shared" si="66"/>
        <v>8</v>
      </c>
      <c r="BA22" s="123">
        <f t="shared" si="66"/>
        <v>7</v>
      </c>
      <c r="BB22" s="123">
        <f t="shared" si="66"/>
        <v>7</v>
      </c>
      <c r="BC22" s="123">
        <f t="shared" si="66"/>
        <v>7</v>
      </c>
      <c r="BD22" s="123">
        <f t="shared" si="66"/>
        <v>7</v>
      </c>
      <c r="BE22" s="122">
        <f t="shared" si="66"/>
        <v>7</v>
      </c>
      <c r="BG22" s="145">
        <v>2000</v>
      </c>
      <c r="BH22" s="124">
        <f t="shared" si="31"/>
        <v>0</v>
      </c>
      <c r="BI22" s="123">
        <f t="shared" si="32"/>
        <v>0</v>
      </c>
      <c r="BJ22" s="123">
        <f t="shared" si="33"/>
        <v>0</v>
      </c>
      <c r="BK22" s="123">
        <f t="shared" si="34"/>
        <v>0</v>
      </c>
      <c r="BL22" s="123">
        <f t="shared" si="35"/>
        <v>0</v>
      </c>
      <c r="BM22" s="123">
        <f t="shared" si="36"/>
        <v>0</v>
      </c>
      <c r="BN22" s="123">
        <f t="shared" si="37"/>
        <v>0</v>
      </c>
      <c r="BO22" s="123">
        <f t="shared" si="38"/>
        <v>0</v>
      </c>
      <c r="BP22" s="123">
        <f t="shared" si="39"/>
        <v>0</v>
      </c>
      <c r="BQ22" s="123">
        <f t="shared" si="40"/>
        <v>1</v>
      </c>
      <c r="BR22" s="123">
        <f t="shared" si="41"/>
        <v>0</v>
      </c>
      <c r="BS22" s="123">
        <f t="shared" si="42"/>
        <v>1</v>
      </c>
      <c r="BT22" s="123">
        <f t="shared" si="43"/>
        <v>0</v>
      </c>
      <c r="BU22" s="123">
        <f t="shared" si="44"/>
        <v>0</v>
      </c>
      <c r="BV22" s="123">
        <f t="shared" si="45"/>
        <v>0</v>
      </c>
      <c r="BW22" s="123">
        <f t="shared" si="46"/>
        <v>0</v>
      </c>
      <c r="BX22" s="123">
        <f t="shared" si="47"/>
        <v>0</v>
      </c>
      <c r="BY22" s="123">
        <f t="shared" si="48"/>
        <v>0</v>
      </c>
      <c r="BZ22" s="123">
        <f t="shared" si="49"/>
        <v>0</v>
      </c>
      <c r="CA22" s="123">
        <f t="shared" si="50"/>
        <v>0</v>
      </c>
      <c r="CB22" s="123">
        <f t="shared" si="51"/>
        <v>0</v>
      </c>
      <c r="CC22" s="123">
        <f t="shared" si="52"/>
        <v>0</v>
      </c>
      <c r="CD22" s="123">
        <f t="shared" si="53"/>
        <v>0</v>
      </c>
      <c r="CE22" s="123">
        <f t="shared" si="54"/>
        <v>0</v>
      </c>
      <c r="CF22" s="123">
        <f t="shared" si="55"/>
        <v>0</v>
      </c>
      <c r="CG22" s="123">
        <f t="shared" si="56"/>
        <v>0</v>
      </c>
      <c r="CH22" s="123">
        <f t="shared" si="57"/>
        <v>0</v>
      </c>
      <c r="CI22" s="123">
        <f t="shared" si="58"/>
        <v>0</v>
      </c>
      <c r="CJ22" s="123">
        <f t="shared" si="59"/>
        <v>0</v>
      </c>
      <c r="CK22" s="122">
        <f t="shared" si="60"/>
        <v>0</v>
      </c>
      <c r="CN22" s="26">
        <v>6738.28</v>
      </c>
      <c r="CO22" s="4"/>
    </row>
    <row r="23" spans="26:93" s="144" customFormat="1" ht="16.5" customHeight="1">
      <c r="Z23" s="374"/>
      <c r="AA23" s="127">
        <v>5500</v>
      </c>
      <c r="AB23" s="156">
        <f t="shared" si="13"/>
        <v>38</v>
      </c>
      <c r="AC23" s="123">
        <f t="shared" si="14"/>
        <v>38</v>
      </c>
      <c r="AD23" s="123">
        <f t="shared" si="14"/>
        <v>38</v>
      </c>
      <c r="AE23" s="123">
        <f t="shared" si="14"/>
        <v>38</v>
      </c>
      <c r="AF23" s="123">
        <f t="shared" si="14"/>
        <v>37</v>
      </c>
      <c r="AG23" s="123">
        <f t="shared" si="14"/>
        <v>35</v>
      </c>
      <c r="AH23" s="123">
        <f t="shared" si="14"/>
        <v>34</v>
      </c>
      <c r="AI23" s="123">
        <f t="shared" si="14"/>
        <v>33</v>
      </c>
      <c r="AJ23" s="123">
        <f t="shared" si="14"/>
        <v>32</v>
      </c>
      <c r="AK23" s="123">
        <f t="shared" ref="AK23:AT23" si="67">ROUND(AVERAGE(AK52,AK52,AJ51:AL53),0)</f>
        <v>30</v>
      </c>
      <c r="AL23" s="123">
        <f t="shared" si="67"/>
        <v>26</v>
      </c>
      <c r="AM23" s="123">
        <f t="shared" si="67"/>
        <v>22</v>
      </c>
      <c r="AN23" s="123">
        <f t="shared" si="67"/>
        <v>19</v>
      </c>
      <c r="AO23" s="123">
        <f t="shared" si="67"/>
        <v>17</v>
      </c>
      <c r="AP23" s="123">
        <f t="shared" si="67"/>
        <v>16</v>
      </c>
      <c r="AQ23" s="123">
        <f t="shared" si="67"/>
        <v>15</v>
      </c>
      <c r="AR23" s="123">
        <f t="shared" si="67"/>
        <v>14</v>
      </c>
      <c r="AS23" s="123">
        <f t="shared" si="67"/>
        <v>13</v>
      </c>
      <c r="AT23" s="123">
        <f t="shared" si="67"/>
        <v>13</v>
      </c>
      <c r="AU23" s="123">
        <f t="shared" ref="AU23:BE23" si="68">ROUND(AVERAGE(AU52,AU52,AT51:AV53),0)</f>
        <v>12</v>
      </c>
      <c r="AV23" s="123">
        <f t="shared" si="68"/>
        <v>11</v>
      </c>
      <c r="AW23" s="123">
        <f t="shared" si="68"/>
        <v>10</v>
      </c>
      <c r="AX23" s="123">
        <f t="shared" si="68"/>
        <v>10</v>
      </c>
      <c r="AY23" s="123">
        <f t="shared" si="68"/>
        <v>9</v>
      </c>
      <c r="AZ23" s="123">
        <f t="shared" si="68"/>
        <v>9</v>
      </c>
      <c r="BA23" s="123">
        <f t="shared" si="68"/>
        <v>9</v>
      </c>
      <c r="BB23" s="123">
        <f t="shared" si="68"/>
        <v>8</v>
      </c>
      <c r="BC23" s="123">
        <f t="shared" si="68"/>
        <v>8</v>
      </c>
      <c r="BD23" s="123">
        <f t="shared" si="68"/>
        <v>8</v>
      </c>
      <c r="BE23" s="122">
        <f t="shared" si="68"/>
        <v>8</v>
      </c>
      <c r="BG23" s="143">
        <v>2250</v>
      </c>
      <c r="BH23" s="124">
        <f t="shared" si="31"/>
        <v>0</v>
      </c>
      <c r="BI23" s="123">
        <f t="shared" si="32"/>
        <v>0</v>
      </c>
      <c r="BJ23" s="123">
        <f t="shared" si="33"/>
        <v>0</v>
      </c>
      <c r="BK23" s="123">
        <f t="shared" si="34"/>
        <v>0</v>
      </c>
      <c r="BL23" s="123">
        <f t="shared" si="35"/>
        <v>0</v>
      </c>
      <c r="BM23" s="123">
        <f t="shared" si="36"/>
        <v>0</v>
      </c>
      <c r="BN23" s="123">
        <f t="shared" si="37"/>
        <v>0</v>
      </c>
      <c r="BO23" s="123">
        <f t="shared" si="38"/>
        <v>0</v>
      </c>
      <c r="BP23" s="123">
        <f t="shared" si="39"/>
        <v>0</v>
      </c>
      <c r="BQ23" s="123">
        <f t="shared" si="40"/>
        <v>0</v>
      </c>
      <c r="BR23" s="123">
        <f t="shared" si="41"/>
        <v>-1</v>
      </c>
      <c r="BS23" s="123">
        <f t="shared" si="42"/>
        <v>0</v>
      </c>
      <c r="BT23" s="123">
        <f t="shared" si="43"/>
        <v>0</v>
      </c>
      <c r="BU23" s="123">
        <f t="shared" si="44"/>
        <v>0</v>
      </c>
      <c r="BV23" s="123">
        <f t="shared" si="45"/>
        <v>0</v>
      </c>
      <c r="BW23" s="123">
        <f t="shared" si="46"/>
        <v>0</v>
      </c>
      <c r="BX23" s="123">
        <f t="shared" si="47"/>
        <v>0</v>
      </c>
      <c r="BY23" s="123">
        <f t="shared" si="48"/>
        <v>0</v>
      </c>
      <c r="BZ23" s="123">
        <f t="shared" si="49"/>
        <v>0</v>
      </c>
      <c r="CA23" s="123">
        <f t="shared" si="50"/>
        <v>0</v>
      </c>
      <c r="CB23" s="123">
        <f t="shared" si="51"/>
        <v>0</v>
      </c>
      <c r="CC23" s="123">
        <f t="shared" si="52"/>
        <v>0</v>
      </c>
      <c r="CD23" s="123">
        <f t="shared" si="53"/>
        <v>0</v>
      </c>
      <c r="CE23" s="123">
        <f t="shared" si="54"/>
        <v>0</v>
      </c>
      <c r="CF23" s="123">
        <f t="shared" si="55"/>
        <v>0</v>
      </c>
      <c r="CG23" s="123">
        <f t="shared" si="56"/>
        <v>0</v>
      </c>
      <c r="CH23" s="123">
        <f t="shared" si="57"/>
        <v>0</v>
      </c>
      <c r="CI23" s="123">
        <f t="shared" si="58"/>
        <v>0</v>
      </c>
      <c r="CJ23" s="123">
        <f t="shared" si="59"/>
        <v>0</v>
      </c>
      <c r="CK23" s="122">
        <f t="shared" si="60"/>
        <v>0</v>
      </c>
      <c r="CN23" s="26">
        <v>7156.25</v>
      </c>
      <c r="CO23" s="4"/>
    </row>
    <row r="24" spans="26:93" s="144" customFormat="1" ht="16.5" customHeight="1">
      <c r="Z24" s="374"/>
      <c r="AA24" s="126">
        <v>5750</v>
      </c>
      <c r="AB24" s="156">
        <f t="shared" si="13"/>
        <v>38</v>
      </c>
      <c r="AC24" s="123">
        <f t="shared" si="14"/>
        <v>38</v>
      </c>
      <c r="AD24" s="123">
        <f t="shared" si="14"/>
        <v>38</v>
      </c>
      <c r="AE24" s="123">
        <f t="shared" si="14"/>
        <v>38</v>
      </c>
      <c r="AF24" s="123">
        <f t="shared" si="14"/>
        <v>37</v>
      </c>
      <c r="AG24" s="123">
        <f t="shared" si="14"/>
        <v>36</v>
      </c>
      <c r="AH24" s="123">
        <f t="shared" si="14"/>
        <v>34</v>
      </c>
      <c r="AI24" s="123">
        <f t="shared" si="14"/>
        <v>33</v>
      </c>
      <c r="AJ24" s="123">
        <f t="shared" si="14"/>
        <v>32</v>
      </c>
      <c r="AK24" s="123">
        <f t="shared" ref="AK24:AT24" si="69">ROUND(AVERAGE(AK53,AK53,AJ52:AL54),0)</f>
        <v>30</v>
      </c>
      <c r="AL24" s="123">
        <f t="shared" si="69"/>
        <v>27</v>
      </c>
      <c r="AM24" s="123">
        <f t="shared" si="69"/>
        <v>23</v>
      </c>
      <c r="AN24" s="123">
        <f t="shared" si="69"/>
        <v>20</v>
      </c>
      <c r="AO24" s="123">
        <f t="shared" si="69"/>
        <v>18</v>
      </c>
      <c r="AP24" s="123">
        <f t="shared" si="69"/>
        <v>17</v>
      </c>
      <c r="AQ24" s="123">
        <f t="shared" si="69"/>
        <v>16</v>
      </c>
      <c r="AR24" s="123">
        <f t="shared" si="69"/>
        <v>15</v>
      </c>
      <c r="AS24" s="123">
        <f t="shared" si="69"/>
        <v>14</v>
      </c>
      <c r="AT24" s="123">
        <f t="shared" si="69"/>
        <v>14</v>
      </c>
      <c r="AU24" s="123">
        <f t="shared" ref="AU24:BE24" si="70">ROUND(AVERAGE(AU53,AU53,AT52:AV54),0)</f>
        <v>13</v>
      </c>
      <c r="AV24" s="123">
        <f t="shared" si="70"/>
        <v>12</v>
      </c>
      <c r="AW24" s="123">
        <f t="shared" si="70"/>
        <v>12</v>
      </c>
      <c r="AX24" s="123">
        <f t="shared" si="70"/>
        <v>11</v>
      </c>
      <c r="AY24" s="123">
        <f t="shared" si="70"/>
        <v>11</v>
      </c>
      <c r="AZ24" s="123">
        <f t="shared" si="70"/>
        <v>10</v>
      </c>
      <c r="BA24" s="123">
        <f t="shared" si="70"/>
        <v>10</v>
      </c>
      <c r="BB24" s="123">
        <f t="shared" si="70"/>
        <v>10</v>
      </c>
      <c r="BC24" s="123">
        <f t="shared" si="70"/>
        <v>9</v>
      </c>
      <c r="BD24" s="123">
        <f t="shared" si="70"/>
        <v>9</v>
      </c>
      <c r="BE24" s="122">
        <f t="shared" si="70"/>
        <v>9</v>
      </c>
      <c r="BG24" s="143">
        <v>2500</v>
      </c>
      <c r="BH24" s="124">
        <f t="shared" si="31"/>
        <v>0</v>
      </c>
      <c r="BI24" s="123">
        <f t="shared" si="32"/>
        <v>0</v>
      </c>
      <c r="BJ24" s="123">
        <f t="shared" si="33"/>
        <v>0</v>
      </c>
      <c r="BK24" s="123">
        <f t="shared" si="34"/>
        <v>0</v>
      </c>
      <c r="BL24" s="123">
        <f t="shared" si="35"/>
        <v>0</v>
      </c>
      <c r="BM24" s="123">
        <f t="shared" si="36"/>
        <v>0</v>
      </c>
      <c r="BN24" s="123">
        <f t="shared" si="37"/>
        <v>0</v>
      </c>
      <c r="BO24" s="123">
        <f t="shared" si="38"/>
        <v>0</v>
      </c>
      <c r="BP24" s="123">
        <f t="shared" si="39"/>
        <v>0</v>
      </c>
      <c r="BQ24" s="123">
        <f t="shared" si="40"/>
        <v>0</v>
      </c>
      <c r="BR24" s="123">
        <f t="shared" si="41"/>
        <v>0</v>
      </c>
      <c r="BS24" s="123">
        <f t="shared" si="42"/>
        <v>1</v>
      </c>
      <c r="BT24" s="123">
        <f t="shared" si="43"/>
        <v>0</v>
      </c>
      <c r="BU24" s="123">
        <f t="shared" si="44"/>
        <v>1</v>
      </c>
      <c r="BV24" s="123">
        <f t="shared" si="45"/>
        <v>0</v>
      </c>
      <c r="BW24" s="123">
        <f t="shared" si="46"/>
        <v>0</v>
      </c>
      <c r="BX24" s="123">
        <f t="shared" si="47"/>
        <v>0</v>
      </c>
      <c r="BY24" s="123">
        <f t="shared" si="48"/>
        <v>0</v>
      </c>
      <c r="BZ24" s="123">
        <f t="shared" si="49"/>
        <v>0</v>
      </c>
      <c r="CA24" s="123">
        <f t="shared" si="50"/>
        <v>0</v>
      </c>
      <c r="CB24" s="123">
        <f t="shared" si="51"/>
        <v>0</v>
      </c>
      <c r="CC24" s="123">
        <f t="shared" si="52"/>
        <v>0</v>
      </c>
      <c r="CD24" s="123">
        <f t="shared" si="53"/>
        <v>1</v>
      </c>
      <c r="CE24" s="123">
        <f t="shared" si="54"/>
        <v>0</v>
      </c>
      <c r="CF24" s="123">
        <f t="shared" si="55"/>
        <v>1</v>
      </c>
      <c r="CG24" s="123">
        <f t="shared" si="56"/>
        <v>0</v>
      </c>
      <c r="CH24" s="123">
        <f t="shared" si="57"/>
        <v>0</v>
      </c>
      <c r="CI24" s="123">
        <f t="shared" si="58"/>
        <v>0</v>
      </c>
      <c r="CJ24" s="123">
        <f t="shared" si="59"/>
        <v>0</v>
      </c>
      <c r="CK24" s="122">
        <f t="shared" si="60"/>
        <v>0</v>
      </c>
      <c r="CN24" s="26">
        <v>7578.12</v>
      </c>
      <c r="CO24" s="4"/>
    </row>
    <row r="25" spans="26:93" s="144" customFormat="1" ht="16.5" customHeight="1" thickBot="1">
      <c r="Z25" s="374"/>
      <c r="AA25" s="125">
        <v>6000</v>
      </c>
      <c r="AB25" s="155">
        <f t="shared" si="13"/>
        <v>38</v>
      </c>
      <c r="AC25" s="123">
        <f t="shared" ref="AC25:BE25" si="71">ROUND(AVERAGE(AC54,AC54,AB53:AD54),0)</f>
        <v>38</v>
      </c>
      <c r="AD25" s="123">
        <f t="shared" si="71"/>
        <v>38</v>
      </c>
      <c r="AE25" s="123">
        <f t="shared" si="71"/>
        <v>38</v>
      </c>
      <c r="AF25" s="123">
        <f t="shared" si="71"/>
        <v>37</v>
      </c>
      <c r="AG25" s="123">
        <f t="shared" si="71"/>
        <v>36</v>
      </c>
      <c r="AH25" s="123">
        <f t="shared" si="71"/>
        <v>34</v>
      </c>
      <c r="AI25" s="123">
        <f t="shared" si="71"/>
        <v>33</v>
      </c>
      <c r="AJ25" s="123">
        <f t="shared" si="71"/>
        <v>32</v>
      </c>
      <c r="AK25" s="123">
        <f t="shared" si="71"/>
        <v>31</v>
      </c>
      <c r="AL25" s="123">
        <f t="shared" si="71"/>
        <v>27</v>
      </c>
      <c r="AM25" s="123">
        <f t="shared" si="71"/>
        <v>24</v>
      </c>
      <c r="AN25" s="123">
        <f t="shared" si="71"/>
        <v>21</v>
      </c>
      <c r="AO25" s="123">
        <f t="shared" si="71"/>
        <v>19</v>
      </c>
      <c r="AP25" s="123">
        <f t="shared" si="71"/>
        <v>17</v>
      </c>
      <c r="AQ25" s="123">
        <f t="shared" si="71"/>
        <v>17</v>
      </c>
      <c r="AR25" s="123">
        <f t="shared" si="71"/>
        <v>16</v>
      </c>
      <c r="AS25" s="123">
        <f t="shared" si="71"/>
        <v>15</v>
      </c>
      <c r="AT25" s="123">
        <f t="shared" si="71"/>
        <v>14</v>
      </c>
      <c r="AU25" s="123">
        <f t="shared" si="71"/>
        <v>14</v>
      </c>
      <c r="AV25" s="123">
        <f t="shared" si="71"/>
        <v>13</v>
      </c>
      <c r="AW25" s="123">
        <f t="shared" si="71"/>
        <v>12</v>
      </c>
      <c r="AX25" s="123">
        <f t="shared" si="71"/>
        <v>12</v>
      </c>
      <c r="AY25" s="123">
        <f t="shared" si="71"/>
        <v>12</v>
      </c>
      <c r="AZ25" s="123">
        <f t="shared" si="71"/>
        <v>11</v>
      </c>
      <c r="BA25" s="123">
        <f t="shared" si="71"/>
        <v>11</v>
      </c>
      <c r="BB25" s="123">
        <f t="shared" si="71"/>
        <v>10</v>
      </c>
      <c r="BC25" s="123">
        <f t="shared" si="71"/>
        <v>10</v>
      </c>
      <c r="BD25" s="123">
        <f t="shared" si="71"/>
        <v>10</v>
      </c>
      <c r="BE25" s="122">
        <f t="shared" si="71"/>
        <v>10</v>
      </c>
      <c r="BG25" s="143">
        <v>2750</v>
      </c>
      <c r="BH25" s="124">
        <f t="shared" si="31"/>
        <v>0</v>
      </c>
      <c r="BI25" s="123">
        <f t="shared" si="32"/>
        <v>0</v>
      </c>
      <c r="BJ25" s="123">
        <f t="shared" si="33"/>
        <v>-1</v>
      </c>
      <c r="BK25" s="123">
        <f t="shared" si="34"/>
        <v>0</v>
      </c>
      <c r="BL25" s="123">
        <f t="shared" si="35"/>
        <v>0</v>
      </c>
      <c r="BM25" s="123">
        <f t="shared" si="36"/>
        <v>0</v>
      </c>
      <c r="BN25" s="123">
        <f t="shared" si="37"/>
        <v>0</v>
      </c>
      <c r="BO25" s="123">
        <f t="shared" si="38"/>
        <v>-1</v>
      </c>
      <c r="BP25" s="123">
        <f t="shared" si="39"/>
        <v>1</v>
      </c>
      <c r="BQ25" s="123">
        <f t="shared" si="40"/>
        <v>-1</v>
      </c>
      <c r="BR25" s="123">
        <f t="shared" si="41"/>
        <v>-1</v>
      </c>
      <c r="BS25" s="123">
        <f t="shared" si="42"/>
        <v>1</v>
      </c>
      <c r="BT25" s="123">
        <f t="shared" si="43"/>
        <v>0</v>
      </c>
      <c r="BU25" s="123">
        <f t="shared" si="44"/>
        <v>1</v>
      </c>
      <c r="BV25" s="123">
        <f t="shared" si="45"/>
        <v>0</v>
      </c>
      <c r="BW25" s="123">
        <f t="shared" si="46"/>
        <v>0</v>
      </c>
      <c r="BX25" s="123">
        <f t="shared" si="47"/>
        <v>0</v>
      </c>
      <c r="BY25" s="123">
        <f t="shared" si="48"/>
        <v>0</v>
      </c>
      <c r="BZ25" s="123">
        <f t="shared" si="49"/>
        <v>0</v>
      </c>
      <c r="CA25" s="123">
        <f t="shared" si="50"/>
        <v>0</v>
      </c>
      <c r="CB25" s="123">
        <f t="shared" si="51"/>
        <v>0</v>
      </c>
      <c r="CC25" s="123">
        <f t="shared" si="52"/>
        <v>0</v>
      </c>
      <c r="CD25" s="123">
        <f t="shared" si="53"/>
        <v>0</v>
      </c>
      <c r="CE25" s="123">
        <f t="shared" si="54"/>
        <v>0</v>
      </c>
      <c r="CF25" s="123">
        <f t="shared" si="55"/>
        <v>0</v>
      </c>
      <c r="CG25" s="123">
        <f t="shared" si="56"/>
        <v>0</v>
      </c>
      <c r="CH25" s="123">
        <f t="shared" si="57"/>
        <v>-1</v>
      </c>
      <c r="CI25" s="123">
        <f t="shared" si="58"/>
        <v>0</v>
      </c>
      <c r="CJ25" s="123">
        <f t="shared" si="59"/>
        <v>0</v>
      </c>
      <c r="CK25" s="122">
        <f t="shared" si="60"/>
        <v>0</v>
      </c>
      <c r="CN25" s="27">
        <v>8000</v>
      </c>
      <c r="CO25" s="4"/>
    </row>
    <row r="26" spans="26:93" s="144" customFormat="1" ht="16.5" customHeight="1">
      <c r="Z26" s="374"/>
      <c r="AA26" s="125">
        <v>6250</v>
      </c>
      <c r="AB26" s="155">
        <f t="shared" si="13"/>
        <v>38</v>
      </c>
      <c r="AC26" s="123">
        <f t="shared" ref="AC26:BE26" si="72">ROUND(AVERAGE(AC55,AC55,AB54:AD55),0)</f>
        <v>38</v>
      </c>
      <c r="AD26" s="123">
        <f t="shared" si="72"/>
        <v>38</v>
      </c>
      <c r="AE26" s="123">
        <f t="shared" si="72"/>
        <v>38</v>
      </c>
      <c r="AF26" s="123">
        <f t="shared" si="72"/>
        <v>37</v>
      </c>
      <c r="AG26" s="123">
        <f t="shared" si="72"/>
        <v>36</v>
      </c>
      <c r="AH26" s="123">
        <f t="shared" si="72"/>
        <v>35</v>
      </c>
      <c r="AI26" s="123">
        <f t="shared" si="72"/>
        <v>34</v>
      </c>
      <c r="AJ26" s="123">
        <f t="shared" si="72"/>
        <v>33</v>
      </c>
      <c r="AK26" s="123">
        <f t="shared" si="72"/>
        <v>31</v>
      </c>
      <c r="AL26" s="123">
        <f t="shared" si="72"/>
        <v>28</v>
      </c>
      <c r="AM26" s="123">
        <f t="shared" si="72"/>
        <v>25</v>
      </c>
      <c r="AN26" s="123">
        <f t="shared" si="72"/>
        <v>22</v>
      </c>
      <c r="AO26" s="123">
        <f t="shared" si="72"/>
        <v>20</v>
      </c>
      <c r="AP26" s="123">
        <f t="shared" si="72"/>
        <v>18</v>
      </c>
      <c r="AQ26" s="123">
        <f t="shared" si="72"/>
        <v>18</v>
      </c>
      <c r="AR26" s="123">
        <f t="shared" si="72"/>
        <v>17</v>
      </c>
      <c r="AS26" s="123">
        <f t="shared" si="72"/>
        <v>17</v>
      </c>
      <c r="AT26" s="123">
        <f t="shared" si="72"/>
        <v>16</v>
      </c>
      <c r="AU26" s="123">
        <f t="shared" si="72"/>
        <v>15</v>
      </c>
      <c r="AV26" s="123">
        <f t="shared" si="72"/>
        <v>15</v>
      </c>
      <c r="AW26" s="123">
        <f t="shared" si="72"/>
        <v>14</v>
      </c>
      <c r="AX26" s="123">
        <f t="shared" si="72"/>
        <v>14</v>
      </c>
      <c r="AY26" s="123">
        <f t="shared" si="72"/>
        <v>13</v>
      </c>
      <c r="AZ26" s="123">
        <f t="shared" si="72"/>
        <v>13</v>
      </c>
      <c r="BA26" s="123">
        <f t="shared" si="72"/>
        <v>12</v>
      </c>
      <c r="BB26" s="123">
        <f t="shared" si="72"/>
        <v>11</v>
      </c>
      <c r="BC26" s="123">
        <f t="shared" si="72"/>
        <v>11</v>
      </c>
      <c r="BD26" s="123">
        <f t="shared" si="72"/>
        <v>11</v>
      </c>
      <c r="BE26" s="122">
        <f t="shared" si="72"/>
        <v>11</v>
      </c>
      <c r="BG26" s="143">
        <v>3000</v>
      </c>
      <c r="BH26" s="124">
        <f t="shared" si="31"/>
        <v>0</v>
      </c>
      <c r="BI26" s="123">
        <f t="shared" si="32"/>
        <v>0</v>
      </c>
      <c r="BJ26" s="123">
        <f t="shared" si="33"/>
        <v>0</v>
      </c>
      <c r="BK26" s="123">
        <f t="shared" si="34"/>
        <v>0</v>
      </c>
      <c r="BL26" s="123">
        <f t="shared" si="35"/>
        <v>0</v>
      </c>
      <c r="BM26" s="123">
        <f t="shared" si="36"/>
        <v>0</v>
      </c>
      <c r="BN26" s="123">
        <f t="shared" si="37"/>
        <v>0</v>
      </c>
      <c r="BO26" s="123">
        <f t="shared" si="38"/>
        <v>-1</v>
      </c>
      <c r="BP26" s="123">
        <f t="shared" si="39"/>
        <v>0</v>
      </c>
      <c r="BQ26" s="123">
        <f t="shared" si="40"/>
        <v>0</v>
      </c>
      <c r="BR26" s="123">
        <f t="shared" si="41"/>
        <v>-1</v>
      </c>
      <c r="BS26" s="123">
        <f t="shared" si="42"/>
        <v>0</v>
      </c>
      <c r="BT26" s="123">
        <f t="shared" si="43"/>
        <v>0</v>
      </c>
      <c r="BU26" s="123">
        <f t="shared" si="44"/>
        <v>0</v>
      </c>
      <c r="BV26" s="123">
        <f t="shared" si="45"/>
        <v>0</v>
      </c>
      <c r="BW26" s="123">
        <f t="shared" si="46"/>
        <v>0</v>
      </c>
      <c r="BX26" s="123">
        <f t="shared" si="47"/>
        <v>0</v>
      </c>
      <c r="BY26" s="123">
        <f t="shared" si="48"/>
        <v>-1</v>
      </c>
      <c r="BZ26" s="123">
        <f t="shared" si="49"/>
        <v>0</v>
      </c>
      <c r="CA26" s="123">
        <f t="shared" si="50"/>
        <v>0</v>
      </c>
      <c r="CB26" s="123">
        <f t="shared" si="51"/>
        <v>-1</v>
      </c>
      <c r="CC26" s="123">
        <f t="shared" si="52"/>
        <v>0</v>
      </c>
      <c r="CD26" s="123">
        <f t="shared" si="53"/>
        <v>0</v>
      </c>
      <c r="CE26" s="123">
        <f t="shared" si="54"/>
        <v>0</v>
      </c>
      <c r="CF26" s="123">
        <f t="shared" si="55"/>
        <v>0</v>
      </c>
      <c r="CG26" s="123">
        <f t="shared" si="56"/>
        <v>0</v>
      </c>
      <c r="CH26" s="123">
        <f t="shared" si="57"/>
        <v>0</v>
      </c>
      <c r="CI26" s="123">
        <f t="shared" si="58"/>
        <v>0</v>
      </c>
      <c r="CJ26" s="123">
        <f t="shared" si="59"/>
        <v>0</v>
      </c>
      <c r="CK26" s="122">
        <f t="shared" si="60"/>
        <v>0</v>
      </c>
    </row>
    <row r="27" spans="26:93" s="144" customFormat="1" ht="16.5" customHeight="1">
      <c r="Z27" s="374"/>
      <c r="AA27" s="125">
        <v>6500</v>
      </c>
      <c r="AB27" s="155">
        <f t="shared" si="13"/>
        <v>38</v>
      </c>
      <c r="AC27" s="123">
        <f t="shared" ref="AC27:BE27" si="73">ROUND(AVERAGE(AC56,AC56,AB55:AD56),0)</f>
        <v>38</v>
      </c>
      <c r="AD27" s="123">
        <f t="shared" si="73"/>
        <v>38</v>
      </c>
      <c r="AE27" s="123">
        <f t="shared" si="73"/>
        <v>38</v>
      </c>
      <c r="AF27" s="123">
        <f t="shared" si="73"/>
        <v>38</v>
      </c>
      <c r="AG27" s="123">
        <f t="shared" si="73"/>
        <v>36</v>
      </c>
      <c r="AH27" s="123">
        <f t="shared" si="73"/>
        <v>35</v>
      </c>
      <c r="AI27" s="123">
        <f t="shared" si="73"/>
        <v>34</v>
      </c>
      <c r="AJ27" s="123">
        <f t="shared" si="73"/>
        <v>33</v>
      </c>
      <c r="AK27" s="123">
        <f t="shared" si="73"/>
        <v>32</v>
      </c>
      <c r="AL27" s="123">
        <f t="shared" si="73"/>
        <v>29</v>
      </c>
      <c r="AM27" s="123">
        <f t="shared" si="73"/>
        <v>26</v>
      </c>
      <c r="AN27" s="123">
        <f t="shared" si="73"/>
        <v>23</v>
      </c>
      <c r="AO27" s="123">
        <f t="shared" si="73"/>
        <v>21</v>
      </c>
      <c r="AP27" s="123">
        <f t="shared" si="73"/>
        <v>19</v>
      </c>
      <c r="AQ27" s="123">
        <f t="shared" si="73"/>
        <v>19</v>
      </c>
      <c r="AR27" s="123">
        <f t="shared" si="73"/>
        <v>18</v>
      </c>
      <c r="AS27" s="123">
        <f t="shared" si="73"/>
        <v>18</v>
      </c>
      <c r="AT27" s="123">
        <f t="shared" si="73"/>
        <v>18</v>
      </c>
      <c r="AU27" s="123">
        <f t="shared" si="73"/>
        <v>17</v>
      </c>
      <c r="AV27" s="123">
        <f t="shared" si="73"/>
        <v>17</v>
      </c>
      <c r="AW27" s="123">
        <f t="shared" si="73"/>
        <v>16</v>
      </c>
      <c r="AX27" s="123">
        <f t="shared" si="73"/>
        <v>16</v>
      </c>
      <c r="AY27" s="123">
        <f t="shared" si="73"/>
        <v>15</v>
      </c>
      <c r="AZ27" s="123">
        <f t="shared" si="73"/>
        <v>14</v>
      </c>
      <c r="BA27" s="123">
        <f t="shared" si="73"/>
        <v>14</v>
      </c>
      <c r="BB27" s="123">
        <f t="shared" si="73"/>
        <v>13</v>
      </c>
      <c r="BC27" s="123">
        <f t="shared" si="73"/>
        <v>12</v>
      </c>
      <c r="BD27" s="123">
        <f t="shared" si="73"/>
        <v>12</v>
      </c>
      <c r="BE27" s="122">
        <f t="shared" si="73"/>
        <v>11</v>
      </c>
      <c r="BG27" s="143">
        <v>3250</v>
      </c>
      <c r="BH27" s="124">
        <f t="shared" si="31"/>
        <v>0</v>
      </c>
      <c r="BI27" s="123">
        <f t="shared" si="32"/>
        <v>0</v>
      </c>
      <c r="BJ27" s="123">
        <f t="shared" si="33"/>
        <v>0</v>
      </c>
      <c r="BK27" s="123">
        <f t="shared" si="34"/>
        <v>-1</v>
      </c>
      <c r="BL27" s="123">
        <f t="shared" si="35"/>
        <v>-1</v>
      </c>
      <c r="BM27" s="123">
        <f t="shared" si="36"/>
        <v>0</v>
      </c>
      <c r="BN27" s="123">
        <f t="shared" si="37"/>
        <v>-1</v>
      </c>
      <c r="BO27" s="123">
        <f t="shared" si="38"/>
        <v>-1</v>
      </c>
      <c r="BP27" s="123">
        <f t="shared" si="39"/>
        <v>0</v>
      </c>
      <c r="BQ27" s="123">
        <f t="shared" si="40"/>
        <v>-1</v>
      </c>
      <c r="BR27" s="123">
        <f t="shared" si="41"/>
        <v>0</v>
      </c>
      <c r="BS27" s="123">
        <f t="shared" si="42"/>
        <v>0</v>
      </c>
      <c r="BT27" s="123">
        <f t="shared" si="43"/>
        <v>-1</v>
      </c>
      <c r="BU27" s="123">
        <f t="shared" si="44"/>
        <v>0</v>
      </c>
      <c r="BV27" s="123">
        <f t="shared" si="45"/>
        <v>0</v>
      </c>
      <c r="BW27" s="123">
        <f t="shared" si="46"/>
        <v>0</v>
      </c>
      <c r="BX27" s="123">
        <f t="shared" si="47"/>
        <v>0</v>
      </c>
      <c r="BY27" s="123">
        <f t="shared" si="48"/>
        <v>0</v>
      </c>
      <c r="BZ27" s="123">
        <f t="shared" si="49"/>
        <v>0</v>
      </c>
      <c r="CA27" s="123">
        <f t="shared" si="50"/>
        <v>0</v>
      </c>
      <c r="CB27" s="123">
        <f t="shared" si="51"/>
        <v>0</v>
      </c>
      <c r="CC27" s="123">
        <f t="shared" si="52"/>
        <v>0</v>
      </c>
      <c r="CD27" s="123">
        <f t="shared" si="53"/>
        <v>0</v>
      </c>
      <c r="CE27" s="123">
        <f t="shared" si="54"/>
        <v>0</v>
      </c>
      <c r="CF27" s="123">
        <f t="shared" si="55"/>
        <v>0</v>
      </c>
      <c r="CG27" s="123">
        <f t="shared" si="56"/>
        <v>0</v>
      </c>
      <c r="CH27" s="123">
        <f t="shared" si="57"/>
        <v>0</v>
      </c>
      <c r="CI27" s="123">
        <f t="shared" si="58"/>
        <v>0</v>
      </c>
      <c r="CJ27" s="123">
        <f t="shared" si="59"/>
        <v>0</v>
      </c>
      <c r="CK27" s="122">
        <f t="shared" si="60"/>
        <v>0</v>
      </c>
    </row>
    <row r="28" spans="26:93" s="144" customFormat="1" ht="16.5" customHeight="1">
      <c r="Z28" s="374"/>
      <c r="AA28" s="125">
        <v>6750</v>
      </c>
      <c r="AB28" s="155">
        <f t="shared" si="13"/>
        <v>38</v>
      </c>
      <c r="AC28" s="123">
        <f t="shared" ref="AC28:BE28" si="74">ROUND(AVERAGE(AC57,AC57,AB56:AD57),0)</f>
        <v>38</v>
      </c>
      <c r="AD28" s="123">
        <f t="shared" si="74"/>
        <v>38</v>
      </c>
      <c r="AE28" s="123">
        <f t="shared" si="74"/>
        <v>38</v>
      </c>
      <c r="AF28" s="123">
        <f t="shared" si="74"/>
        <v>38</v>
      </c>
      <c r="AG28" s="123">
        <f t="shared" si="74"/>
        <v>36</v>
      </c>
      <c r="AH28" s="123">
        <f t="shared" si="74"/>
        <v>35</v>
      </c>
      <c r="AI28" s="123">
        <f t="shared" si="74"/>
        <v>34</v>
      </c>
      <c r="AJ28" s="123">
        <f t="shared" si="74"/>
        <v>33</v>
      </c>
      <c r="AK28" s="123">
        <f t="shared" si="74"/>
        <v>32</v>
      </c>
      <c r="AL28" s="123">
        <f t="shared" si="74"/>
        <v>29</v>
      </c>
      <c r="AM28" s="123">
        <f t="shared" si="74"/>
        <v>26</v>
      </c>
      <c r="AN28" s="123">
        <f t="shared" si="74"/>
        <v>24</v>
      </c>
      <c r="AO28" s="123">
        <f t="shared" si="74"/>
        <v>22</v>
      </c>
      <c r="AP28" s="123">
        <f t="shared" si="74"/>
        <v>20</v>
      </c>
      <c r="AQ28" s="123">
        <f t="shared" si="74"/>
        <v>19</v>
      </c>
      <c r="AR28" s="123">
        <f t="shared" si="74"/>
        <v>19</v>
      </c>
      <c r="AS28" s="123">
        <f t="shared" si="74"/>
        <v>19</v>
      </c>
      <c r="AT28" s="123">
        <f t="shared" si="74"/>
        <v>19</v>
      </c>
      <c r="AU28" s="123">
        <f t="shared" si="74"/>
        <v>19</v>
      </c>
      <c r="AV28" s="123">
        <f t="shared" si="74"/>
        <v>18</v>
      </c>
      <c r="AW28" s="123">
        <f t="shared" si="74"/>
        <v>17</v>
      </c>
      <c r="AX28" s="123">
        <f t="shared" si="74"/>
        <v>17</v>
      </c>
      <c r="AY28" s="123">
        <f t="shared" si="74"/>
        <v>17</v>
      </c>
      <c r="AZ28" s="123">
        <f t="shared" si="74"/>
        <v>16</v>
      </c>
      <c r="BA28" s="123">
        <f t="shared" si="74"/>
        <v>15</v>
      </c>
      <c r="BB28" s="123">
        <f t="shared" si="74"/>
        <v>14</v>
      </c>
      <c r="BC28" s="123">
        <f t="shared" si="74"/>
        <v>13</v>
      </c>
      <c r="BD28" s="123">
        <f t="shared" si="74"/>
        <v>13</v>
      </c>
      <c r="BE28" s="122">
        <f t="shared" si="74"/>
        <v>13</v>
      </c>
      <c r="BG28" s="143">
        <v>3500</v>
      </c>
      <c r="BH28" s="124">
        <f t="shared" si="31"/>
        <v>0</v>
      </c>
      <c r="BI28" s="123">
        <f t="shared" si="32"/>
        <v>0</v>
      </c>
      <c r="BJ28" s="123">
        <f t="shared" si="33"/>
        <v>0</v>
      </c>
      <c r="BK28" s="123">
        <f t="shared" si="34"/>
        <v>0</v>
      </c>
      <c r="BL28" s="123">
        <f t="shared" si="35"/>
        <v>0</v>
      </c>
      <c r="BM28" s="123">
        <f t="shared" si="36"/>
        <v>0</v>
      </c>
      <c r="BN28" s="123">
        <f t="shared" si="37"/>
        <v>0</v>
      </c>
      <c r="BO28" s="123">
        <f t="shared" si="38"/>
        <v>-1</v>
      </c>
      <c r="BP28" s="123">
        <f t="shared" si="39"/>
        <v>0</v>
      </c>
      <c r="BQ28" s="123">
        <f t="shared" si="40"/>
        <v>-1</v>
      </c>
      <c r="BR28" s="123">
        <f t="shared" si="41"/>
        <v>1</v>
      </c>
      <c r="BS28" s="123">
        <f t="shared" si="42"/>
        <v>1</v>
      </c>
      <c r="BT28" s="123">
        <f t="shared" si="43"/>
        <v>-1</v>
      </c>
      <c r="BU28" s="123">
        <f t="shared" si="44"/>
        <v>1</v>
      </c>
      <c r="BV28" s="123">
        <f t="shared" si="45"/>
        <v>0</v>
      </c>
      <c r="BW28" s="123">
        <f t="shared" si="46"/>
        <v>0</v>
      </c>
      <c r="BX28" s="123">
        <f t="shared" si="47"/>
        <v>0</v>
      </c>
      <c r="BY28" s="123">
        <f t="shared" si="48"/>
        <v>0</v>
      </c>
      <c r="BZ28" s="123">
        <f t="shared" si="49"/>
        <v>0</v>
      </c>
      <c r="CA28" s="123">
        <f t="shared" si="50"/>
        <v>0</v>
      </c>
      <c r="CB28" s="123">
        <f t="shared" si="51"/>
        <v>0</v>
      </c>
      <c r="CC28" s="123">
        <f t="shared" si="52"/>
        <v>0</v>
      </c>
      <c r="CD28" s="123">
        <f t="shared" si="53"/>
        <v>0</v>
      </c>
      <c r="CE28" s="123">
        <f t="shared" si="54"/>
        <v>0</v>
      </c>
      <c r="CF28" s="123">
        <f t="shared" si="55"/>
        <v>0</v>
      </c>
      <c r="CG28" s="123">
        <f t="shared" si="56"/>
        <v>0</v>
      </c>
      <c r="CH28" s="123">
        <f t="shared" si="57"/>
        <v>0</v>
      </c>
      <c r="CI28" s="123">
        <f t="shared" si="58"/>
        <v>0</v>
      </c>
      <c r="CJ28" s="123">
        <f t="shared" si="59"/>
        <v>0</v>
      </c>
      <c r="CK28" s="122">
        <f t="shared" si="60"/>
        <v>0</v>
      </c>
    </row>
    <row r="29" spans="26:93" s="144" customFormat="1" ht="16.5" customHeight="1">
      <c r="Z29" s="374"/>
      <c r="AA29" s="125">
        <v>7000</v>
      </c>
      <c r="AB29" s="155">
        <f t="shared" si="13"/>
        <v>38</v>
      </c>
      <c r="AC29" s="123">
        <f t="shared" ref="AC29:BE29" si="75">ROUND(AVERAGE(AC58,AC58,AB57:AD58),0)</f>
        <v>38</v>
      </c>
      <c r="AD29" s="123">
        <f t="shared" si="75"/>
        <v>38</v>
      </c>
      <c r="AE29" s="123">
        <f t="shared" si="75"/>
        <v>38</v>
      </c>
      <c r="AF29" s="123">
        <f t="shared" si="75"/>
        <v>38</v>
      </c>
      <c r="AG29" s="123">
        <f t="shared" si="75"/>
        <v>36</v>
      </c>
      <c r="AH29" s="123">
        <f t="shared" si="75"/>
        <v>35</v>
      </c>
      <c r="AI29" s="123">
        <f t="shared" si="75"/>
        <v>34</v>
      </c>
      <c r="AJ29" s="123">
        <f t="shared" si="75"/>
        <v>33</v>
      </c>
      <c r="AK29" s="123">
        <f t="shared" si="75"/>
        <v>32</v>
      </c>
      <c r="AL29" s="123">
        <f t="shared" si="75"/>
        <v>30</v>
      </c>
      <c r="AM29" s="123">
        <f t="shared" si="75"/>
        <v>27</v>
      </c>
      <c r="AN29" s="123">
        <f t="shared" si="75"/>
        <v>25</v>
      </c>
      <c r="AO29" s="123">
        <f t="shared" si="75"/>
        <v>23</v>
      </c>
      <c r="AP29" s="123">
        <f t="shared" si="75"/>
        <v>21</v>
      </c>
      <c r="AQ29" s="123">
        <f t="shared" si="75"/>
        <v>21</v>
      </c>
      <c r="AR29" s="123">
        <f t="shared" si="75"/>
        <v>20</v>
      </c>
      <c r="AS29" s="123">
        <f t="shared" si="75"/>
        <v>20</v>
      </c>
      <c r="AT29" s="123">
        <f t="shared" si="75"/>
        <v>20</v>
      </c>
      <c r="AU29" s="123">
        <f t="shared" si="75"/>
        <v>20</v>
      </c>
      <c r="AV29" s="123">
        <f t="shared" si="75"/>
        <v>19</v>
      </c>
      <c r="AW29" s="123">
        <f t="shared" si="75"/>
        <v>19</v>
      </c>
      <c r="AX29" s="123">
        <f t="shared" si="75"/>
        <v>18</v>
      </c>
      <c r="AY29" s="123">
        <f t="shared" si="75"/>
        <v>18</v>
      </c>
      <c r="AZ29" s="123">
        <f t="shared" si="75"/>
        <v>18</v>
      </c>
      <c r="BA29" s="123">
        <f t="shared" si="75"/>
        <v>17</v>
      </c>
      <c r="BB29" s="123">
        <f t="shared" si="75"/>
        <v>16</v>
      </c>
      <c r="BC29" s="123">
        <f t="shared" si="75"/>
        <v>15</v>
      </c>
      <c r="BD29" s="123">
        <f t="shared" si="75"/>
        <v>14</v>
      </c>
      <c r="BE29" s="122">
        <f t="shared" si="75"/>
        <v>14</v>
      </c>
      <c r="BG29" s="143">
        <v>3750</v>
      </c>
      <c r="BH29" s="124">
        <f t="shared" si="31"/>
        <v>0</v>
      </c>
      <c r="BI29" s="123">
        <f t="shared" si="32"/>
        <v>0</v>
      </c>
      <c r="BJ29" s="123">
        <f t="shared" si="33"/>
        <v>0</v>
      </c>
      <c r="BK29" s="123">
        <f t="shared" si="34"/>
        <v>-1</v>
      </c>
      <c r="BL29" s="123">
        <f t="shared" si="35"/>
        <v>0</v>
      </c>
      <c r="BM29" s="123">
        <f t="shared" si="36"/>
        <v>0</v>
      </c>
      <c r="BN29" s="123">
        <f t="shared" si="37"/>
        <v>0</v>
      </c>
      <c r="BO29" s="123">
        <f t="shared" si="38"/>
        <v>-1</v>
      </c>
      <c r="BP29" s="123">
        <f t="shared" si="39"/>
        <v>1</v>
      </c>
      <c r="BQ29" s="123">
        <f t="shared" si="40"/>
        <v>-1</v>
      </c>
      <c r="BR29" s="123">
        <f t="shared" si="41"/>
        <v>0</v>
      </c>
      <c r="BS29" s="123">
        <f t="shared" si="42"/>
        <v>1</v>
      </c>
      <c r="BT29" s="123">
        <f t="shared" si="43"/>
        <v>-1</v>
      </c>
      <c r="BU29" s="123">
        <f t="shared" si="44"/>
        <v>0</v>
      </c>
      <c r="BV29" s="123">
        <f t="shared" si="45"/>
        <v>0</v>
      </c>
      <c r="BW29" s="123">
        <f t="shared" si="46"/>
        <v>0</v>
      </c>
      <c r="BX29" s="123">
        <f t="shared" si="47"/>
        <v>0</v>
      </c>
      <c r="BY29" s="123">
        <f t="shared" si="48"/>
        <v>1</v>
      </c>
      <c r="BZ29" s="123">
        <f t="shared" si="49"/>
        <v>0</v>
      </c>
      <c r="CA29" s="123">
        <f t="shared" si="50"/>
        <v>0</v>
      </c>
      <c r="CB29" s="123">
        <f t="shared" si="51"/>
        <v>0</v>
      </c>
      <c r="CC29" s="123">
        <f t="shared" si="52"/>
        <v>0</v>
      </c>
      <c r="CD29" s="123">
        <f t="shared" si="53"/>
        <v>0</v>
      </c>
      <c r="CE29" s="123">
        <f t="shared" si="54"/>
        <v>0</v>
      </c>
      <c r="CF29" s="123">
        <f t="shared" si="55"/>
        <v>0</v>
      </c>
      <c r="CG29" s="123">
        <f t="shared" si="56"/>
        <v>0</v>
      </c>
      <c r="CH29" s="123">
        <f t="shared" si="57"/>
        <v>0</v>
      </c>
      <c r="CI29" s="123">
        <f t="shared" si="58"/>
        <v>0</v>
      </c>
      <c r="CJ29" s="123">
        <f t="shared" si="59"/>
        <v>0</v>
      </c>
      <c r="CK29" s="122">
        <f t="shared" si="60"/>
        <v>0</v>
      </c>
    </row>
    <row r="30" spans="26:93" s="144" customFormat="1" ht="16.5" customHeight="1" thickBot="1">
      <c r="Z30" s="375"/>
      <c r="AA30" s="121">
        <v>7500</v>
      </c>
      <c r="AB30" s="155">
        <f t="shared" si="13"/>
        <v>38</v>
      </c>
      <c r="AC30" s="123">
        <f t="shared" ref="AC30:BE30" si="76">ROUND(AVERAGE(AC59,AC59,AB58:AD59),0)</f>
        <v>38</v>
      </c>
      <c r="AD30" s="123">
        <f t="shared" si="76"/>
        <v>38</v>
      </c>
      <c r="AE30" s="123">
        <f t="shared" si="76"/>
        <v>38</v>
      </c>
      <c r="AF30" s="123">
        <f t="shared" si="76"/>
        <v>38</v>
      </c>
      <c r="AG30" s="123">
        <f t="shared" si="76"/>
        <v>36</v>
      </c>
      <c r="AH30" s="123">
        <f t="shared" si="76"/>
        <v>35</v>
      </c>
      <c r="AI30" s="123">
        <f t="shared" si="76"/>
        <v>34</v>
      </c>
      <c r="AJ30" s="123">
        <f t="shared" si="76"/>
        <v>33</v>
      </c>
      <c r="AK30" s="123">
        <f t="shared" si="76"/>
        <v>32</v>
      </c>
      <c r="AL30" s="123">
        <f t="shared" si="76"/>
        <v>30</v>
      </c>
      <c r="AM30" s="123">
        <f t="shared" si="76"/>
        <v>29</v>
      </c>
      <c r="AN30" s="123">
        <f t="shared" si="76"/>
        <v>27</v>
      </c>
      <c r="AO30" s="123">
        <f t="shared" si="76"/>
        <v>25</v>
      </c>
      <c r="AP30" s="123">
        <f t="shared" si="76"/>
        <v>23</v>
      </c>
      <c r="AQ30" s="123">
        <f t="shared" si="76"/>
        <v>22</v>
      </c>
      <c r="AR30" s="123">
        <f t="shared" si="76"/>
        <v>22</v>
      </c>
      <c r="AS30" s="123">
        <f t="shared" si="76"/>
        <v>22</v>
      </c>
      <c r="AT30" s="123">
        <f t="shared" si="76"/>
        <v>21</v>
      </c>
      <c r="AU30" s="123">
        <f t="shared" si="76"/>
        <v>21</v>
      </c>
      <c r="AV30" s="123">
        <f t="shared" si="76"/>
        <v>20</v>
      </c>
      <c r="AW30" s="123">
        <f t="shared" si="76"/>
        <v>20</v>
      </c>
      <c r="AX30" s="123">
        <f t="shared" si="76"/>
        <v>20</v>
      </c>
      <c r="AY30" s="123">
        <f t="shared" si="76"/>
        <v>20</v>
      </c>
      <c r="AZ30" s="123">
        <f t="shared" si="76"/>
        <v>19</v>
      </c>
      <c r="BA30" s="123">
        <f t="shared" si="76"/>
        <v>19</v>
      </c>
      <c r="BB30" s="123">
        <f t="shared" si="76"/>
        <v>17</v>
      </c>
      <c r="BC30" s="123">
        <f t="shared" si="76"/>
        <v>16</v>
      </c>
      <c r="BD30" s="123">
        <f t="shared" si="76"/>
        <v>15</v>
      </c>
      <c r="BE30" s="122">
        <f t="shared" si="76"/>
        <v>15</v>
      </c>
      <c r="BG30" s="143">
        <v>4000</v>
      </c>
      <c r="BH30" s="124">
        <f t="shared" si="31"/>
        <v>0</v>
      </c>
      <c r="BI30" s="123">
        <f t="shared" si="32"/>
        <v>0</v>
      </c>
      <c r="BJ30" s="123">
        <f t="shared" si="33"/>
        <v>0</v>
      </c>
      <c r="BK30" s="123">
        <f t="shared" si="34"/>
        <v>0</v>
      </c>
      <c r="BL30" s="123">
        <f t="shared" si="35"/>
        <v>-1</v>
      </c>
      <c r="BM30" s="123">
        <f t="shared" si="36"/>
        <v>1</v>
      </c>
      <c r="BN30" s="123">
        <f t="shared" si="37"/>
        <v>0</v>
      </c>
      <c r="BO30" s="123">
        <f t="shared" si="38"/>
        <v>0</v>
      </c>
      <c r="BP30" s="123">
        <f t="shared" si="39"/>
        <v>0</v>
      </c>
      <c r="BQ30" s="123">
        <f t="shared" si="40"/>
        <v>-1</v>
      </c>
      <c r="BR30" s="123">
        <f t="shared" si="41"/>
        <v>1</v>
      </c>
      <c r="BS30" s="123">
        <f t="shared" si="42"/>
        <v>1</v>
      </c>
      <c r="BT30" s="123">
        <f t="shared" si="43"/>
        <v>0</v>
      </c>
      <c r="BU30" s="123">
        <f t="shared" si="44"/>
        <v>0</v>
      </c>
      <c r="BV30" s="123">
        <f t="shared" si="45"/>
        <v>0</v>
      </c>
      <c r="BW30" s="123">
        <f t="shared" si="46"/>
        <v>0</v>
      </c>
      <c r="BX30" s="123">
        <f t="shared" si="47"/>
        <v>0</v>
      </c>
      <c r="BY30" s="123">
        <f t="shared" si="48"/>
        <v>-1</v>
      </c>
      <c r="BZ30" s="123">
        <f t="shared" si="49"/>
        <v>0</v>
      </c>
      <c r="CA30" s="123">
        <f t="shared" si="50"/>
        <v>0</v>
      </c>
      <c r="CB30" s="123">
        <f t="shared" si="51"/>
        <v>0</v>
      </c>
      <c r="CC30" s="123">
        <f t="shared" si="52"/>
        <v>0</v>
      </c>
      <c r="CD30" s="123">
        <f t="shared" si="53"/>
        <v>0</v>
      </c>
      <c r="CE30" s="123">
        <f t="shared" si="54"/>
        <v>0</v>
      </c>
      <c r="CF30" s="123">
        <f t="shared" si="55"/>
        <v>0</v>
      </c>
      <c r="CG30" s="123">
        <f t="shared" si="56"/>
        <v>0</v>
      </c>
      <c r="CH30" s="123">
        <f t="shared" si="57"/>
        <v>0</v>
      </c>
      <c r="CI30" s="123">
        <f t="shared" si="58"/>
        <v>0</v>
      </c>
      <c r="CJ30" s="123">
        <f t="shared" si="59"/>
        <v>0</v>
      </c>
      <c r="CK30" s="122">
        <f t="shared" si="60"/>
        <v>0</v>
      </c>
    </row>
    <row r="31" spans="26:93" s="144" customFormat="1" ht="16.5" customHeight="1" thickBot="1">
      <c r="BG31" s="143">
        <v>4250</v>
      </c>
      <c r="BH31" s="124">
        <f t="shared" si="31"/>
        <v>0</v>
      </c>
      <c r="BI31" s="123">
        <f t="shared" si="32"/>
        <v>0</v>
      </c>
      <c r="BJ31" s="123">
        <f t="shared" si="33"/>
        <v>0</v>
      </c>
      <c r="BK31" s="123">
        <f t="shared" si="34"/>
        <v>0</v>
      </c>
      <c r="BL31" s="123">
        <f t="shared" si="35"/>
        <v>-1</v>
      </c>
      <c r="BM31" s="123">
        <f t="shared" si="36"/>
        <v>1</v>
      </c>
      <c r="BN31" s="123">
        <f t="shared" si="37"/>
        <v>0</v>
      </c>
      <c r="BO31" s="123">
        <f t="shared" si="38"/>
        <v>0</v>
      </c>
      <c r="BP31" s="123">
        <f t="shared" si="39"/>
        <v>0</v>
      </c>
      <c r="BQ31" s="123">
        <f t="shared" si="40"/>
        <v>-1</v>
      </c>
      <c r="BR31" s="123">
        <f t="shared" si="41"/>
        <v>1</v>
      </c>
      <c r="BS31" s="123">
        <f t="shared" si="42"/>
        <v>1</v>
      </c>
      <c r="BT31" s="123">
        <f t="shared" si="43"/>
        <v>0</v>
      </c>
      <c r="BU31" s="123">
        <f t="shared" si="44"/>
        <v>1</v>
      </c>
      <c r="BV31" s="123">
        <f t="shared" si="45"/>
        <v>0</v>
      </c>
      <c r="BW31" s="123">
        <f t="shared" si="46"/>
        <v>0</v>
      </c>
      <c r="BX31" s="123">
        <f t="shared" si="47"/>
        <v>0</v>
      </c>
      <c r="BY31" s="123">
        <f t="shared" si="48"/>
        <v>0</v>
      </c>
      <c r="BZ31" s="123">
        <f t="shared" si="49"/>
        <v>0</v>
      </c>
      <c r="CA31" s="123">
        <f t="shared" si="50"/>
        <v>0</v>
      </c>
      <c r="CB31" s="123">
        <f t="shared" si="51"/>
        <v>0</v>
      </c>
      <c r="CC31" s="123">
        <f t="shared" si="52"/>
        <v>0</v>
      </c>
      <c r="CD31" s="123">
        <f t="shared" si="53"/>
        <v>0</v>
      </c>
      <c r="CE31" s="123">
        <f t="shared" si="54"/>
        <v>0</v>
      </c>
      <c r="CF31" s="123">
        <f t="shared" si="55"/>
        <v>0</v>
      </c>
      <c r="CG31" s="123">
        <f t="shared" si="56"/>
        <v>0</v>
      </c>
      <c r="CH31" s="123">
        <f t="shared" si="57"/>
        <v>0</v>
      </c>
      <c r="CI31" s="123">
        <f t="shared" si="58"/>
        <v>0</v>
      </c>
      <c r="CJ31" s="123">
        <f t="shared" si="59"/>
        <v>0</v>
      </c>
      <c r="CK31" s="122">
        <f t="shared" si="60"/>
        <v>0</v>
      </c>
    </row>
    <row r="32" spans="26:93" s="144" customFormat="1" ht="16.5" customHeight="1" thickBot="1">
      <c r="Z32" s="376">
        <v>2</v>
      </c>
      <c r="AA32" s="377"/>
      <c r="AB32" s="382" t="s">
        <v>28</v>
      </c>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83"/>
      <c r="BC32" s="383"/>
      <c r="BD32" s="383"/>
      <c r="BE32" s="384"/>
      <c r="BG32" s="125">
        <v>4500</v>
      </c>
      <c r="BH32" s="124">
        <f t="shared" si="31"/>
        <v>0</v>
      </c>
      <c r="BI32" s="123">
        <f t="shared" si="32"/>
        <v>0</v>
      </c>
      <c r="BJ32" s="123">
        <f t="shared" si="33"/>
        <v>0</v>
      </c>
      <c r="BK32" s="123">
        <f t="shared" si="34"/>
        <v>0</v>
      </c>
      <c r="BL32" s="123">
        <f t="shared" si="35"/>
        <v>-1</v>
      </c>
      <c r="BM32" s="123">
        <f t="shared" si="36"/>
        <v>1</v>
      </c>
      <c r="BN32" s="123">
        <f t="shared" si="37"/>
        <v>0</v>
      </c>
      <c r="BO32" s="123">
        <f t="shared" si="38"/>
        <v>0</v>
      </c>
      <c r="BP32" s="123">
        <f t="shared" si="39"/>
        <v>0</v>
      </c>
      <c r="BQ32" s="123">
        <f t="shared" si="40"/>
        <v>-2</v>
      </c>
      <c r="BR32" s="123">
        <f t="shared" si="41"/>
        <v>0</v>
      </c>
      <c r="BS32" s="123">
        <f t="shared" si="42"/>
        <v>1</v>
      </c>
      <c r="BT32" s="123">
        <f t="shared" si="43"/>
        <v>0</v>
      </c>
      <c r="BU32" s="123">
        <f t="shared" si="44"/>
        <v>0</v>
      </c>
      <c r="BV32" s="123">
        <f t="shared" si="45"/>
        <v>0</v>
      </c>
      <c r="BW32" s="123">
        <f t="shared" si="46"/>
        <v>0</v>
      </c>
      <c r="BX32" s="123">
        <f t="shared" si="47"/>
        <v>0</v>
      </c>
      <c r="BY32" s="123">
        <f t="shared" si="48"/>
        <v>0</v>
      </c>
      <c r="BZ32" s="123">
        <f t="shared" si="49"/>
        <v>0</v>
      </c>
      <c r="CA32" s="123">
        <f t="shared" si="50"/>
        <v>0</v>
      </c>
      <c r="CB32" s="123">
        <f t="shared" si="51"/>
        <v>0</v>
      </c>
      <c r="CC32" s="123">
        <f t="shared" si="52"/>
        <v>0</v>
      </c>
      <c r="CD32" s="123">
        <f t="shared" si="53"/>
        <v>0</v>
      </c>
      <c r="CE32" s="123">
        <f t="shared" si="54"/>
        <v>0</v>
      </c>
      <c r="CF32" s="123">
        <f t="shared" si="55"/>
        <v>0</v>
      </c>
      <c r="CG32" s="123">
        <f t="shared" si="56"/>
        <v>0</v>
      </c>
      <c r="CH32" s="123">
        <f t="shared" si="57"/>
        <v>0</v>
      </c>
      <c r="CI32" s="123">
        <f t="shared" si="58"/>
        <v>0</v>
      </c>
      <c r="CJ32" s="123">
        <f t="shared" si="59"/>
        <v>0</v>
      </c>
      <c r="CK32" s="122">
        <f t="shared" si="60"/>
        <v>0</v>
      </c>
    </row>
    <row r="33" spans="26:89" s="144" customFormat="1" ht="16.5" customHeight="1" thickBot="1">
      <c r="Z33" s="378"/>
      <c r="AA33" s="379"/>
      <c r="AB33" s="385" t="s">
        <v>0</v>
      </c>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386"/>
      <c r="BB33" s="386"/>
      <c r="BC33" s="386"/>
      <c r="BD33" s="386"/>
      <c r="BE33" s="387"/>
      <c r="BG33" s="125">
        <v>4750</v>
      </c>
      <c r="BH33" s="124">
        <f t="shared" si="31"/>
        <v>0</v>
      </c>
      <c r="BI33" s="123">
        <f t="shared" si="32"/>
        <v>0</v>
      </c>
      <c r="BJ33" s="123">
        <f t="shared" si="33"/>
        <v>0</v>
      </c>
      <c r="BK33" s="123">
        <f t="shared" si="34"/>
        <v>0</v>
      </c>
      <c r="BL33" s="123">
        <f t="shared" si="35"/>
        <v>-1</v>
      </c>
      <c r="BM33" s="123">
        <f t="shared" si="36"/>
        <v>1</v>
      </c>
      <c r="BN33" s="123">
        <f t="shared" si="37"/>
        <v>0</v>
      </c>
      <c r="BO33" s="123">
        <f t="shared" si="38"/>
        <v>0</v>
      </c>
      <c r="BP33" s="123">
        <f t="shared" si="39"/>
        <v>0</v>
      </c>
      <c r="BQ33" s="123">
        <f t="shared" si="40"/>
        <v>-1</v>
      </c>
      <c r="BR33" s="123">
        <f t="shared" si="41"/>
        <v>0</v>
      </c>
      <c r="BS33" s="123">
        <f t="shared" si="42"/>
        <v>1</v>
      </c>
      <c r="BT33" s="123">
        <f t="shared" si="43"/>
        <v>0</v>
      </c>
      <c r="BU33" s="123">
        <f t="shared" si="44"/>
        <v>0</v>
      </c>
      <c r="BV33" s="123">
        <f t="shared" si="45"/>
        <v>0</v>
      </c>
      <c r="BW33" s="123">
        <f t="shared" si="46"/>
        <v>0</v>
      </c>
      <c r="BX33" s="123">
        <f t="shared" si="47"/>
        <v>0</v>
      </c>
      <c r="BY33" s="123">
        <f t="shared" si="48"/>
        <v>0</v>
      </c>
      <c r="BZ33" s="123">
        <f t="shared" si="49"/>
        <v>0</v>
      </c>
      <c r="CA33" s="123">
        <f t="shared" si="50"/>
        <v>0</v>
      </c>
      <c r="CB33" s="123">
        <f t="shared" si="51"/>
        <v>0</v>
      </c>
      <c r="CC33" s="123">
        <f t="shared" si="52"/>
        <v>0</v>
      </c>
      <c r="CD33" s="123">
        <f t="shared" si="53"/>
        <v>0</v>
      </c>
      <c r="CE33" s="123">
        <f t="shared" si="54"/>
        <v>0</v>
      </c>
      <c r="CF33" s="123">
        <f t="shared" si="55"/>
        <v>0</v>
      </c>
      <c r="CG33" s="123">
        <f t="shared" si="56"/>
        <v>0</v>
      </c>
      <c r="CH33" s="123">
        <f t="shared" si="57"/>
        <v>0</v>
      </c>
      <c r="CI33" s="123">
        <f t="shared" si="58"/>
        <v>0</v>
      </c>
      <c r="CJ33" s="123">
        <f t="shared" si="59"/>
        <v>0</v>
      </c>
      <c r="CK33" s="122">
        <f t="shared" si="60"/>
        <v>0</v>
      </c>
    </row>
    <row r="34" spans="26:89" s="144" customFormat="1" ht="16.5" customHeight="1" thickBot="1">
      <c r="Z34" s="380"/>
      <c r="AA34" s="381"/>
      <c r="AB34" s="154">
        <v>10</v>
      </c>
      <c r="AC34" s="153">
        <v>20</v>
      </c>
      <c r="AD34" s="152">
        <v>30</v>
      </c>
      <c r="AE34" s="152">
        <v>40</v>
      </c>
      <c r="AF34" s="152">
        <v>50</v>
      </c>
      <c r="AG34" s="151">
        <v>60</v>
      </c>
      <c r="AH34" s="151">
        <v>70</v>
      </c>
      <c r="AI34" s="151">
        <v>80</v>
      </c>
      <c r="AJ34" s="151">
        <v>90</v>
      </c>
      <c r="AK34" s="151">
        <v>100</v>
      </c>
      <c r="AL34" s="151">
        <v>120</v>
      </c>
      <c r="AM34" s="151">
        <v>140</v>
      </c>
      <c r="AN34" s="151">
        <v>150</v>
      </c>
      <c r="AO34" s="150">
        <v>160</v>
      </c>
      <c r="AP34" s="150">
        <v>170</v>
      </c>
      <c r="AQ34" s="150">
        <v>180</v>
      </c>
      <c r="AR34" s="150">
        <v>190</v>
      </c>
      <c r="AS34" s="150">
        <v>200</v>
      </c>
      <c r="AT34" s="150">
        <v>210</v>
      </c>
      <c r="AU34" s="150">
        <v>220</v>
      </c>
      <c r="AV34" s="150">
        <v>230</v>
      </c>
      <c r="AW34" s="150">
        <v>240</v>
      </c>
      <c r="AX34" s="150">
        <v>250</v>
      </c>
      <c r="AY34" s="139">
        <v>260</v>
      </c>
      <c r="AZ34" s="139">
        <v>270</v>
      </c>
      <c r="BA34" s="139">
        <v>280</v>
      </c>
      <c r="BB34" s="139">
        <v>290</v>
      </c>
      <c r="BC34" s="139">
        <v>300</v>
      </c>
      <c r="BD34" s="139">
        <v>310</v>
      </c>
      <c r="BE34" s="138">
        <v>320</v>
      </c>
      <c r="BG34" s="125">
        <v>5000</v>
      </c>
      <c r="BH34" s="124">
        <f t="shared" si="31"/>
        <v>0</v>
      </c>
      <c r="BI34" s="123">
        <f t="shared" si="32"/>
        <v>0</v>
      </c>
      <c r="BJ34" s="123">
        <f t="shared" si="33"/>
        <v>0</v>
      </c>
      <c r="BK34" s="123">
        <f t="shared" si="34"/>
        <v>0</v>
      </c>
      <c r="BL34" s="123">
        <f t="shared" si="35"/>
        <v>-1</v>
      </c>
      <c r="BM34" s="123">
        <f t="shared" si="36"/>
        <v>1</v>
      </c>
      <c r="BN34" s="123">
        <f t="shared" si="37"/>
        <v>0</v>
      </c>
      <c r="BO34" s="123">
        <f t="shared" si="38"/>
        <v>0</v>
      </c>
      <c r="BP34" s="123">
        <f t="shared" si="39"/>
        <v>0</v>
      </c>
      <c r="BQ34" s="123">
        <f t="shared" si="40"/>
        <v>-1</v>
      </c>
      <c r="BR34" s="123">
        <f t="shared" si="41"/>
        <v>1</v>
      </c>
      <c r="BS34" s="123">
        <f t="shared" si="42"/>
        <v>1</v>
      </c>
      <c r="BT34" s="123">
        <f t="shared" si="43"/>
        <v>-1</v>
      </c>
      <c r="BU34" s="123">
        <f t="shared" si="44"/>
        <v>1</v>
      </c>
      <c r="BV34" s="123">
        <f t="shared" si="45"/>
        <v>0</v>
      </c>
      <c r="BW34" s="123">
        <f t="shared" si="46"/>
        <v>0</v>
      </c>
      <c r="BX34" s="123">
        <f t="shared" si="47"/>
        <v>1</v>
      </c>
      <c r="BY34" s="123">
        <f t="shared" si="48"/>
        <v>0</v>
      </c>
      <c r="BZ34" s="123">
        <f t="shared" si="49"/>
        <v>0</v>
      </c>
      <c r="CA34" s="123">
        <f t="shared" si="50"/>
        <v>0</v>
      </c>
      <c r="CB34" s="123">
        <f t="shared" si="51"/>
        <v>0</v>
      </c>
      <c r="CC34" s="123">
        <f t="shared" si="52"/>
        <v>0</v>
      </c>
      <c r="CD34" s="123">
        <f t="shared" si="53"/>
        <v>0</v>
      </c>
      <c r="CE34" s="123">
        <f t="shared" si="54"/>
        <v>0</v>
      </c>
      <c r="CF34" s="123">
        <f t="shared" si="55"/>
        <v>0</v>
      </c>
      <c r="CG34" s="123">
        <f t="shared" si="56"/>
        <v>0</v>
      </c>
      <c r="CH34" s="123">
        <f t="shared" si="57"/>
        <v>0</v>
      </c>
      <c r="CI34" s="123">
        <f t="shared" si="58"/>
        <v>0</v>
      </c>
      <c r="CJ34" s="123">
        <f t="shared" si="59"/>
        <v>0</v>
      </c>
      <c r="CK34" s="122">
        <f t="shared" si="60"/>
        <v>0</v>
      </c>
    </row>
    <row r="35" spans="26:89" s="144" customFormat="1" ht="16.5" customHeight="1">
      <c r="Z35" s="373" t="s">
        <v>1</v>
      </c>
      <c r="AA35" s="137">
        <v>500</v>
      </c>
      <c r="AB35" s="136">
        <v>13</v>
      </c>
      <c r="AC35" s="135">
        <v>13</v>
      </c>
      <c r="AD35" s="135">
        <v>13</v>
      </c>
      <c r="AE35" s="135">
        <v>13</v>
      </c>
      <c r="AF35" s="135">
        <v>12</v>
      </c>
      <c r="AG35" s="135">
        <v>12</v>
      </c>
      <c r="AH35" s="135">
        <v>12</v>
      </c>
      <c r="AI35" s="135">
        <v>11</v>
      </c>
      <c r="AJ35" s="135">
        <v>10</v>
      </c>
      <c r="AK35" s="135">
        <v>9</v>
      </c>
      <c r="AL35" s="135">
        <v>6</v>
      </c>
      <c r="AM35" s="135">
        <v>4</v>
      </c>
      <c r="AN35" s="135">
        <v>3</v>
      </c>
      <c r="AO35" s="135">
        <v>2</v>
      </c>
      <c r="AP35" s="135">
        <v>2</v>
      </c>
      <c r="AQ35" s="135">
        <v>2</v>
      </c>
      <c r="AR35" s="135">
        <v>1</v>
      </c>
      <c r="AS35" s="135">
        <v>0</v>
      </c>
      <c r="AT35" s="135">
        <v>-2</v>
      </c>
      <c r="AU35" s="135">
        <v>-3</v>
      </c>
      <c r="AV35" s="135">
        <v>-5</v>
      </c>
      <c r="AW35" s="135">
        <v>-6</v>
      </c>
      <c r="AX35" s="135">
        <v>-7</v>
      </c>
      <c r="AY35" s="135">
        <v>-7</v>
      </c>
      <c r="AZ35" s="135">
        <v>-7</v>
      </c>
      <c r="BA35" s="135">
        <v>-7</v>
      </c>
      <c r="BB35" s="135">
        <v>-7</v>
      </c>
      <c r="BC35" s="135">
        <v>-7</v>
      </c>
      <c r="BD35" s="135">
        <v>-7</v>
      </c>
      <c r="BE35" s="135">
        <v>-7</v>
      </c>
      <c r="BG35" s="125">
        <v>5250</v>
      </c>
      <c r="BH35" s="124">
        <f t="shared" si="31"/>
        <v>0</v>
      </c>
      <c r="BI35" s="123">
        <f t="shared" si="32"/>
        <v>0</v>
      </c>
      <c r="BJ35" s="123">
        <f t="shared" si="33"/>
        <v>0</v>
      </c>
      <c r="BK35" s="123">
        <f t="shared" si="34"/>
        <v>0</v>
      </c>
      <c r="BL35" s="123">
        <f t="shared" si="35"/>
        <v>-1</v>
      </c>
      <c r="BM35" s="123">
        <f t="shared" si="36"/>
        <v>1</v>
      </c>
      <c r="BN35" s="123">
        <f t="shared" si="37"/>
        <v>0</v>
      </c>
      <c r="BO35" s="123">
        <f t="shared" si="38"/>
        <v>0</v>
      </c>
      <c r="BP35" s="123">
        <f t="shared" si="39"/>
        <v>0</v>
      </c>
      <c r="BQ35" s="123">
        <f t="shared" si="40"/>
        <v>-1</v>
      </c>
      <c r="BR35" s="123">
        <f t="shared" si="41"/>
        <v>-1</v>
      </c>
      <c r="BS35" s="123">
        <f t="shared" si="42"/>
        <v>1</v>
      </c>
      <c r="BT35" s="123">
        <f t="shared" si="43"/>
        <v>-1</v>
      </c>
      <c r="BU35" s="123">
        <f t="shared" si="44"/>
        <v>0</v>
      </c>
      <c r="BV35" s="123">
        <f t="shared" si="45"/>
        <v>0</v>
      </c>
      <c r="BW35" s="123">
        <f t="shared" si="46"/>
        <v>-1</v>
      </c>
      <c r="BX35" s="123">
        <f t="shared" si="47"/>
        <v>1</v>
      </c>
      <c r="BY35" s="123">
        <f t="shared" si="48"/>
        <v>0</v>
      </c>
      <c r="BZ35" s="123">
        <f t="shared" si="49"/>
        <v>0</v>
      </c>
      <c r="CA35" s="123">
        <f t="shared" si="50"/>
        <v>0</v>
      </c>
      <c r="CB35" s="123">
        <f t="shared" si="51"/>
        <v>0</v>
      </c>
      <c r="CC35" s="123">
        <f t="shared" si="52"/>
        <v>0</v>
      </c>
      <c r="CD35" s="123">
        <f t="shared" si="53"/>
        <v>0</v>
      </c>
      <c r="CE35" s="123">
        <f t="shared" si="54"/>
        <v>0</v>
      </c>
      <c r="CF35" s="123">
        <f t="shared" si="55"/>
        <v>0</v>
      </c>
      <c r="CG35" s="123">
        <f t="shared" si="56"/>
        <v>0</v>
      </c>
      <c r="CH35" s="123">
        <f t="shared" si="57"/>
        <v>0</v>
      </c>
      <c r="CI35" s="123">
        <f t="shared" si="58"/>
        <v>0</v>
      </c>
      <c r="CJ35" s="123">
        <f t="shared" si="59"/>
        <v>0</v>
      </c>
      <c r="CK35" s="122">
        <f t="shared" si="60"/>
        <v>0</v>
      </c>
    </row>
    <row r="36" spans="26:89" s="144" customFormat="1" ht="16.5" customHeight="1">
      <c r="Z36" s="374"/>
      <c r="AA36" s="133">
        <v>1000</v>
      </c>
      <c r="AB36" s="124">
        <v>13</v>
      </c>
      <c r="AC36" s="123">
        <v>13</v>
      </c>
      <c r="AD36" s="123">
        <v>13</v>
      </c>
      <c r="AE36" s="123">
        <v>13</v>
      </c>
      <c r="AF36" s="123">
        <v>13</v>
      </c>
      <c r="AG36" s="123">
        <v>13</v>
      </c>
      <c r="AH36" s="123">
        <v>13</v>
      </c>
      <c r="AI36" s="123">
        <v>12</v>
      </c>
      <c r="AJ36" s="123">
        <v>11</v>
      </c>
      <c r="AK36" s="123">
        <v>10</v>
      </c>
      <c r="AL36" s="123">
        <v>7</v>
      </c>
      <c r="AM36" s="123">
        <v>5</v>
      </c>
      <c r="AN36" s="123">
        <v>4</v>
      </c>
      <c r="AO36" s="123">
        <v>3</v>
      </c>
      <c r="AP36" s="123">
        <v>3</v>
      </c>
      <c r="AQ36" s="123">
        <v>3</v>
      </c>
      <c r="AR36" s="123">
        <v>2</v>
      </c>
      <c r="AS36" s="123">
        <v>0</v>
      </c>
      <c r="AT36" s="123">
        <v>-1</v>
      </c>
      <c r="AU36" s="123">
        <v>-2</v>
      </c>
      <c r="AV36" s="123">
        <v>-4</v>
      </c>
      <c r="AW36" s="123">
        <v>-5</v>
      </c>
      <c r="AX36" s="123">
        <v>-6</v>
      </c>
      <c r="AY36" s="123">
        <v>-6</v>
      </c>
      <c r="AZ36" s="123">
        <v>-6</v>
      </c>
      <c r="BA36" s="123">
        <v>-6</v>
      </c>
      <c r="BB36" s="123">
        <v>-6</v>
      </c>
      <c r="BC36" s="123">
        <v>-6</v>
      </c>
      <c r="BD36" s="123">
        <v>-6</v>
      </c>
      <c r="BE36" s="123">
        <v>-6</v>
      </c>
      <c r="BG36" s="125">
        <v>5500</v>
      </c>
      <c r="BH36" s="124">
        <f t="shared" si="31"/>
        <v>0</v>
      </c>
      <c r="BI36" s="123">
        <f t="shared" si="32"/>
        <v>0</v>
      </c>
      <c r="BJ36" s="123">
        <f t="shared" si="33"/>
        <v>0</v>
      </c>
      <c r="BK36" s="123">
        <f t="shared" si="34"/>
        <v>0</v>
      </c>
      <c r="BL36" s="123">
        <f t="shared" si="35"/>
        <v>-1</v>
      </c>
      <c r="BM36" s="123">
        <f t="shared" si="36"/>
        <v>0</v>
      </c>
      <c r="BN36" s="123">
        <f t="shared" si="37"/>
        <v>0</v>
      </c>
      <c r="BO36" s="123">
        <f t="shared" si="38"/>
        <v>0</v>
      </c>
      <c r="BP36" s="123">
        <f t="shared" si="39"/>
        <v>0</v>
      </c>
      <c r="BQ36" s="123">
        <f t="shared" si="40"/>
        <v>-1</v>
      </c>
      <c r="BR36" s="123">
        <f t="shared" si="41"/>
        <v>-1</v>
      </c>
      <c r="BS36" s="123">
        <f t="shared" si="42"/>
        <v>1</v>
      </c>
      <c r="BT36" s="123">
        <f t="shared" si="43"/>
        <v>-1</v>
      </c>
      <c r="BU36" s="123">
        <f t="shared" si="44"/>
        <v>0</v>
      </c>
      <c r="BV36" s="123">
        <f t="shared" si="45"/>
        <v>1</v>
      </c>
      <c r="BW36" s="123">
        <f t="shared" si="46"/>
        <v>0</v>
      </c>
      <c r="BX36" s="123">
        <f t="shared" si="47"/>
        <v>0</v>
      </c>
      <c r="BY36" s="123">
        <f t="shared" si="48"/>
        <v>0</v>
      </c>
      <c r="BZ36" s="123">
        <f t="shared" si="49"/>
        <v>0</v>
      </c>
      <c r="CA36" s="123">
        <f t="shared" si="50"/>
        <v>0</v>
      </c>
      <c r="CB36" s="123">
        <f t="shared" si="51"/>
        <v>0</v>
      </c>
      <c r="CC36" s="123">
        <f t="shared" si="52"/>
        <v>0</v>
      </c>
      <c r="CD36" s="123">
        <f t="shared" si="53"/>
        <v>0</v>
      </c>
      <c r="CE36" s="123">
        <f t="shared" si="54"/>
        <v>0</v>
      </c>
      <c r="CF36" s="123">
        <f t="shared" si="55"/>
        <v>0</v>
      </c>
      <c r="CG36" s="123">
        <f t="shared" si="56"/>
        <v>1</v>
      </c>
      <c r="CH36" s="123">
        <f t="shared" si="57"/>
        <v>0</v>
      </c>
      <c r="CI36" s="123">
        <f t="shared" si="58"/>
        <v>0</v>
      </c>
      <c r="CJ36" s="123">
        <f t="shared" si="59"/>
        <v>0</v>
      </c>
      <c r="CK36" s="122">
        <f t="shared" si="60"/>
        <v>0</v>
      </c>
    </row>
    <row r="37" spans="26:89" s="144" customFormat="1" ht="16.5" customHeight="1">
      <c r="Z37" s="374"/>
      <c r="AA37" s="133">
        <v>1250</v>
      </c>
      <c r="AB37" s="124">
        <v>15</v>
      </c>
      <c r="AC37" s="123">
        <v>15</v>
      </c>
      <c r="AD37" s="123">
        <v>15</v>
      </c>
      <c r="AE37" s="123">
        <v>15</v>
      </c>
      <c r="AF37" s="123">
        <v>15</v>
      </c>
      <c r="AG37" s="123">
        <v>15</v>
      </c>
      <c r="AH37" s="123">
        <v>14</v>
      </c>
      <c r="AI37" s="123">
        <v>14</v>
      </c>
      <c r="AJ37" s="123">
        <v>13</v>
      </c>
      <c r="AK37" s="123">
        <v>11</v>
      </c>
      <c r="AL37" s="123">
        <v>8</v>
      </c>
      <c r="AM37" s="123">
        <v>6</v>
      </c>
      <c r="AN37" s="123">
        <v>5</v>
      </c>
      <c r="AO37" s="123">
        <v>4</v>
      </c>
      <c r="AP37" s="123">
        <v>4</v>
      </c>
      <c r="AQ37" s="123">
        <v>4</v>
      </c>
      <c r="AR37" s="123">
        <v>3</v>
      </c>
      <c r="AS37" s="123">
        <v>2</v>
      </c>
      <c r="AT37" s="123">
        <v>1</v>
      </c>
      <c r="AU37" s="123">
        <v>0</v>
      </c>
      <c r="AV37" s="123">
        <v>-1</v>
      </c>
      <c r="AW37" s="123">
        <v>-2</v>
      </c>
      <c r="AX37" s="123">
        <v>-2</v>
      </c>
      <c r="AY37" s="123">
        <v>-2</v>
      </c>
      <c r="AZ37" s="123">
        <v>-2</v>
      </c>
      <c r="BA37" s="123">
        <v>-2</v>
      </c>
      <c r="BB37" s="123">
        <v>-2</v>
      </c>
      <c r="BC37" s="123">
        <v>-2</v>
      </c>
      <c r="BD37" s="123">
        <v>-2</v>
      </c>
      <c r="BE37" s="123">
        <v>-2</v>
      </c>
      <c r="BG37" s="125">
        <v>6000</v>
      </c>
      <c r="BH37" s="124">
        <f t="shared" si="31"/>
        <v>0</v>
      </c>
      <c r="BI37" s="123">
        <f t="shared" si="32"/>
        <v>0</v>
      </c>
      <c r="BJ37" s="123">
        <f t="shared" si="33"/>
        <v>0</v>
      </c>
      <c r="BK37" s="123">
        <f t="shared" si="34"/>
        <v>0</v>
      </c>
      <c r="BL37" s="123">
        <f t="shared" si="35"/>
        <v>-1</v>
      </c>
      <c r="BM37" s="123">
        <f t="shared" si="36"/>
        <v>1</v>
      </c>
      <c r="BN37" s="123">
        <f t="shared" si="37"/>
        <v>0</v>
      </c>
      <c r="BO37" s="123">
        <f t="shared" si="38"/>
        <v>0</v>
      </c>
      <c r="BP37" s="123">
        <f t="shared" si="39"/>
        <v>0</v>
      </c>
      <c r="BQ37" s="123">
        <f t="shared" si="40"/>
        <v>-1</v>
      </c>
      <c r="BR37" s="123">
        <f t="shared" si="41"/>
        <v>-1</v>
      </c>
      <c r="BS37" s="123">
        <f t="shared" si="42"/>
        <v>1</v>
      </c>
      <c r="BT37" s="123">
        <f t="shared" si="43"/>
        <v>-1</v>
      </c>
      <c r="BU37" s="123">
        <f t="shared" si="44"/>
        <v>0</v>
      </c>
      <c r="BV37" s="123">
        <f t="shared" si="45"/>
        <v>1</v>
      </c>
      <c r="BW37" s="123">
        <f t="shared" si="46"/>
        <v>0</v>
      </c>
      <c r="BX37" s="123">
        <f t="shared" si="47"/>
        <v>-1</v>
      </c>
      <c r="BY37" s="123">
        <f t="shared" si="48"/>
        <v>0</v>
      </c>
      <c r="BZ37" s="123">
        <f t="shared" si="49"/>
        <v>0</v>
      </c>
      <c r="CA37" s="123">
        <f t="shared" si="50"/>
        <v>0</v>
      </c>
      <c r="CB37" s="123">
        <f t="shared" si="51"/>
        <v>0</v>
      </c>
      <c r="CC37" s="123">
        <f t="shared" si="52"/>
        <v>0</v>
      </c>
      <c r="CD37" s="123">
        <f t="shared" si="53"/>
        <v>0</v>
      </c>
      <c r="CE37" s="123">
        <f t="shared" si="54"/>
        <v>0</v>
      </c>
      <c r="CF37" s="123">
        <f t="shared" si="55"/>
        <v>-1</v>
      </c>
      <c r="CG37" s="123">
        <f t="shared" si="56"/>
        <v>0</v>
      </c>
      <c r="CH37" s="123">
        <f t="shared" si="57"/>
        <v>0</v>
      </c>
      <c r="CI37" s="123">
        <f t="shared" si="58"/>
        <v>0</v>
      </c>
      <c r="CJ37" s="123">
        <f t="shared" si="59"/>
        <v>0</v>
      </c>
      <c r="CK37" s="122">
        <f t="shared" si="60"/>
        <v>0</v>
      </c>
    </row>
    <row r="38" spans="26:89" s="144" customFormat="1" ht="16.5" customHeight="1">
      <c r="Z38" s="374"/>
      <c r="AA38" s="132">
        <v>1500</v>
      </c>
      <c r="AB38" s="124">
        <v>18</v>
      </c>
      <c r="AC38" s="123">
        <v>18</v>
      </c>
      <c r="AD38" s="123">
        <v>18</v>
      </c>
      <c r="AE38" s="123">
        <v>18</v>
      </c>
      <c r="AF38" s="123">
        <v>18</v>
      </c>
      <c r="AG38" s="123">
        <v>18</v>
      </c>
      <c r="AH38" s="123">
        <v>18</v>
      </c>
      <c r="AI38" s="123">
        <v>17</v>
      </c>
      <c r="AJ38" s="123">
        <v>15</v>
      </c>
      <c r="AK38" s="123">
        <v>12</v>
      </c>
      <c r="AL38" s="123">
        <v>10</v>
      </c>
      <c r="AM38" s="123">
        <v>7</v>
      </c>
      <c r="AN38" s="123">
        <v>6</v>
      </c>
      <c r="AO38" s="123">
        <v>6</v>
      </c>
      <c r="AP38" s="123">
        <v>5</v>
      </c>
      <c r="AQ38" s="123">
        <v>5</v>
      </c>
      <c r="AR38" s="123">
        <v>4</v>
      </c>
      <c r="AS38" s="123">
        <v>3</v>
      </c>
      <c r="AT38" s="123">
        <v>2</v>
      </c>
      <c r="AU38" s="123">
        <v>1</v>
      </c>
      <c r="AV38" s="123">
        <v>0</v>
      </c>
      <c r="AW38" s="123">
        <v>-1</v>
      </c>
      <c r="AX38" s="123">
        <v>-1</v>
      </c>
      <c r="AY38" s="123">
        <v>-1</v>
      </c>
      <c r="AZ38" s="123">
        <v>-1</v>
      </c>
      <c r="BA38" s="123">
        <v>-1</v>
      </c>
      <c r="BB38" s="123">
        <v>-1</v>
      </c>
      <c r="BC38" s="123">
        <v>-1</v>
      </c>
      <c r="BD38" s="123">
        <v>-1</v>
      </c>
      <c r="BE38" s="123">
        <v>-1</v>
      </c>
      <c r="BG38" s="125">
        <v>6500</v>
      </c>
      <c r="BH38" s="124">
        <f t="shared" si="31"/>
        <v>0</v>
      </c>
      <c r="BI38" s="123">
        <f t="shared" si="32"/>
        <v>0</v>
      </c>
      <c r="BJ38" s="123">
        <f t="shared" si="33"/>
        <v>0</v>
      </c>
      <c r="BK38" s="123">
        <f t="shared" si="34"/>
        <v>0</v>
      </c>
      <c r="BL38" s="123">
        <f t="shared" si="35"/>
        <v>-1</v>
      </c>
      <c r="BM38" s="123">
        <f t="shared" si="36"/>
        <v>1</v>
      </c>
      <c r="BN38" s="123">
        <f t="shared" si="37"/>
        <v>0</v>
      </c>
      <c r="BO38" s="123">
        <f t="shared" si="38"/>
        <v>0</v>
      </c>
      <c r="BP38" s="123">
        <f t="shared" si="39"/>
        <v>0</v>
      </c>
      <c r="BQ38" s="123">
        <f t="shared" si="40"/>
        <v>0</v>
      </c>
      <c r="BR38" s="123">
        <f t="shared" si="41"/>
        <v>-1</v>
      </c>
      <c r="BS38" s="123">
        <f t="shared" si="42"/>
        <v>1</v>
      </c>
      <c r="BT38" s="123">
        <f t="shared" si="43"/>
        <v>-1</v>
      </c>
      <c r="BU38" s="123">
        <f t="shared" si="44"/>
        <v>0</v>
      </c>
      <c r="BV38" s="123">
        <f t="shared" si="45"/>
        <v>0</v>
      </c>
      <c r="BW38" s="123">
        <f t="shared" si="46"/>
        <v>0</v>
      </c>
      <c r="BX38" s="123">
        <f t="shared" si="47"/>
        <v>-1</v>
      </c>
      <c r="BY38" s="123">
        <f t="shared" si="48"/>
        <v>0</v>
      </c>
      <c r="BZ38" s="123">
        <f t="shared" si="49"/>
        <v>-1</v>
      </c>
      <c r="CA38" s="123">
        <f t="shared" si="50"/>
        <v>0</v>
      </c>
      <c r="CB38" s="123">
        <f t="shared" si="51"/>
        <v>0</v>
      </c>
      <c r="CC38" s="123">
        <f t="shared" si="52"/>
        <v>-1</v>
      </c>
      <c r="CD38" s="123">
        <f t="shared" si="53"/>
        <v>0</v>
      </c>
      <c r="CE38" s="123">
        <f t="shared" si="54"/>
        <v>0</v>
      </c>
      <c r="CF38" s="123">
        <f t="shared" si="55"/>
        <v>-1</v>
      </c>
      <c r="CG38" s="123">
        <f t="shared" si="56"/>
        <v>0</v>
      </c>
      <c r="CH38" s="123">
        <f t="shared" si="57"/>
        <v>-1</v>
      </c>
      <c r="CI38" s="123">
        <f t="shared" si="58"/>
        <v>0</v>
      </c>
      <c r="CJ38" s="123">
        <f t="shared" si="59"/>
        <v>0</v>
      </c>
      <c r="CK38" s="122">
        <f t="shared" si="60"/>
        <v>0</v>
      </c>
    </row>
    <row r="39" spans="26:89" s="144" customFormat="1" ht="16.5" customHeight="1">
      <c r="Z39" s="374"/>
      <c r="AA39" s="128">
        <v>2000</v>
      </c>
      <c r="AB39" s="124">
        <v>29</v>
      </c>
      <c r="AC39" s="123">
        <v>29</v>
      </c>
      <c r="AD39" s="123">
        <v>29</v>
      </c>
      <c r="AE39" s="123">
        <v>28</v>
      </c>
      <c r="AF39" s="123">
        <v>27</v>
      </c>
      <c r="AG39" s="123">
        <v>26</v>
      </c>
      <c r="AH39" s="123">
        <v>25</v>
      </c>
      <c r="AI39" s="123">
        <v>23</v>
      </c>
      <c r="AJ39" s="123">
        <v>19</v>
      </c>
      <c r="AK39" s="123">
        <v>16</v>
      </c>
      <c r="AL39" s="123">
        <v>14</v>
      </c>
      <c r="AM39" s="123">
        <v>10</v>
      </c>
      <c r="AN39" s="123">
        <v>8</v>
      </c>
      <c r="AO39" s="123">
        <v>7</v>
      </c>
      <c r="AP39" s="123">
        <v>6</v>
      </c>
      <c r="AQ39" s="123">
        <v>5</v>
      </c>
      <c r="AR39" s="123">
        <v>4</v>
      </c>
      <c r="AS39" s="123">
        <v>4</v>
      </c>
      <c r="AT39" s="123">
        <v>3</v>
      </c>
      <c r="AU39" s="123">
        <v>3</v>
      </c>
      <c r="AV39" s="123">
        <v>2</v>
      </c>
      <c r="AW39" s="123">
        <v>0</v>
      </c>
      <c r="AX39" s="123">
        <v>0</v>
      </c>
      <c r="AY39" s="123">
        <v>0</v>
      </c>
      <c r="AZ39" s="123">
        <v>-1</v>
      </c>
      <c r="BA39" s="123">
        <v>-1</v>
      </c>
      <c r="BB39" s="123">
        <v>-1</v>
      </c>
      <c r="BC39" s="123">
        <v>-1</v>
      </c>
      <c r="BD39" s="123">
        <v>-1</v>
      </c>
      <c r="BE39" s="123">
        <v>-1</v>
      </c>
      <c r="BG39" s="125">
        <v>7000</v>
      </c>
      <c r="BH39" s="124">
        <f t="shared" si="31"/>
        <v>0</v>
      </c>
      <c r="BI39" s="123">
        <f t="shared" si="32"/>
        <v>0</v>
      </c>
      <c r="BJ39" s="123">
        <f t="shared" si="33"/>
        <v>0</v>
      </c>
      <c r="BK39" s="123">
        <f t="shared" si="34"/>
        <v>0</v>
      </c>
      <c r="BL39" s="123">
        <f t="shared" si="35"/>
        <v>-1</v>
      </c>
      <c r="BM39" s="123">
        <f t="shared" si="36"/>
        <v>0</v>
      </c>
      <c r="BN39" s="123">
        <f t="shared" si="37"/>
        <v>0</v>
      </c>
      <c r="BO39" s="123">
        <f t="shared" si="38"/>
        <v>0</v>
      </c>
      <c r="BP39" s="123">
        <f t="shared" si="39"/>
        <v>0</v>
      </c>
      <c r="BQ39" s="123">
        <f t="shared" si="40"/>
        <v>-1</v>
      </c>
      <c r="BR39" s="123">
        <f t="shared" si="41"/>
        <v>-1</v>
      </c>
      <c r="BS39" s="123">
        <f t="shared" si="42"/>
        <v>1</v>
      </c>
      <c r="BT39" s="123">
        <f t="shared" si="43"/>
        <v>-1</v>
      </c>
      <c r="BU39" s="123">
        <f t="shared" si="44"/>
        <v>0</v>
      </c>
      <c r="BV39" s="123">
        <f t="shared" si="45"/>
        <v>0</v>
      </c>
      <c r="BW39" s="123">
        <f t="shared" si="46"/>
        <v>0</v>
      </c>
      <c r="BX39" s="123">
        <f t="shared" si="47"/>
        <v>-1</v>
      </c>
      <c r="BY39" s="123">
        <f t="shared" si="48"/>
        <v>0</v>
      </c>
      <c r="BZ39" s="123">
        <f t="shared" si="49"/>
        <v>-1</v>
      </c>
      <c r="CA39" s="123">
        <f t="shared" si="50"/>
        <v>-1</v>
      </c>
      <c r="CB39" s="123">
        <f t="shared" si="51"/>
        <v>0</v>
      </c>
      <c r="CC39" s="123">
        <f t="shared" si="52"/>
        <v>-1</v>
      </c>
      <c r="CD39" s="123">
        <f t="shared" si="53"/>
        <v>0</v>
      </c>
      <c r="CE39" s="123">
        <f t="shared" si="54"/>
        <v>-1</v>
      </c>
      <c r="CF39" s="123">
        <f t="shared" si="55"/>
        <v>0</v>
      </c>
      <c r="CG39" s="123">
        <f t="shared" si="56"/>
        <v>0</v>
      </c>
      <c r="CH39" s="123">
        <f t="shared" si="57"/>
        <v>-1</v>
      </c>
      <c r="CI39" s="123">
        <f t="shared" si="58"/>
        <v>0</v>
      </c>
      <c r="CJ39" s="123">
        <f t="shared" si="59"/>
        <v>0</v>
      </c>
      <c r="CK39" s="122">
        <f t="shared" si="60"/>
        <v>0</v>
      </c>
    </row>
    <row r="40" spans="26:89" s="144" customFormat="1" ht="16.5" customHeight="1">
      <c r="Z40" s="374"/>
      <c r="AA40" s="128">
        <v>2500</v>
      </c>
      <c r="AB40" s="124">
        <v>33</v>
      </c>
      <c r="AC40" s="123">
        <v>33</v>
      </c>
      <c r="AD40" s="123">
        <v>33</v>
      </c>
      <c r="AE40" s="123">
        <v>31</v>
      </c>
      <c r="AF40" s="123">
        <v>30</v>
      </c>
      <c r="AG40" s="123">
        <v>29</v>
      </c>
      <c r="AH40" s="123">
        <v>27</v>
      </c>
      <c r="AI40" s="123">
        <v>25</v>
      </c>
      <c r="AJ40" s="123">
        <v>21</v>
      </c>
      <c r="AK40" s="123">
        <v>18</v>
      </c>
      <c r="AL40" s="123">
        <v>15</v>
      </c>
      <c r="AM40" s="123">
        <v>11</v>
      </c>
      <c r="AN40" s="123">
        <v>9</v>
      </c>
      <c r="AO40" s="123">
        <v>7</v>
      </c>
      <c r="AP40" s="123">
        <v>6</v>
      </c>
      <c r="AQ40" s="123">
        <v>6</v>
      </c>
      <c r="AR40" s="123">
        <v>5</v>
      </c>
      <c r="AS40" s="123">
        <v>5</v>
      </c>
      <c r="AT40" s="123">
        <v>4</v>
      </c>
      <c r="AU40" s="123">
        <v>3</v>
      </c>
      <c r="AV40" s="123">
        <v>2</v>
      </c>
      <c r="AW40" s="123">
        <v>1</v>
      </c>
      <c r="AX40" s="123">
        <v>0</v>
      </c>
      <c r="AY40" s="123">
        <v>0</v>
      </c>
      <c r="AZ40" s="123">
        <v>-1</v>
      </c>
      <c r="BA40" s="123">
        <v>-1</v>
      </c>
      <c r="BB40" s="123">
        <v>-1</v>
      </c>
      <c r="BC40" s="123">
        <v>-1</v>
      </c>
      <c r="BD40" s="123">
        <v>-1</v>
      </c>
      <c r="BE40" s="123">
        <v>-1</v>
      </c>
      <c r="BG40" s="125">
        <v>7500</v>
      </c>
      <c r="BH40" s="124">
        <f t="shared" si="31"/>
        <v>0</v>
      </c>
      <c r="BI40" s="123">
        <f t="shared" si="32"/>
        <v>0</v>
      </c>
      <c r="BJ40" s="123">
        <f t="shared" si="33"/>
        <v>0</v>
      </c>
      <c r="BK40" s="123">
        <f t="shared" si="34"/>
        <v>0</v>
      </c>
      <c r="BL40" s="123">
        <f t="shared" si="35"/>
        <v>0</v>
      </c>
      <c r="BM40" s="123">
        <f t="shared" si="36"/>
        <v>0</v>
      </c>
      <c r="BN40" s="123">
        <f t="shared" si="37"/>
        <v>0</v>
      </c>
      <c r="BO40" s="123">
        <f t="shared" si="38"/>
        <v>0</v>
      </c>
      <c r="BP40" s="123">
        <f t="shared" si="39"/>
        <v>0</v>
      </c>
      <c r="BQ40" s="123">
        <f t="shared" si="40"/>
        <v>0</v>
      </c>
      <c r="BR40" s="123">
        <f t="shared" si="41"/>
        <v>0</v>
      </c>
      <c r="BS40" s="123">
        <f t="shared" si="42"/>
        <v>1</v>
      </c>
      <c r="BT40" s="123">
        <f t="shared" si="43"/>
        <v>-1</v>
      </c>
      <c r="BU40" s="123">
        <f t="shared" si="44"/>
        <v>0</v>
      </c>
      <c r="BV40" s="123">
        <f t="shared" si="45"/>
        <v>0</v>
      </c>
      <c r="BW40" s="123">
        <f t="shared" si="46"/>
        <v>0</v>
      </c>
      <c r="BX40" s="123">
        <f t="shared" si="47"/>
        <v>0</v>
      </c>
      <c r="BY40" s="123">
        <f t="shared" si="48"/>
        <v>0</v>
      </c>
      <c r="BZ40" s="123">
        <f t="shared" si="49"/>
        <v>0</v>
      </c>
      <c r="CA40" s="123">
        <f t="shared" si="50"/>
        <v>-1</v>
      </c>
      <c r="CB40" s="123">
        <f t="shared" si="51"/>
        <v>0</v>
      </c>
      <c r="CC40" s="123">
        <f t="shared" si="52"/>
        <v>-1</v>
      </c>
      <c r="CD40" s="123">
        <f t="shared" si="53"/>
        <v>0</v>
      </c>
      <c r="CE40" s="123">
        <f t="shared" si="54"/>
        <v>-1</v>
      </c>
      <c r="CF40" s="123">
        <f t="shared" si="55"/>
        <v>-1</v>
      </c>
      <c r="CG40" s="123">
        <f t="shared" si="56"/>
        <v>0</v>
      </c>
      <c r="CH40" s="123">
        <f t="shared" si="57"/>
        <v>-1</v>
      </c>
      <c r="CI40" s="123">
        <f t="shared" si="58"/>
        <v>0</v>
      </c>
      <c r="CJ40" s="123">
        <f t="shared" si="59"/>
        <v>0</v>
      </c>
      <c r="CK40" s="122">
        <f t="shared" si="60"/>
        <v>0</v>
      </c>
    </row>
    <row r="41" spans="26:89" s="144" customFormat="1" ht="16.5" customHeight="1">
      <c r="Z41" s="374"/>
      <c r="AA41" s="128">
        <v>2750</v>
      </c>
      <c r="AB41" s="124">
        <v>35</v>
      </c>
      <c r="AC41" s="123">
        <v>35</v>
      </c>
      <c r="AD41" s="123">
        <v>35</v>
      </c>
      <c r="AE41" s="123">
        <v>33</v>
      </c>
      <c r="AF41" s="123">
        <v>32</v>
      </c>
      <c r="AG41" s="123">
        <v>31</v>
      </c>
      <c r="AH41" s="123">
        <v>29</v>
      </c>
      <c r="AI41" s="123">
        <v>28</v>
      </c>
      <c r="AJ41" s="123">
        <v>23</v>
      </c>
      <c r="AK41" s="123">
        <v>22</v>
      </c>
      <c r="AL41" s="123">
        <v>18</v>
      </c>
      <c r="AM41" s="123">
        <v>13</v>
      </c>
      <c r="AN41" s="123">
        <v>11</v>
      </c>
      <c r="AO41" s="123">
        <v>8</v>
      </c>
      <c r="AP41" s="123">
        <v>7</v>
      </c>
      <c r="AQ41" s="123">
        <v>7</v>
      </c>
      <c r="AR41" s="123">
        <v>6</v>
      </c>
      <c r="AS41" s="123">
        <v>6</v>
      </c>
      <c r="AT41" s="123">
        <v>5</v>
      </c>
      <c r="AU41" s="123">
        <v>4</v>
      </c>
      <c r="AV41" s="123">
        <v>3</v>
      </c>
      <c r="AW41" s="123">
        <v>3</v>
      </c>
      <c r="AX41" s="123">
        <v>2</v>
      </c>
      <c r="AY41" s="123">
        <v>1</v>
      </c>
      <c r="AZ41" s="123">
        <v>1</v>
      </c>
      <c r="BA41" s="123">
        <v>1</v>
      </c>
      <c r="BB41" s="123">
        <v>1</v>
      </c>
      <c r="BC41" s="123">
        <v>0</v>
      </c>
      <c r="BD41" s="123">
        <v>0</v>
      </c>
      <c r="BE41" s="123">
        <v>0</v>
      </c>
      <c r="BG41" s="125">
        <v>8000</v>
      </c>
      <c r="BH41" s="124">
        <f t="shared" si="31"/>
        <v>0</v>
      </c>
      <c r="BI41" s="123">
        <f t="shared" si="32"/>
        <v>0</v>
      </c>
      <c r="BJ41" s="123">
        <f t="shared" si="33"/>
        <v>0</v>
      </c>
      <c r="BK41" s="123">
        <f t="shared" si="34"/>
        <v>0</v>
      </c>
      <c r="BL41" s="123">
        <f t="shared" si="35"/>
        <v>0</v>
      </c>
      <c r="BM41" s="123">
        <f t="shared" si="36"/>
        <v>0</v>
      </c>
      <c r="BN41" s="123">
        <f t="shared" si="37"/>
        <v>0</v>
      </c>
      <c r="BO41" s="123">
        <f t="shared" si="38"/>
        <v>0</v>
      </c>
      <c r="BP41" s="123">
        <f t="shared" si="39"/>
        <v>0</v>
      </c>
      <c r="BQ41" s="123">
        <f t="shared" si="40"/>
        <v>0</v>
      </c>
      <c r="BR41" s="123">
        <f t="shared" si="41"/>
        <v>-1</v>
      </c>
      <c r="BS41" s="123">
        <f t="shared" si="42"/>
        <v>0</v>
      </c>
      <c r="BT41" s="123">
        <f t="shared" si="43"/>
        <v>-1</v>
      </c>
      <c r="BU41" s="123">
        <f t="shared" si="44"/>
        <v>0</v>
      </c>
      <c r="BV41" s="123">
        <f t="shared" si="45"/>
        <v>0</v>
      </c>
      <c r="BW41" s="123">
        <f t="shared" si="46"/>
        <v>-1</v>
      </c>
      <c r="BX41" s="123">
        <f t="shared" si="47"/>
        <v>0</v>
      </c>
      <c r="BY41" s="123">
        <f t="shared" si="48"/>
        <v>0</v>
      </c>
      <c r="BZ41" s="123">
        <f t="shared" si="49"/>
        <v>-1</v>
      </c>
      <c r="CA41" s="123">
        <f t="shared" si="50"/>
        <v>0</v>
      </c>
      <c r="CB41" s="123">
        <f t="shared" si="51"/>
        <v>0</v>
      </c>
      <c r="CC41" s="123">
        <f t="shared" si="52"/>
        <v>-1</v>
      </c>
      <c r="CD41" s="123">
        <f t="shared" si="53"/>
        <v>0</v>
      </c>
      <c r="CE41" s="123">
        <f t="shared" si="54"/>
        <v>0</v>
      </c>
      <c r="CF41" s="123">
        <f t="shared" si="55"/>
        <v>-1</v>
      </c>
      <c r="CG41" s="123">
        <f t="shared" si="56"/>
        <v>-1</v>
      </c>
      <c r="CH41" s="123">
        <f t="shared" si="57"/>
        <v>-1</v>
      </c>
      <c r="CI41" s="123">
        <f t="shared" si="58"/>
        <v>0</v>
      </c>
      <c r="CJ41" s="123">
        <f t="shared" si="59"/>
        <v>0</v>
      </c>
      <c r="CK41" s="122">
        <f t="shared" si="60"/>
        <v>0</v>
      </c>
    </row>
    <row r="42" spans="26:89" s="144" customFormat="1" ht="16.5" customHeight="1">
      <c r="Z42" s="374"/>
      <c r="AA42" s="128">
        <v>3000</v>
      </c>
      <c r="AB42" s="124">
        <v>36</v>
      </c>
      <c r="AC42" s="123">
        <v>36</v>
      </c>
      <c r="AD42" s="123">
        <v>36</v>
      </c>
      <c r="AE42" s="123">
        <v>35</v>
      </c>
      <c r="AF42" s="123">
        <v>34</v>
      </c>
      <c r="AG42" s="123">
        <v>33</v>
      </c>
      <c r="AH42" s="123">
        <v>31</v>
      </c>
      <c r="AI42" s="123">
        <v>30</v>
      </c>
      <c r="AJ42" s="123">
        <v>26</v>
      </c>
      <c r="AK42" s="123">
        <v>23</v>
      </c>
      <c r="AL42" s="123">
        <v>20</v>
      </c>
      <c r="AM42" s="123">
        <v>15</v>
      </c>
      <c r="AN42" s="123">
        <v>12</v>
      </c>
      <c r="AO42" s="123">
        <v>10</v>
      </c>
      <c r="AP42" s="123">
        <v>8</v>
      </c>
      <c r="AQ42" s="123">
        <v>8</v>
      </c>
      <c r="AR42" s="123">
        <v>7</v>
      </c>
      <c r="AS42" s="123">
        <v>7</v>
      </c>
      <c r="AT42" s="123">
        <v>6</v>
      </c>
      <c r="AU42" s="123">
        <v>5</v>
      </c>
      <c r="AV42" s="123">
        <v>5</v>
      </c>
      <c r="AW42" s="123">
        <v>4</v>
      </c>
      <c r="AX42" s="123">
        <v>3</v>
      </c>
      <c r="AY42" s="123">
        <v>2</v>
      </c>
      <c r="AZ42" s="123">
        <v>2</v>
      </c>
      <c r="BA42" s="123">
        <v>1</v>
      </c>
      <c r="BB42" s="123">
        <v>1</v>
      </c>
      <c r="BC42" s="123">
        <v>1</v>
      </c>
      <c r="BD42" s="123">
        <v>1</v>
      </c>
      <c r="BE42" s="123">
        <v>1</v>
      </c>
      <c r="BG42" s="125">
        <v>8500</v>
      </c>
      <c r="BH42" s="124">
        <f t="shared" si="31"/>
        <v>0</v>
      </c>
      <c r="BI42" s="123">
        <f t="shared" si="32"/>
        <v>0</v>
      </c>
      <c r="BJ42" s="123">
        <f t="shared" si="33"/>
        <v>0</v>
      </c>
      <c r="BK42" s="123">
        <f t="shared" si="34"/>
        <v>0</v>
      </c>
      <c r="BL42" s="123">
        <f t="shared" si="35"/>
        <v>0</v>
      </c>
      <c r="BM42" s="123">
        <f t="shared" si="36"/>
        <v>0</v>
      </c>
      <c r="BN42" s="123">
        <f t="shared" si="37"/>
        <v>0</v>
      </c>
      <c r="BO42" s="123">
        <f t="shared" si="38"/>
        <v>0</v>
      </c>
      <c r="BP42" s="123">
        <f t="shared" si="39"/>
        <v>0</v>
      </c>
      <c r="BQ42" s="123">
        <f t="shared" si="40"/>
        <v>0</v>
      </c>
      <c r="BR42" s="123">
        <f t="shared" si="41"/>
        <v>0</v>
      </c>
      <c r="BS42" s="123">
        <f t="shared" si="42"/>
        <v>0</v>
      </c>
      <c r="BT42" s="123">
        <f t="shared" si="43"/>
        <v>-1</v>
      </c>
      <c r="BU42" s="123">
        <f t="shared" si="44"/>
        <v>0</v>
      </c>
      <c r="BV42" s="123">
        <f t="shared" si="45"/>
        <v>0</v>
      </c>
      <c r="BW42" s="123">
        <f t="shared" si="46"/>
        <v>0</v>
      </c>
      <c r="BX42" s="123">
        <f t="shared" si="47"/>
        <v>-1</v>
      </c>
      <c r="BY42" s="123">
        <f t="shared" si="48"/>
        <v>-1</v>
      </c>
      <c r="BZ42" s="123">
        <f t="shared" si="49"/>
        <v>-1</v>
      </c>
      <c r="CA42" s="123">
        <f t="shared" si="50"/>
        <v>0</v>
      </c>
      <c r="CB42" s="123">
        <f t="shared" si="51"/>
        <v>0</v>
      </c>
      <c r="CC42" s="123">
        <f t="shared" si="52"/>
        <v>0</v>
      </c>
      <c r="CD42" s="123">
        <f t="shared" si="53"/>
        <v>-1</v>
      </c>
      <c r="CE42" s="123">
        <f t="shared" si="54"/>
        <v>-1</v>
      </c>
      <c r="CF42" s="123">
        <f t="shared" si="55"/>
        <v>-1</v>
      </c>
      <c r="CG42" s="123">
        <f t="shared" si="56"/>
        <v>-1</v>
      </c>
      <c r="CH42" s="123">
        <f t="shared" si="57"/>
        <v>-1</v>
      </c>
      <c r="CI42" s="123">
        <f t="shared" si="58"/>
        <v>0</v>
      </c>
      <c r="CJ42" s="123">
        <f t="shared" si="59"/>
        <v>0</v>
      </c>
      <c r="CK42" s="122">
        <f t="shared" si="60"/>
        <v>0</v>
      </c>
    </row>
    <row r="43" spans="26:89" s="144" customFormat="1" ht="16.5" customHeight="1" thickBot="1">
      <c r="Z43" s="374"/>
      <c r="AA43" s="128">
        <v>3250</v>
      </c>
      <c r="AB43" s="124">
        <v>37</v>
      </c>
      <c r="AC43" s="123">
        <v>37</v>
      </c>
      <c r="AD43" s="123">
        <v>37</v>
      </c>
      <c r="AE43" s="123">
        <v>37</v>
      </c>
      <c r="AF43" s="123">
        <v>36</v>
      </c>
      <c r="AG43" s="123">
        <v>34</v>
      </c>
      <c r="AH43" s="123">
        <v>33</v>
      </c>
      <c r="AI43" s="123">
        <v>31</v>
      </c>
      <c r="AJ43" s="123">
        <v>27</v>
      </c>
      <c r="AK43" s="123">
        <v>25</v>
      </c>
      <c r="AL43" s="123">
        <v>20</v>
      </c>
      <c r="AM43" s="123">
        <v>16</v>
      </c>
      <c r="AN43" s="123">
        <v>14</v>
      </c>
      <c r="AO43" s="123">
        <v>11</v>
      </c>
      <c r="AP43" s="123">
        <v>9</v>
      </c>
      <c r="AQ43" s="123">
        <v>8</v>
      </c>
      <c r="AR43" s="123">
        <v>7</v>
      </c>
      <c r="AS43" s="123">
        <v>7</v>
      </c>
      <c r="AT43" s="123">
        <v>6</v>
      </c>
      <c r="AU43" s="123">
        <v>5</v>
      </c>
      <c r="AV43" s="123">
        <v>5</v>
      </c>
      <c r="AW43" s="123">
        <v>4</v>
      </c>
      <c r="AX43" s="123">
        <v>3</v>
      </c>
      <c r="AY43" s="123">
        <v>3</v>
      </c>
      <c r="AZ43" s="123">
        <v>2</v>
      </c>
      <c r="BA43" s="123">
        <v>2</v>
      </c>
      <c r="BB43" s="123">
        <v>2</v>
      </c>
      <c r="BC43" s="123">
        <v>2</v>
      </c>
      <c r="BD43" s="123">
        <v>2</v>
      </c>
      <c r="BE43" s="123">
        <v>2</v>
      </c>
      <c r="BG43" s="121">
        <v>11000</v>
      </c>
      <c r="BH43" s="120">
        <f t="shared" si="31"/>
        <v>0</v>
      </c>
      <c r="BI43" s="119">
        <f t="shared" si="32"/>
        <v>0</v>
      </c>
      <c r="BJ43" s="119">
        <f t="shared" si="33"/>
        <v>0</v>
      </c>
      <c r="BK43" s="119">
        <f t="shared" si="34"/>
        <v>0</v>
      </c>
      <c r="BL43" s="119">
        <f t="shared" si="35"/>
        <v>0</v>
      </c>
      <c r="BM43" s="119">
        <f t="shared" si="36"/>
        <v>0</v>
      </c>
      <c r="BN43" s="119">
        <f t="shared" si="37"/>
        <v>0</v>
      </c>
      <c r="BO43" s="119">
        <f t="shared" si="38"/>
        <v>0</v>
      </c>
      <c r="BP43" s="119">
        <f t="shared" si="39"/>
        <v>0</v>
      </c>
      <c r="BQ43" s="119">
        <f t="shared" si="40"/>
        <v>0</v>
      </c>
      <c r="BR43" s="119">
        <f t="shared" si="41"/>
        <v>-1</v>
      </c>
      <c r="BS43" s="119">
        <f t="shared" si="42"/>
        <v>0</v>
      </c>
      <c r="BT43" s="119">
        <f t="shared" si="43"/>
        <v>-1</v>
      </c>
      <c r="BU43" s="119">
        <f t="shared" si="44"/>
        <v>0</v>
      </c>
      <c r="BV43" s="119">
        <f t="shared" si="45"/>
        <v>-1</v>
      </c>
      <c r="BW43" s="119">
        <f t="shared" si="46"/>
        <v>-1</v>
      </c>
      <c r="BX43" s="119">
        <f t="shared" si="47"/>
        <v>0</v>
      </c>
      <c r="BY43" s="119">
        <f t="shared" si="48"/>
        <v>0</v>
      </c>
      <c r="BZ43" s="119">
        <f t="shared" si="49"/>
        <v>-1</v>
      </c>
      <c r="CA43" s="119">
        <f t="shared" si="50"/>
        <v>0</v>
      </c>
      <c r="CB43" s="119">
        <f t="shared" si="51"/>
        <v>0</v>
      </c>
      <c r="CC43" s="119">
        <f t="shared" si="52"/>
        <v>0</v>
      </c>
      <c r="CD43" s="119">
        <f t="shared" si="53"/>
        <v>0</v>
      </c>
      <c r="CE43" s="119">
        <f t="shared" si="54"/>
        <v>0</v>
      </c>
      <c r="CF43" s="119">
        <f t="shared" si="55"/>
        <v>-1</v>
      </c>
      <c r="CG43" s="119">
        <f t="shared" si="56"/>
        <v>0</v>
      </c>
      <c r="CH43" s="119">
        <f t="shared" si="57"/>
        <v>-1</v>
      </c>
      <c r="CI43" s="119">
        <f t="shared" si="58"/>
        <v>0</v>
      </c>
      <c r="CJ43" s="119">
        <f t="shared" si="59"/>
        <v>0</v>
      </c>
      <c r="CK43" s="118">
        <f t="shared" si="60"/>
        <v>0</v>
      </c>
    </row>
    <row r="44" spans="26:89" s="144" customFormat="1" ht="16.5" customHeight="1">
      <c r="Z44" s="374"/>
      <c r="AA44" s="128">
        <v>3500</v>
      </c>
      <c r="AB44" s="124">
        <v>38</v>
      </c>
      <c r="AC44" s="123">
        <v>38</v>
      </c>
      <c r="AD44" s="123">
        <v>38</v>
      </c>
      <c r="AE44" s="123">
        <v>37</v>
      </c>
      <c r="AF44" s="123">
        <v>36</v>
      </c>
      <c r="AG44" s="123">
        <v>34</v>
      </c>
      <c r="AH44" s="123">
        <v>33</v>
      </c>
      <c r="AI44" s="123">
        <v>32</v>
      </c>
      <c r="AJ44" s="123">
        <v>28</v>
      </c>
      <c r="AK44" s="123">
        <v>26</v>
      </c>
      <c r="AL44" s="123">
        <v>20</v>
      </c>
      <c r="AM44" s="123">
        <v>16</v>
      </c>
      <c r="AN44" s="123">
        <v>15</v>
      </c>
      <c r="AO44" s="123">
        <v>11</v>
      </c>
      <c r="AP44" s="123">
        <v>10</v>
      </c>
      <c r="AQ44" s="123">
        <v>8</v>
      </c>
      <c r="AR44" s="123">
        <v>8</v>
      </c>
      <c r="AS44" s="123">
        <v>7</v>
      </c>
      <c r="AT44" s="123">
        <v>7</v>
      </c>
      <c r="AU44" s="123">
        <v>6</v>
      </c>
      <c r="AV44" s="123">
        <v>5</v>
      </c>
      <c r="AW44" s="123">
        <v>4</v>
      </c>
      <c r="AX44" s="123">
        <v>4</v>
      </c>
      <c r="AY44" s="123">
        <v>3</v>
      </c>
      <c r="AZ44" s="123">
        <v>3</v>
      </c>
      <c r="BA44" s="123">
        <v>3</v>
      </c>
      <c r="BB44" s="123">
        <v>3</v>
      </c>
      <c r="BC44" s="123">
        <v>3</v>
      </c>
      <c r="BD44" s="123">
        <v>3</v>
      </c>
      <c r="BE44" s="123">
        <v>3</v>
      </c>
    </row>
    <row r="45" spans="26:89" s="144" customFormat="1" ht="16.5" customHeight="1">
      <c r="Z45" s="374"/>
      <c r="AA45" s="128">
        <v>3750</v>
      </c>
      <c r="AB45" s="124">
        <v>38</v>
      </c>
      <c r="AC45" s="123">
        <v>38</v>
      </c>
      <c r="AD45" s="123">
        <v>38</v>
      </c>
      <c r="AE45" s="123">
        <v>38</v>
      </c>
      <c r="AF45" s="123">
        <v>36</v>
      </c>
      <c r="AG45" s="123">
        <v>34</v>
      </c>
      <c r="AH45" s="123">
        <v>33</v>
      </c>
      <c r="AI45" s="123">
        <v>32</v>
      </c>
      <c r="AJ45" s="123">
        <v>28</v>
      </c>
      <c r="AK45" s="123">
        <v>27</v>
      </c>
      <c r="AL45" s="123">
        <v>21</v>
      </c>
      <c r="AM45" s="123">
        <v>16</v>
      </c>
      <c r="AN45" s="123">
        <v>15</v>
      </c>
      <c r="AO45" s="123">
        <v>12</v>
      </c>
      <c r="AP45" s="123">
        <v>10</v>
      </c>
      <c r="AQ45" s="123">
        <v>9</v>
      </c>
      <c r="AR45" s="123">
        <v>8</v>
      </c>
      <c r="AS45" s="123">
        <v>7</v>
      </c>
      <c r="AT45" s="123">
        <v>7</v>
      </c>
      <c r="AU45" s="123">
        <v>6</v>
      </c>
      <c r="AV45" s="123">
        <v>5</v>
      </c>
      <c r="AW45" s="123">
        <v>5</v>
      </c>
      <c r="AX45" s="123">
        <v>4</v>
      </c>
      <c r="AY45" s="123">
        <v>4</v>
      </c>
      <c r="AZ45" s="123">
        <v>3</v>
      </c>
      <c r="BA45" s="123">
        <v>3</v>
      </c>
      <c r="BB45" s="123">
        <v>3</v>
      </c>
      <c r="BC45" s="123">
        <v>3</v>
      </c>
      <c r="BD45" s="123">
        <v>3</v>
      </c>
      <c r="BE45" s="123">
        <v>3</v>
      </c>
    </row>
    <row r="46" spans="26:89" s="144" customFormat="1" ht="16.5" customHeight="1" thickBot="1">
      <c r="Z46" s="374"/>
      <c r="AA46" s="128">
        <v>4000</v>
      </c>
      <c r="AB46" s="124">
        <v>38</v>
      </c>
      <c r="AC46" s="123">
        <v>38</v>
      </c>
      <c r="AD46" s="123">
        <v>38</v>
      </c>
      <c r="AE46" s="123">
        <v>38</v>
      </c>
      <c r="AF46" s="123">
        <v>37</v>
      </c>
      <c r="AG46" s="123">
        <v>34</v>
      </c>
      <c r="AH46" s="123">
        <v>33</v>
      </c>
      <c r="AI46" s="123">
        <v>32</v>
      </c>
      <c r="AJ46" s="123">
        <v>30</v>
      </c>
      <c r="AK46" s="123">
        <v>28</v>
      </c>
      <c r="AL46" s="123">
        <v>21</v>
      </c>
      <c r="AM46" s="123">
        <v>16</v>
      </c>
      <c r="AN46" s="123">
        <v>15</v>
      </c>
      <c r="AO46" s="123">
        <v>12</v>
      </c>
      <c r="AP46" s="123">
        <v>11</v>
      </c>
      <c r="AQ46" s="123">
        <v>10</v>
      </c>
      <c r="AR46" s="123">
        <v>9</v>
      </c>
      <c r="AS46" s="123">
        <v>9</v>
      </c>
      <c r="AT46" s="123">
        <v>8</v>
      </c>
      <c r="AU46" s="123">
        <v>7</v>
      </c>
      <c r="AV46" s="123">
        <v>6</v>
      </c>
      <c r="AW46" s="123">
        <v>5</v>
      </c>
      <c r="AX46" s="123">
        <v>5</v>
      </c>
      <c r="AY46" s="123">
        <v>4</v>
      </c>
      <c r="AZ46" s="123">
        <v>4</v>
      </c>
      <c r="BA46" s="123">
        <v>3</v>
      </c>
      <c r="BB46" s="123">
        <v>3</v>
      </c>
      <c r="BC46" s="123">
        <v>3</v>
      </c>
      <c r="BD46" s="123">
        <v>3</v>
      </c>
      <c r="BE46" s="123">
        <v>3</v>
      </c>
    </row>
    <row r="47" spans="26:89" s="144" customFormat="1" ht="16.5" customHeight="1" thickBot="1">
      <c r="Z47" s="374"/>
      <c r="AA47" s="128">
        <v>4250</v>
      </c>
      <c r="AB47" s="124">
        <v>38</v>
      </c>
      <c r="AC47" s="123">
        <v>38</v>
      </c>
      <c r="AD47" s="123">
        <v>38</v>
      </c>
      <c r="AE47" s="123">
        <v>38</v>
      </c>
      <c r="AF47" s="123">
        <v>38</v>
      </c>
      <c r="AG47" s="123">
        <v>34</v>
      </c>
      <c r="AH47" s="123">
        <v>33</v>
      </c>
      <c r="AI47" s="123">
        <v>32</v>
      </c>
      <c r="AJ47" s="123">
        <v>31</v>
      </c>
      <c r="AK47" s="123">
        <v>29</v>
      </c>
      <c r="AL47" s="123">
        <v>22</v>
      </c>
      <c r="AM47" s="123">
        <v>17</v>
      </c>
      <c r="AN47" s="123">
        <v>15</v>
      </c>
      <c r="AO47" s="123">
        <v>12</v>
      </c>
      <c r="AP47" s="123">
        <v>11</v>
      </c>
      <c r="AQ47" s="123">
        <v>10</v>
      </c>
      <c r="AR47" s="123">
        <v>9</v>
      </c>
      <c r="AS47" s="123">
        <v>9</v>
      </c>
      <c r="AT47" s="123">
        <v>8</v>
      </c>
      <c r="AU47" s="123">
        <v>7</v>
      </c>
      <c r="AV47" s="123">
        <v>6</v>
      </c>
      <c r="AW47" s="123">
        <v>6</v>
      </c>
      <c r="AX47" s="123">
        <v>5</v>
      </c>
      <c r="AY47" s="123">
        <v>5</v>
      </c>
      <c r="AZ47" s="123">
        <v>4</v>
      </c>
      <c r="BA47" s="123">
        <v>4</v>
      </c>
      <c r="BB47" s="123">
        <v>3</v>
      </c>
      <c r="BC47" s="123">
        <v>3</v>
      </c>
      <c r="BD47" s="123">
        <v>3</v>
      </c>
      <c r="BE47" s="123">
        <v>3</v>
      </c>
      <c r="BG47" s="149"/>
      <c r="BH47" s="389" t="s">
        <v>6</v>
      </c>
      <c r="BI47" s="389"/>
      <c r="BJ47" s="389"/>
      <c r="BK47" s="389"/>
      <c r="BL47" s="389"/>
      <c r="BM47" s="389"/>
      <c r="BN47" s="389"/>
      <c r="BO47" s="389"/>
      <c r="BP47" s="389"/>
      <c r="BQ47" s="389"/>
      <c r="BR47" s="389"/>
      <c r="BS47" s="389"/>
      <c r="BT47" s="389"/>
      <c r="BU47" s="389"/>
      <c r="BV47" s="389"/>
      <c r="BW47" s="389"/>
      <c r="BX47" s="389"/>
      <c r="BY47" s="389"/>
      <c r="BZ47" s="389"/>
      <c r="CA47" s="389"/>
      <c r="CB47" s="389"/>
      <c r="CC47" s="389"/>
      <c r="CD47" s="389"/>
      <c r="CE47" s="389"/>
      <c r="CF47" s="389"/>
      <c r="CG47" s="389"/>
      <c r="CH47" s="389"/>
      <c r="CI47" s="389"/>
      <c r="CJ47" s="389"/>
      <c r="CK47" s="389"/>
    </row>
    <row r="48" spans="26:89" s="144" customFormat="1" ht="16.5" customHeight="1" thickBot="1">
      <c r="Z48" s="374"/>
      <c r="AA48" s="127">
        <v>4500</v>
      </c>
      <c r="AB48" s="124">
        <v>38</v>
      </c>
      <c r="AC48" s="123">
        <v>38</v>
      </c>
      <c r="AD48" s="123">
        <v>38</v>
      </c>
      <c r="AE48" s="123">
        <v>38</v>
      </c>
      <c r="AF48" s="123">
        <v>38</v>
      </c>
      <c r="AG48" s="123">
        <v>34</v>
      </c>
      <c r="AH48" s="123">
        <v>33</v>
      </c>
      <c r="AI48" s="123">
        <v>32</v>
      </c>
      <c r="AJ48" s="123">
        <v>31</v>
      </c>
      <c r="AK48" s="123">
        <v>30</v>
      </c>
      <c r="AL48" s="123">
        <v>23</v>
      </c>
      <c r="AM48" s="123">
        <v>18</v>
      </c>
      <c r="AN48" s="123">
        <v>16</v>
      </c>
      <c r="AO48" s="123">
        <v>13</v>
      </c>
      <c r="AP48" s="123">
        <v>11</v>
      </c>
      <c r="AQ48" s="123">
        <v>10</v>
      </c>
      <c r="AR48" s="123">
        <v>10</v>
      </c>
      <c r="AS48" s="123">
        <v>10</v>
      </c>
      <c r="AT48" s="123">
        <v>9</v>
      </c>
      <c r="AU48" s="123">
        <v>8</v>
      </c>
      <c r="AV48" s="123">
        <v>7</v>
      </c>
      <c r="AW48" s="123">
        <v>6</v>
      </c>
      <c r="AX48" s="123">
        <v>6</v>
      </c>
      <c r="AY48" s="123">
        <v>5</v>
      </c>
      <c r="AZ48" s="123">
        <v>5</v>
      </c>
      <c r="BA48" s="123">
        <v>4</v>
      </c>
      <c r="BB48" s="123">
        <v>4</v>
      </c>
      <c r="BC48" s="123">
        <v>4</v>
      </c>
      <c r="BD48" s="123">
        <v>4</v>
      </c>
      <c r="BE48" s="123">
        <v>4</v>
      </c>
      <c r="BG48" s="148"/>
      <c r="BH48" s="142">
        <v>10</v>
      </c>
      <c r="BI48" s="141">
        <v>20</v>
      </c>
      <c r="BJ48" s="141">
        <v>30</v>
      </c>
      <c r="BK48" s="141">
        <v>40</v>
      </c>
      <c r="BL48" s="141">
        <v>50</v>
      </c>
      <c r="BM48" s="140">
        <v>60</v>
      </c>
      <c r="BN48" s="140">
        <v>70</v>
      </c>
      <c r="BO48" s="140">
        <v>80</v>
      </c>
      <c r="BP48" s="140">
        <v>90</v>
      </c>
      <c r="BQ48" s="140">
        <v>100</v>
      </c>
      <c r="BR48" s="140">
        <v>120</v>
      </c>
      <c r="BS48" s="140">
        <v>140</v>
      </c>
      <c r="BT48" s="140">
        <v>160</v>
      </c>
      <c r="BU48" s="139">
        <v>180</v>
      </c>
      <c r="BV48" s="139">
        <v>200</v>
      </c>
      <c r="BW48" s="139">
        <v>210</v>
      </c>
      <c r="BX48" s="139">
        <v>220</v>
      </c>
      <c r="BY48" s="139">
        <v>230</v>
      </c>
      <c r="BZ48" s="139">
        <v>240</v>
      </c>
      <c r="CA48" s="139">
        <v>250</v>
      </c>
      <c r="CB48" s="139">
        <v>260</v>
      </c>
      <c r="CC48" s="139">
        <v>270</v>
      </c>
      <c r="CD48" s="139">
        <v>280</v>
      </c>
      <c r="CE48" s="139">
        <v>290</v>
      </c>
      <c r="CF48" s="139">
        <v>300</v>
      </c>
      <c r="CG48" s="139">
        <v>310</v>
      </c>
      <c r="CH48" s="139">
        <v>320</v>
      </c>
      <c r="CI48" s="139">
        <v>330</v>
      </c>
      <c r="CJ48" s="139">
        <v>340</v>
      </c>
      <c r="CK48" s="138">
        <v>350</v>
      </c>
    </row>
    <row r="49" spans="26:90" s="144" customFormat="1" ht="16.5" customHeight="1">
      <c r="Z49" s="374"/>
      <c r="AA49" s="127">
        <v>4750</v>
      </c>
      <c r="AB49" s="124">
        <v>38</v>
      </c>
      <c r="AC49" s="123">
        <v>38</v>
      </c>
      <c r="AD49" s="123">
        <v>38</v>
      </c>
      <c r="AE49" s="123">
        <v>38</v>
      </c>
      <c r="AF49" s="123">
        <v>38</v>
      </c>
      <c r="AG49" s="123">
        <v>34</v>
      </c>
      <c r="AH49" s="123">
        <v>33</v>
      </c>
      <c r="AI49" s="123">
        <v>32</v>
      </c>
      <c r="AJ49" s="123">
        <v>31</v>
      </c>
      <c r="AK49" s="123">
        <v>30</v>
      </c>
      <c r="AL49" s="123">
        <v>24</v>
      </c>
      <c r="AM49" s="123">
        <v>19</v>
      </c>
      <c r="AN49" s="123">
        <v>17</v>
      </c>
      <c r="AO49" s="123">
        <v>14</v>
      </c>
      <c r="AP49" s="123">
        <v>12</v>
      </c>
      <c r="AQ49" s="123">
        <v>11</v>
      </c>
      <c r="AR49" s="123">
        <v>11</v>
      </c>
      <c r="AS49" s="123">
        <v>11</v>
      </c>
      <c r="AT49" s="123">
        <v>10</v>
      </c>
      <c r="AU49" s="123">
        <v>9</v>
      </c>
      <c r="AV49" s="123">
        <v>8</v>
      </c>
      <c r="AW49" s="123">
        <v>7</v>
      </c>
      <c r="AX49" s="123">
        <v>7</v>
      </c>
      <c r="AY49" s="123">
        <v>6</v>
      </c>
      <c r="AZ49" s="123">
        <v>6</v>
      </c>
      <c r="BA49" s="123">
        <v>5</v>
      </c>
      <c r="BB49" s="123">
        <v>4</v>
      </c>
      <c r="BC49" s="123">
        <v>4</v>
      </c>
      <c r="BD49" s="123">
        <v>4</v>
      </c>
      <c r="BE49" s="123">
        <v>4</v>
      </c>
      <c r="BG49" s="147">
        <v>500</v>
      </c>
      <c r="BH49" s="146">
        <f t="shared" ref="BH49:BH73" si="77">AB35-AB64</f>
        <v>8</v>
      </c>
      <c r="BI49" s="135">
        <f t="shared" ref="BI49:BI73" si="78">AC35-AC64</f>
        <v>8</v>
      </c>
      <c r="BJ49" s="135">
        <f t="shared" ref="BJ49:BJ73" si="79">AD35-AD64</f>
        <v>8</v>
      </c>
      <c r="BK49" s="135">
        <f t="shared" ref="BK49:BK73" si="80">AE35-AE64</f>
        <v>8</v>
      </c>
      <c r="BL49" s="135">
        <f t="shared" ref="BL49:BL73" si="81">AF35-AF64</f>
        <v>2</v>
      </c>
      <c r="BM49" s="135">
        <f t="shared" ref="BM49:BM73" si="82">AG35-AG64</f>
        <v>-3</v>
      </c>
      <c r="BN49" s="135">
        <f t="shared" ref="BN49:BN73" si="83">AH35-AH64</f>
        <v>-3</v>
      </c>
      <c r="BO49" s="135">
        <f t="shared" ref="BO49:BO73" si="84">AI35-AI64</f>
        <v>-1</v>
      </c>
      <c r="BP49" s="135">
        <f t="shared" ref="BP49:BP73" si="85">AJ35-AJ64</f>
        <v>3</v>
      </c>
      <c r="BQ49" s="135">
        <f t="shared" ref="BQ49:BQ73" si="86">AK35-AK64</f>
        <v>4</v>
      </c>
      <c r="BR49" s="135">
        <f t="shared" ref="BR49:BR73" si="87">AL35-AL64</f>
        <v>4</v>
      </c>
      <c r="BS49" s="135">
        <f t="shared" ref="BS49:BS73" si="88">AM35-AM64</f>
        <v>5</v>
      </c>
      <c r="BT49" s="135">
        <f t="shared" ref="BT49:BT73" si="89">AN35-AN64</f>
        <v>7</v>
      </c>
      <c r="BU49" s="135">
        <f t="shared" ref="BU49:BU73" si="90">AO35-AO64</f>
        <v>9</v>
      </c>
      <c r="BV49" s="135">
        <f t="shared" ref="BV49:BV73" si="91">AP35-AP64</f>
        <v>12</v>
      </c>
      <c r="BW49" s="135">
        <f t="shared" ref="BW49:BW73" si="92">AQ35-AQ64</f>
        <v>12</v>
      </c>
      <c r="BX49" s="135">
        <f t="shared" ref="BX49:BX73" si="93">AR35-AR64</f>
        <v>11</v>
      </c>
      <c r="BY49" s="135">
        <f t="shared" ref="BY49:BY73" si="94">AS35-AS64</f>
        <v>10</v>
      </c>
      <c r="BZ49" s="135">
        <f t="shared" ref="BZ49:BZ73" si="95">AT35-AT64</f>
        <v>8</v>
      </c>
      <c r="CA49" s="135">
        <f t="shared" ref="CA49:CA73" si="96">AU35-AU64</f>
        <v>7</v>
      </c>
      <c r="CB49" s="135">
        <f t="shared" ref="CB49:CB73" si="97">AV35-AV64</f>
        <v>5</v>
      </c>
      <c r="CC49" s="135">
        <f t="shared" ref="CC49:CC73" si="98">AW35-AW64</f>
        <v>4</v>
      </c>
      <c r="CD49" s="135">
        <f t="shared" ref="CD49:CD73" si="99">AX35-AX64</f>
        <v>3</v>
      </c>
      <c r="CE49" s="135">
        <f t="shared" ref="CE49:CE73" si="100">AY35-AY64</f>
        <v>3</v>
      </c>
      <c r="CF49" s="135">
        <f t="shared" ref="CF49:CF73" si="101">AZ35-AZ64</f>
        <v>3</v>
      </c>
      <c r="CG49" s="135">
        <f t="shared" ref="CG49:CG73" si="102">BA35-BA64</f>
        <v>3</v>
      </c>
      <c r="CH49" s="135">
        <f t="shared" ref="CH49:CH73" si="103">BB35-BB64</f>
        <v>3</v>
      </c>
      <c r="CI49" s="135">
        <f t="shared" ref="CI49:CI73" si="104">BC35-BC64</f>
        <v>3</v>
      </c>
      <c r="CJ49" s="135">
        <f t="shared" ref="CJ49:CJ73" si="105">BD35-BD64</f>
        <v>3</v>
      </c>
      <c r="CK49" s="134">
        <f t="shared" ref="CK49:CK73" si="106">BE35-BE64</f>
        <v>3</v>
      </c>
    </row>
    <row r="50" spans="26:90" s="144" customFormat="1" ht="16.5" customHeight="1">
      <c r="Z50" s="374"/>
      <c r="AA50" s="127">
        <v>5000</v>
      </c>
      <c r="AB50" s="124">
        <v>38</v>
      </c>
      <c r="AC50" s="123">
        <v>38</v>
      </c>
      <c r="AD50" s="123">
        <v>38</v>
      </c>
      <c r="AE50" s="123">
        <v>38</v>
      </c>
      <c r="AF50" s="123">
        <v>38</v>
      </c>
      <c r="AG50" s="123">
        <v>34</v>
      </c>
      <c r="AH50" s="123">
        <v>33</v>
      </c>
      <c r="AI50" s="123">
        <v>32</v>
      </c>
      <c r="AJ50" s="123">
        <v>31</v>
      </c>
      <c r="AK50" s="123">
        <v>30</v>
      </c>
      <c r="AL50" s="123">
        <v>24</v>
      </c>
      <c r="AM50" s="123">
        <v>19</v>
      </c>
      <c r="AN50" s="123">
        <v>18</v>
      </c>
      <c r="AO50" s="123">
        <v>14</v>
      </c>
      <c r="AP50" s="123">
        <v>13</v>
      </c>
      <c r="AQ50" s="123">
        <v>12</v>
      </c>
      <c r="AR50" s="123">
        <v>11</v>
      </c>
      <c r="AS50" s="123">
        <v>11</v>
      </c>
      <c r="AT50" s="123">
        <v>11</v>
      </c>
      <c r="AU50" s="123">
        <v>10</v>
      </c>
      <c r="AV50" s="123">
        <v>9</v>
      </c>
      <c r="AW50" s="123">
        <v>8</v>
      </c>
      <c r="AX50" s="123">
        <v>8</v>
      </c>
      <c r="AY50" s="123">
        <v>7</v>
      </c>
      <c r="AZ50" s="123">
        <v>7</v>
      </c>
      <c r="BA50" s="123">
        <v>6</v>
      </c>
      <c r="BB50" s="123">
        <v>5</v>
      </c>
      <c r="BC50" s="123">
        <v>5</v>
      </c>
      <c r="BD50" s="123">
        <v>5</v>
      </c>
      <c r="BE50" s="123">
        <v>5</v>
      </c>
      <c r="BG50" s="145">
        <v>1000</v>
      </c>
      <c r="BH50" s="131">
        <f t="shared" si="77"/>
        <v>8</v>
      </c>
      <c r="BI50" s="123">
        <f t="shared" si="78"/>
        <v>8</v>
      </c>
      <c r="BJ50" s="123">
        <f t="shared" si="79"/>
        <v>8</v>
      </c>
      <c r="BK50" s="123">
        <f t="shared" si="80"/>
        <v>8</v>
      </c>
      <c r="BL50" s="123">
        <f t="shared" si="81"/>
        <v>3</v>
      </c>
      <c r="BM50" s="123">
        <f t="shared" si="82"/>
        <v>-2</v>
      </c>
      <c r="BN50" s="123">
        <f t="shared" si="83"/>
        <v>-2</v>
      </c>
      <c r="BO50" s="123">
        <f t="shared" si="84"/>
        <v>2</v>
      </c>
      <c r="BP50" s="123">
        <f t="shared" si="85"/>
        <v>3</v>
      </c>
      <c r="BQ50" s="123">
        <f t="shared" si="86"/>
        <v>4</v>
      </c>
      <c r="BR50" s="123">
        <f t="shared" si="87"/>
        <v>4</v>
      </c>
      <c r="BS50" s="123">
        <f t="shared" si="88"/>
        <v>5</v>
      </c>
      <c r="BT50" s="123">
        <f t="shared" si="89"/>
        <v>7</v>
      </c>
      <c r="BU50" s="123">
        <f t="shared" si="90"/>
        <v>9</v>
      </c>
      <c r="BV50" s="123">
        <f t="shared" si="91"/>
        <v>12</v>
      </c>
      <c r="BW50" s="123">
        <f t="shared" si="92"/>
        <v>13</v>
      </c>
      <c r="BX50" s="123">
        <f t="shared" si="93"/>
        <v>12</v>
      </c>
      <c r="BY50" s="123">
        <f t="shared" si="94"/>
        <v>10</v>
      </c>
      <c r="BZ50" s="123">
        <f t="shared" si="95"/>
        <v>9</v>
      </c>
      <c r="CA50" s="123">
        <f t="shared" si="96"/>
        <v>8</v>
      </c>
      <c r="CB50" s="123">
        <f t="shared" si="97"/>
        <v>6</v>
      </c>
      <c r="CC50" s="123">
        <f t="shared" si="98"/>
        <v>5</v>
      </c>
      <c r="CD50" s="123">
        <f t="shared" si="99"/>
        <v>4</v>
      </c>
      <c r="CE50" s="123">
        <f t="shared" si="100"/>
        <v>4</v>
      </c>
      <c r="CF50" s="123">
        <f t="shared" si="101"/>
        <v>4</v>
      </c>
      <c r="CG50" s="123">
        <f t="shared" si="102"/>
        <v>4</v>
      </c>
      <c r="CH50" s="123">
        <f t="shared" si="103"/>
        <v>4</v>
      </c>
      <c r="CI50" s="123">
        <f t="shared" si="104"/>
        <v>4</v>
      </c>
      <c r="CJ50" s="123">
        <f t="shared" si="105"/>
        <v>4</v>
      </c>
      <c r="CK50" s="122">
        <f t="shared" si="106"/>
        <v>4</v>
      </c>
    </row>
    <row r="51" spans="26:90" s="144" customFormat="1" ht="16.5" customHeight="1">
      <c r="Z51" s="374"/>
      <c r="AA51" s="127">
        <v>5250</v>
      </c>
      <c r="AB51" s="124">
        <v>38</v>
      </c>
      <c r="AC51" s="123">
        <v>38</v>
      </c>
      <c r="AD51" s="123">
        <v>38</v>
      </c>
      <c r="AE51" s="123">
        <v>38</v>
      </c>
      <c r="AF51" s="123">
        <v>38</v>
      </c>
      <c r="AG51" s="123">
        <v>34</v>
      </c>
      <c r="AH51" s="123">
        <v>33</v>
      </c>
      <c r="AI51" s="123">
        <v>32</v>
      </c>
      <c r="AJ51" s="123">
        <v>31</v>
      </c>
      <c r="AK51" s="123">
        <v>30</v>
      </c>
      <c r="AL51" s="123">
        <v>26</v>
      </c>
      <c r="AM51" s="123">
        <v>20</v>
      </c>
      <c r="AN51" s="123">
        <v>19</v>
      </c>
      <c r="AO51" s="123">
        <v>16</v>
      </c>
      <c r="AP51" s="123">
        <v>14</v>
      </c>
      <c r="AQ51" s="123">
        <v>14</v>
      </c>
      <c r="AR51" s="123">
        <v>12</v>
      </c>
      <c r="AS51" s="123">
        <v>12</v>
      </c>
      <c r="AT51" s="123">
        <v>12</v>
      </c>
      <c r="AU51" s="123">
        <v>11</v>
      </c>
      <c r="AV51" s="123">
        <v>10</v>
      </c>
      <c r="AW51" s="123">
        <v>9</v>
      </c>
      <c r="AX51" s="123">
        <v>9</v>
      </c>
      <c r="AY51" s="123">
        <v>8</v>
      </c>
      <c r="AZ51" s="123">
        <v>8</v>
      </c>
      <c r="BA51" s="123">
        <v>7</v>
      </c>
      <c r="BB51" s="123">
        <v>7</v>
      </c>
      <c r="BC51" s="123">
        <v>7</v>
      </c>
      <c r="BD51" s="123">
        <v>7</v>
      </c>
      <c r="BE51" s="123">
        <v>7</v>
      </c>
      <c r="BG51" s="145">
        <v>1500</v>
      </c>
      <c r="BH51" s="131">
        <f t="shared" si="77"/>
        <v>0</v>
      </c>
      <c r="BI51" s="123">
        <f t="shared" si="78"/>
        <v>0</v>
      </c>
      <c r="BJ51" s="123">
        <f t="shared" si="79"/>
        <v>0</v>
      </c>
      <c r="BK51" s="123">
        <f t="shared" si="80"/>
        <v>0</v>
      </c>
      <c r="BL51" s="123">
        <f t="shared" si="81"/>
        <v>-2</v>
      </c>
      <c r="BM51" s="123">
        <f t="shared" si="82"/>
        <v>-6</v>
      </c>
      <c r="BN51" s="123">
        <f t="shared" si="83"/>
        <v>-7</v>
      </c>
      <c r="BO51" s="123">
        <f t="shared" si="84"/>
        <v>-5</v>
      </c>
      <c r="BP51" s="123">
        <f t="shared" si="85"/>
        <v>-1</v>
      </c>
      <c r="BQ51" s="123">
        <f t="shared" si="86"/>
        <v>-1</v>
      </c>
      <c r="BR51" s="123">
        <f t="shared" si="87"/>
        <v>0</v>
      </c>
      <c r="BS51" s="123">
        <f t="shared" si="88"/>
        <v>1</v>
      </c>
      <c r="BT51" s="123">
        <f t="shared" si="89"/>
        <v>3</v>
      </c>
      <c r="BU51" s="123">
        <f t="shared" si="90"/>
        <v>5</v>
      </c>
      <c r="BV51" s="123">
        <f t="shared" si="91"/>
        <v>8</v>
      </c>
      <c r="BW51" s="123">
        <f t="shared" si="92"/>
        <v>10</v>
      </c>
      <c r="BX51" s="123">
        <f t="shared" si="93"/>
        <v>10</v>
      </c>
      <c r="BY51" s="123">
        <f t="shared" si="94"/>
        <v>11</v>
      </c>
      <c r="BZ51" s="123">
        <f t="shared" si="95"/>
        <v>11</v>
      </c>
      <c r="CA51" s="123">
        <f t="shared" si="96"/>
        <v>11</v>
      </c>
      <c r="CB51" s="123">
        <f t="shared" si="97"/>
        <v>9</v>
      </c>
      <c r="CC51" s="123">
        <f t="shared" si="98"/>
        <v>8</v>
      </c>
      <c r="CD51" s="123">
        <f t="shared" si="99"/>
        <v>8</v>
      </c>
      <c r="CE51" s="123">
        <f t="shared" si="100"/>
        <v>8</v>
      </c>
      <c r="CF51" s="123">
        <f t="shared" si="101"/>
        <v>8</v>
      </c>
      <c r="CG51" s="123">
        <f t="shared" si="102"/>
        <v>8</v>
      </c>
      <c r="CH51" s="123">
        <f t="shared" si="103"/>
        <v>8</v>
      </c>
      <c r="CI51" s="123">
        <f t="shared" si="104"/>
        <v>8</v>
      </c>
      <c r="CJ51" s="123">
        <f t="shared" si="105"/>
        <v>8</v>
      </c>
      <c r="CK51" s="122">
        <f t="shared" si="106"/>
        <v>8</v>
      </c>
    </row>
    <row r="52" spans="26:90" s="144" customFormat="1" ht="16.5" customHeight="1">
      <c r="Z52" s="374"/>
      <c r="AA52" s="127">
        <v>5500</v>
      </c>
      <c r="AB52" s="124">
        <v>38</v>
      </c>
      <c r="AC52" s="123">
        <v>38</v>
      </c>
      <c r="AD52" s="123">
        <v>38</v>
      </c>
      <c r="AE52" s="123">
        <v>38</v>
      </c>
      <c r="AF52" s="123">
        <v>38</v>
      </c>
      <c r="AG52" s="123">
        <v>35</v>
      </c>
      <c r="AH52" s="123">
        <v>34</v>
      </c>
      <c r="AI52" s="123">
        <v>33</v>
      </c>
      <c r="AJ52" s="123">
        <v>32</v>
      </c>
      <c r="AK52" s="123">
        <v>31</v>
      </c>
      <c r="AL52" s="123">
        <v>27</v>
      </c>
      <c r="AM52" s="123">
        <v>21</v>
      </c>
      <c r="AN52" s="123">
        <v>20</v>
      </c>
      <c r="AO52" s="123">
        <v>17</v>
      </c>
      <c r="AP52" s="123">
        <v>15</v>
      </c>
      <c r="AQ52" s="123">
        <v>15</v>
      </c>
      <c r="AR52" s="123">
        <v>14</v>
      </c>
      <c r="AS52" s="123">
        <v>13</v>
      </c>
      <c r="AT52" s="123">
        <v>13</v>
      </c>
      <c r="AU52" s="123">
        <v>12</v>
      </c>
      <c r="AV52" s="123">
        <v>11</v>
      </c>
      <c r="AW52" s="123">
        <v>10</v>
      </c>
      <c r="AX52" s="123">
        <v>10</v>
      </c>
      <c r="AY52" s="123">
        <v>9</v>
      </c>
      <c r="AZ52" s="123">
        <v>9</v>
      </c>
      <c r="BA52" s="123">
        <v>8</v>
      </c>
      <c r="BB52" s="123">
        <v>8</v>
      </c>
      <c r="BC52" s="123">
        <v>8</v>
      </c>
      <c r="BD52" s="123">
        <v>8</v>
      </c>
      <c r="BE52" s="123">
        <v>8</v>
      </c>
      <c r="BG52" s="145">
        <v>2000</v>
      </c>
      <c r="BH52" s="131">
        <f t="shared" si="77"/>
        <v>-12</v>
      </c>
      <c r="BI52" s="123">
        <f t="shared" si="78"/>
        <v>-12</v>
      </c>
      <c r="BJ52" s="123">
        <f t="shared" si="79"/>
        <v>-12</v>
      </c>
      <c r="BK52" s="123">
        <f t="shared" si="80"/>
        <v>-12</v>
      </c>
      <c r="BL52" s="123">
        <f t="shared" si="81"/>
        <v>-12</v>
      </c>
      <c r="BM52" s="123">
        <f t="shared" si="82"/>
        <v>-12</v>
      </c>
      <c r="BN52" s="123">
        <f t="shared" si="83"/>
        <v>-10</v>
      </c>
      <c r="BO52" s="123">
        <f t="shared" si="84"/>
        <v>-7</v>
      </c>
      <c r="BP52" s="123">
        <f t="shared" si="85"/>
        <v>-5</v>
      </c>
      <c r="BQ52" s="123">
        <f t="shared" si="86"/>
        <v>-4</v>
      </c>
      <c r="BR52" s="123">
        <f t="shared" si="87"/>
        <v>-1</v>
      </c>
      <c r="BS52" s="123">
        <f t="shared" si="88"/>
        <v>-2</v>
      </c>
      <c r="BT52" s="123">
        <f t="shared" si="89"/>
        <v>0</v>
      </c>
      <c r="BU52" s="123">
        <f t="shared" si="90"/>
        <v>3</v>
      </c>
      <c r="BV52" s="123">
        <f t="shared" si="91"/>
        <v>5</v>
      </c>
      <c r="BW52" s="123">
        <f t="shared" si="92"/>
        <v>7</v>
      </c>
      <c r="BX52" s="123">
        <f t="shared" si="93"/>
        <v>7</v>
      </c>
      <c r="BY52" s="123">
        <f t="shared" si="94"/>
        <v>8</v>
      </c>
      <c r="BZ52" s="123">
        <f t="shared" si="95"/>
        <v>8</v>
      </c>
      <c r="CA52" s="123">
        <f t="shared" si="96"/>
        <v>9</v>
      </c>
      <c r="CB52" s="123">
        <f t="shared" si="97"/>
        <v>9</v>
      </c>
      <c r="CC52" s="123">
        <f t="shared" si="98"/>
        <v>9</v>
      </c>
      <c r="CD52" s="123">
        <f t="shared" si="99"/>
        <v>9</v>
      </c>
      <c r="CE52" s="123">
        <f t="shared" si="100"/>
        <v>9</v>
      </c>
      <c r="CF52" s="123">
        <f t="shared" si="101"/>
        <v>9</v>
      </c>
      <c r="CG52" s="123">
        <f t="shared" si="102"/>
        <v>9</v>
      </c>
      <c r="CH52" s="123">
        <f t="shared" si="103"/>
        <v>9</v>
      </c>
      <c r="CI52" s="123">
        <f t="shared" si="104"/>
        <v>9</v>
      </c>
      <c r="CJ52" s="123">
        <f t="shared" si="105"/>
        <v>9</v>
      </c>
      <c r="CK52" s="122">
        <f t="shared" si="106"/>
        <v>9</v>
      </c>
    </row>
    <row r="53" spans="26:90" s="144" customFormat="1" ht="16.5" customHeight="1">
      <c r="Z53" s="374"/>
      <c r="AA53" s="126">
        <v>5750</v>
      </c>
      <c r="AB53" s="124">
        <v>38</v>
      </c>
      <c r="AC53" s="123">
        <v>38</v>
      </c>
      <c r="AD53" s="123">
        <v>38</v>
      </c>
      <c r="AE53" s="123">
        <v>38</v>
      </c>
      <c r="AF53" s="123">
        <v>38</v>
      </c>
      <c r="AG53" s="123">
        <v>35</v>
      </c>
      <c r="AH53" s="123">
        <v>34</v>
      </c>
      <c r="AI53" s="123">
        <v>33</v>
      </c>
      <c r="AJ53" s="123">
        <v>32</v>
      </c>
      <c r="AK53" s="123">
        <v>31</v>
      </c>
      <c r="AL53" s="123">
        <v>28</v>
      </c>
      <c r="AM53" s="123">
        <v>22</v>
      </c>
      <c r="AN53" s="123">
        <v>21</v>
      </c>
      <c r="AO53" s="123">
        <v>18</v>
      </c>
      <c r="AP53" s="123">
        <v>16</v>
      </c>
      <c r="AQ53" s="123">
        <v>16</v>
      </c>
      <c r="AR53" s="123">
        <v>16</v>
      </c>
      <c r="AS53" s="123">
        <v>14</v>
      </c>
      <c r="AT53" s="123">
        <v>14</v>
      </c>
      <c r="AU53" s="123">
        <v>13</v>
      </c>
      <c r="AV53" s="123">
        <v>12</v>
      </c>
      <c r="AW53" s="123">
        <v>12</v>
      </c>
      <c r="AX53" s="123">
        <v>11</v>
      </c>
      <c r="AY53" s="123">
        <v>11</v>
      </c>
      <c r="AZ53" s="123">
        <v>11</v>
      </c>
      <c r="BA53" s="123">
        <v>10</v>
      </c>
      <c r="BB53" s="123">
        <v>10</v>
      </c>
      <c r="BC53" s="123">
        <v>9</v>
      </c>
      <c r="BD53" s="123">
        <v>9</v>
      </c>
      <c r="BE53" s="123">
        <v>9</v>
      </c>
      <c r="BG53" s="143">
        <v>2250</v>
      </c>
      <c r="BH53" s="131">
        <f t="shared" si="77"/>
        <v>-4</v>
      </c>
      <c r="BI53" s="123">
        <f t="shared" si="78"/>
        <v>-4</v>
      </c>
      <c r="BJ53" s="123">
        <f t="shared" si="79"/>
        <v>-4</v>
      </c>
      <c r="BK53" s="123">
        <f t="shared" si="80"/>
        <v>-5</v>
      </c>
      <c r="BL53" s="123">
        <f t="shared" si="81"/>
        <v>-5</v>
      </c>
      <c r="BM53" s="123">
        <f t="shared" si="82"/>
        <v>-4</v>
      </c>
      <c r="BN53" s="123">
        <f t="shared" si="83"/>
        <v>-4</v>
      </c>
      <c r="BO53" s="123">
        <f t="shared" si="84"/>
        <v>-1</v>
      </c>
      <c r="BP53" s="123">
        <f t="shared" si="85"/>
        <v>-3</v>
      </c>
      <c r="BQ53" s="123">
        <f t="shared" si="86"/>
        <v>-3</v>
      </c>
      <c r="BR53" s="123">
        <f t="shared" si="87"/>
        <v>0</v>
      </c>
      <c r="BS53" s="123">
        <f t="shared" si="88"/>
        <v>0</v>
      </c>
      <c r="BT53" s="123">
        <f t="shared" si="89"/>
        <v>1</v>
      </c>
      <c r="BU53" s="123">
        <f t="shared" si="90"/>
        <v>3</v>
      </c>
      <c r="BV53" s="123">
        <f t="shared" si="91"/>
        <v>5</v>
      </c>
      <c r="BW53" s="123">
        <f t="shared" si="92"/>
        <v>6</v>
      </c>
      <c r="BX53" s="123">
        <f t="shared" si="93"/>
        <v>7</v>
      </c>
      <c r="BY53" s="123">
        <f t="shared" si="94"/>
        <v>8</v>
      </c>
      <c r="BZ53" s="123">
        <f t="shared" si="95"/>
        <v>9</v>
      </c>
      <c r="CA53" s="123">
        <f t="shared" si="96"/>
        <v>10</v>
      </c>
      <c r="CB53" s="123">
        <f t="shared" si="97"/>
        <v>11</v>
      </c>
      <c r="CC53" s="123">
        <f t="shared" si="98"/>
        <v>9</v>
      </c>
      <c r="CD53" s="123">
        <f t="shared" si="99"/>
        <v>10</v>
      </c>
      <c r="CE53" s="123">
        <f t="shared" si="100"/>
        <v>10</v>
      </c>
      <c r="CF53" s="123">
        <f t="shared" si="101"/>
        <v>9</v>
      </c>
      <c r="CG53" s="123">
        <f t="shared" si="102"/>
        <v>9</v>
      </c>
      <c r="CH53" s="123">
        <f t="shared" si="103"/>
        <v>9</v>
      </c>
      <c r="CI53" s="123">
        <f t="shared" si="104"/>
        <v>9</v>
      </c>
      <c r="CJ53" s="123">
        <f t="shared" si="105"/>
        <v>9</v>
      </c>
      <c r="CK53" s="122">
        <f t="shared" si="106"/>
        <v>9</v>
      </c>
    </row>
    <row r="54" spans="26:90" s="144" customFormat="1" ht="16.5" customHeight="1">
      <c r="Z54" s="374"/>
      <c r="AA54" s="125">
        <v>6000</v>
      </c>
      <c r="AB54" s="131">
        <v>38</v>
      </c>
      <c r="AC54" s="123">
        <v>38</v>
      </c>
      <c r="AD54" s="123">
        <v>38</v>
      </c>
      <c r="AE54" s="123">
        <v>38</v>
      </c>
      <c r="AF54" s="123">
        <v>38</v>
      </c>
      <c r="AG54" s="123">
        <v>35</v>
      </c>
      <c r="AH54" s="123">
        <v>34</v>
      </c>
      <c r="AI54" s="123">
        <v>33</v>
      </c>
      <c r="AJ54" s="123">
        <v>32</v>
      </c>
      <c r="AK54" s="123">
        <v>31</v>
      </c>
      <c r="AL54" s="123">
        <v>28</v>
      </c>
      <c r="AM54" s="123">
        <v>23</v>
      </c>
      <c r="AN54" s="123">
        <v>22</v>
      </c>
      <c r="AO54" s="123">
        <v>19</v>
      </c>
      <c r="AP54" s="123">
        <v>17</v>
      </c>
      <c r="AQ54" s="123">
        <v>17</v>
      </c>
      <c r="AR54" s="123">
        <v>17</v>
      </c>
      <c r="AS54" s="123">
        <v>15</v>
      </c>
      <c r="AT54" s="123">
        <v>15</v>
      </c>
      <c r="AU54" s="123">
        <v>14</v>
      </c>
      <c r="AV54" s="123">
        <v>13</v>
      </c>
      <c r="AW54" s="123">
        <v>13</v>
      </c>
      <c r="AX54" s="123">
        <v>12</v>
      </c>
      <c r="AY54" s="123">
        <v>12</v>
      </c>
      <c r="AZ54" s="123">
        <v>12</v>
      </c>
      <c r="BA54" s="123">
        <v>11</v>
      </c>
      <c r="BB54" s="123">
        <v>11</v>
      </c>
      <c r="BC54" s="123">
        <v>10</v>
      </c>
      <c r="BD54" s="123">
        <v>10</v>
      </c>
      <c r="BE54" s="123">
        <v>10</v>
      </c>
      <c r="BG54" s="143">
        <v>2500</v>
      </c>
      <c r="BH54" s="131">
        <f t="shared" si="77"/>
        <v>-2</v>
      </c>
      <c r="BI54" s="123">
        <f t="shared" si="78"/>
        <v>-2</v>
      </c>
      <c r="BJ54" s="123">
        <f t="shared" si="79"/>
        <v>-2</v>
      </c>
      <c r="BK54" s="123">
        <f t="shared" si="80"/>
        <v>-4</v>
      </c>
      <c r="BL54" s="123">
        <f t="shared" si="81"/>
        <v>-3</v>
      </c>
      <c r="BM54" s="123">
        <f t="shared" si="82"/>
        <v>-1</v>
      </c>
      <c r="BN54" s="123">
        <f t="shared" si="83"/>
        <v>-2</v>
      </c>
      <c r="BO54" s="123">
        <f t="shared" si="84"/>
        <v>1</v>
      </c>
      <c r="BP54" s="123">
        <f t="shared" si="85"/>
        <v>-3</v>
      </c>
      <c r="BQ54" s="123">
        <f t="shared" si="86"/>
        <v>-4</v>
      </c>
      <c r="BR54" s="123">
        <f t="shared" si="87"/>
        <v>-2</v>
      </c>
      <c r="BS54" s="123">
        <f t="shared" si="88"/>
        <v>1</v>
      </c>
      <c r="BT54" s="123">
        <f t="shared" si="89"/>
        <v>2</v>
      </c>
      <c r="BU54" s="123">
        <f t="shared" si="90"/>
        <v>3</v>
      </c>
      <c r="BV54" s="123">
        <f t="shared" si="91"/>
        <v>5</v>
      </c>
      <c r="BW54" s="123">
        <f t="shared" si="92"/>
        <v>6</v>
      </c>
      <c r="BX54" s="123">
        <f t="shared" si="93"/>
        <v>7</v>
      </c>
      <c r="BY54" s="123">
        <f t="shared" si="94"/>
        <v>9</v>
      </c>
      <c r="BZ54" s="123">
        <f t="shared" si="95"/>
        <v>9</v>
      </c>
      <c r="CA54" s="123">
        <f t="shared" si="96"/>
        <v>10</v>
      </c>
      <c r="CB54" s="123">
        <f t="shared" si="97"/>
        <v>10</v>
      </c>
      <c r="CC54" s="123">
        <f t="shared" si="98"/>
        <v>10</v>
      </c>
      <c r="CD54" s="123">
        <f t="shared" si="99"/>
        <v>10</v>
      </c>
      <c r="CE54" s="123">
        <f t="shared" si="100"/>
        <v>11</v>
      </c>
      <c r="CF54" s="123">
        <f t="shared" si="101"/>
        <v>9</v>
      </c>
      <c r="CG54" s="123">
        <f t="shared" si="102"/>
        <v>9</v>
      </c>
      <c r="CH54" s="123">
        <f t="shared" si="103"/>
        <v>9</v>
      </c>
      <c r="CI54" s="123">
        <f t="shared" si="104"/>
        <v>9</v>
      </c>
      <c r="CJ54" s="123">
        <f t="shared" si="105"/>
        <v>9</v>
      </c>
      <c r="CK54" s="122">
        <f t="shared" si="106"/>
        <v>9</v>
      </c>
      <c r="CL54" s="117"/>
    </row>
    <row r="55" spans="26:90" ht="16.5" customHeight="1">
      <c r="Z55" s="374"/>
      <c r="AA55" s="125">
        <v>6250</v>
      </c>
      <c r="AB55" s="131">
        <v>38</v>
      </c>
      <c r="AC55" s="123">
        <v>38</v>
      </c>
      <c r="AD55" s="123">
        <v>38</v>
      </c>
      <c r="AE55" s="123">
        <v>38</v>
      </c>
      <c r="AF55" s="123">
        <v>38</v>
      </c>
      <c r="AG55" s="123">
        <v>36</v>
      </c>
      <c r="AH55" s="123">
        <v>35</v>
      </c>
      <c r="AI55" s="123">
        <v>34</v>
      </c>
      <c r="AJ55" s="123">
        <v>33</v>
      </c>
      <c r="AK55" s="123">
        <v>32</v>
      </c>
      <c r="AL55" s="123">
        <v>29</v>
      </c>
      <c r="AM55" s="123">
        <v>24</v>
      </c>
      <c r="AN55" s="123">
        <v>23</v>
      </c>
      <c r="AO55" s="123">
        <v>20</v>
      </c>
      <c r="AP55" s="123">
        <v>18</v>
      </c>
      <c r="AQ55" s="123">
        <v>18</v>
      </c>
      <c r="AR55" s="123">
        <v>18</v>
      </c>
      <c r="AS55" s="123">
        <v>17</v>
      </c>
      <c r="AT55" s="123">
        <v>17</v>
      </c>
      <c r="AU55" s="123">
        <v>16</v>
      </c>
      <c r="AV55" s="123">
        <v>15</v>
      </c>
      <c r="AW55" s="123">
        <v>15</v>
      </c>
      <c r="AX55" s="123">
        <v>14</v>
      </c>
      <c r="AY55" s="123">
        <v>14</v>
      </c>
      <c r="AZ55" s="123">
        <v>13</v>
      </c>
      <c r="BA55" s="123">
        <v>12</v>
      </c>
      <c r="BB55" s="123">
        <v>12</v>
      </c>
      <c r="BC55" s="123">
        <v>11</v>
      </c>
      <c r="BD55" s="123">
        <v>11</v>
      </c>
      <c r="BE55" s="123">
        <v>11</v>
      </c>
      <c r="BG55" s="143">
        <v>2750</v>
      </c>
      <c r="BH55" s="131">
        <f t="shared" si="77"/>
        <v>0</v>
      </c>
      <c r="BI55" s="123">
        <f t="shared" si="78"/>
        <v>0</v>
      </c>
      <c r="BJ55" s="123">
        <f t="shared" si="79"/>
        <v>0</v>
      </c>
      <c r="BK55" s="123">
        <f t="shared" si="80"/>
        <v>-2</v>
      </c>
      <c r="BL55" s="123">
        <f t="shared" si="81"/>
        <v>-1</v>
      </c>
      <c r="BM55" s="123">
        <f t="shared" si="82"/>
        <v>1</v>
      </c>
      <c r="BN55" s="123">
        <f t="shared" si="83"/>
        <v>-1</v>
      </c>
      <c r="BO55" s="123">
        <f t="shared" si="84"/>
        <v>2</v>
      </c>
      <c r="BP55" s="123">
        <f t="shared" si="85"/>
        <v>-3</v>
      </c>
      <c r="BQ55" s="123">
        <f t="shared" si="86"/>
        <v>-1</v>
      </c>
      <c r="BR55" s="123">
        <f t="shared" si="87"/>
        <v>-1</v>
      </c>
      <c r="BS55" s="123">
        <f t="shared" si="88"/>
        <v>1</v>
      </c>
      <c r="BT55" s="123">
        <f t="shared" si="89"/>
        <v>3</v>
      </c>
      <c r="BU55" s="123">
        <f t="shared" si="90"/>
        <v>3</v>
      </c>
      <c r="BV55" s="123">
        <f t="shared" si="91"/>
        <v>5</v>
      </c>
      <c r="BW55" s="123">
        <f t="shared" si="92"/>
        <v>6</v>
      </c>
      <c r="BX55" s="123">
        <f t="shared" si="93"/>
        <v>7</v>
      </c>
      <c r="BY55" s="123">
        <f t="shared" si="94"/>
        <v>8</v>
      </c>
      <c r="BZ55" s="123">
        <f t="shared" si="95"/>
        <v>9</v>
      </c>
      <c r="CA55" s="123">
        <f t="shared" si="96"/>
        <v>9</v>
      </c>
      <c r="CB55" s="123">
        <f t="shared" si="97"/>
        <v>10</v>
      </c>
      <c r="CC55" s="123">
        <f t="shared" si="98"/>
        <v>11</v>
      </c>
      <c r="CD55" s="123">
        <f t="shared" si="99"/>
        <v>11</v>
      </c>
      <c r="CE55" s="123">
        <f t="shared" si="100"/>
        <v>11</v>
      </c>
      <c r="CF55" s="123">
        <f t="shared" si="101"/>
        <v>11</v>
      </c>
      <c r="CG55" s="123">
        <f t="shared" si="102"/>
        <v>11</v>
      </c>
      <c r="CH55" s="123">
        <f t="shared" si="103"/>
        <v>11</v>
      </c>
      <c r="CI55" s="123">
        <f t="shared" si="104"/>
        <v>10</v>
      </c>
      <c r="CJ55" s="123">
        <f t="shared" si="105"/>
        <v>10</v>
      </c>
      <c r="CK55" s="122">
        <f t="shared" si="106"/>
        <v>10</v>
      </c>
    </row>
    <row r="56" spans="26:90" ht="16.5" customHeight="1">
      <c r="Z56" s="374"/>
      <c r="AA56" s="125">
        <v>6500</v>
      </c>
      <c r="AB56" s="131">
        <v>38</v>
      </c>
      <c r="AC56" s="123">
        <v>38</v>
      </c>
      <c r="AD56" s="123">
        <v>38</v>
      </c>
      <c r="AE56" s="123">
        <v>38</v>
      </c>
      <c r="AF56" s="123">
        <v>38</v>
      </c>
      <c r="AG56" s="123">
        <v>36</v>
      </c>
      <c r="AH56" s="123">
        <v>35</v>
      </c>
      <c r="AI56" s="123">
        <v>34</v>
      </c>
      <c r="AJ56" s="123">
        <v>33</v>
      </c>
      <c r="AK56" s="123">
        <v>32</v>
      </c>
      <c r="AL56" s="123">
        <v>29</v>
      </c>
      <c r="AM56" s="123">
        <v>25</v>
      </c>
      <c r="AN56" s="123">
        <v>24</v>
      </c>
      <c r="AO56" s="123">
        <v>21</v>
      </c>
      <c r="AP56" s="123">
        <v>19</v>
      </c>
      <c r="AQ56" s="123">
        <v>19</v>
      </c>
      <c r="AR56" s="123">
        <v>18</v>
      </c>
      <c r="AS56" s="123">
        <v>18</v>
      </c>
      <c r="AT56" s="123">
        <v>18</v>
      </c>
      <c r="AU56" s="123">
        <v>18</v>
      </c>
      <c r="AV56" s="123">
        <v>17</v>
      </c>
      <c r="AW56" s="123">
        <v>17</v>
      </c>
      <c r="AX56" s="123">
        <v>16</v>
      </c>
      <c r="AY56" s="123">
        <v>16</v>
      </c>
      <c r="AZ56" s="123">
        <v>15</v>
      </c>
      <c r="BA56" s="123">
        <v>14</v>
      </c>
      <c r="BB56" s="123">
        <v>14</v>
      </c>
      <c r="BC56" s="123">
        <v>12</v>
      </c>
      <c r="BD56" s="123">
        <v>12</v>
      </c>
      <c r="BE56" s="123">
        <v>11</v>
      </c>
      <c r="BG56" s="143">
        <v>3000</v>
      </c>
      <c r="BH56" s="131">
        <f t="shared" si="77"/>
        <v>1</v>
      </c>
      <c r="BI56" s="123">
        <f t="shared" si="78"/>
        <v>1</v>
      </c>
      <c r="BJ56" s="123">
        <f t="shared" si="79"/>
        <v>1</v>
      </c>
      <c r="BK56" s="123">
        <f t="shared" si="80"/>
        <v>0</v>
      </c>
      <c r="BL56" s="123">
        <f t="shared" si="81"/>
        <v>1</v>
      </c>
      <c r="BM56" s="123">
        <f t="shared" si="82"/>
        <v>3</v>
      </c>
      <c r="BN56" s="123">
        <f t="shared" si="83"/>
        <v>1</v>
      </c>
      <c r="BO56" s="123">
        <f t="shared" si="84"/>
        <v>2</v>
      </c>
      <c r="BP56" s="123">
        <f t="shared" si="85"/>
        <v>-1</v>
      </c>
      <c r="BQ56" s="123">
        <f t="shared" si="86"/>
        <v>0</v>
      </c>
      <c r="BR56" s="123">
        <f t="shared" si="87"/>
        <v>0</v>
      </c>
      <c r="BS56" s="123">
        <f t="shared" si="88"/>
        <v>2</v>
      </c>
      <c r="BT56" s="123">
        <f t="shared" si="89"/>
        <v>3</v>
      </c>
      <c r="BU56" s="123">
        <f t="shared" si="90"/>
        <v>5</v>
      </c>
      <c r="BV56" s="123">
        <f t="shared" si="91"/>
        <v>5</v>
      </c>
      <c r="BW56" s="123">
        <f t="shared" si="92"/>
        <v>6</v>
      </c>
      <c r="BX56" s="123">
        <f t="shared" si="93"/>
        <v>6</v>
      </c>
      <c r="BY56" s="123">
        <f t="shared" si="94"/>
        <v>8</v>
      </c>
      <c r="BZ56" s="123">
        <f t="shared" si="95"/>
        <v>8</v>
      </c>
      <c r="CA56" s="123">
        <f t="shared" si="96"/>
        <v>9</v>
      </c>
      <c r="CB56" s="123">
        <f t="shared" si="97"/>
        <v>10</v>
      </c>
      <c r="CC56" s="123">
        <f t="shared" si="98"/>
        <v>11</v>
      </c>
      <c r="CD56" s="123">
        <f t="shared" si="99"/>
        <v>11</v>
      </c>
      <c r="CE56" s="123">
        <f t="shared" si="100"/>
        <v>11</v>
      </c>
      <c r="CF56" s="123">
        <f t="shared" si="101"/>
        <v>12</v>
      </c>
      <c r="CG56" s="123">
        <f t="shared" si="102"/>
        <v>11</v>
      </c>
      <c r="CH56" s="123">
        <f t="shared" si="103"/>
        <v>11</v>
      </c>
      <c r="CI56" s="123">
        <f t="shared" si="104"/>
        <v>11</v>
      </c>
      <c r="CJ56" s="123">
        <f t="shared" si="105"/>
        <v>11</v>
      </c>
      <c r="CK56" s="122">
        <f t="shared" si="106"/>
        <v>11</v>
      </c>
    </row>
    <row r="57" spans="26:90" ht="16.5" customHeight="1">
      <c r="Z57" s="374"/>
      <c r="AA57" s="125">
        <v>6750</v>
      </c>
      <c r="AB57" s="131">
        <v>38</v>
      </c>
      <c r="AC57" s="123">
        <v>38</v>
      </c>
      <c r="AD57" s="123">
        <v>38</v>
      </c>
      <c r="AE57" s="123">
        <v>38</v>
      </c>
      <c r="AF57" s="123">
        <v>38</v>
      </c>
      <c r="AG57" s="123">
        <v>36</v>
      </c>
      <c r="AH57" s="123">
        <v>35</v>
      </c>
      <c r="AI57" s="123">
        <v>34</v>
      </c>
      <c r="AJ57" s="123">
        <v>33</v>
      </c>
      <c r="AK57" s="123">
        <v>32</v>
      </c>
      <c r="AL57" s="123">
        <v>30</v>
      </c>
      <c r="AM57" s="123">
        <v>26</v>
      </c>
      <c r="AN57" s="123">
        <v>25</v>
      </c>
      <c r="AO57" s="123">
        <v>22</v>
      </c>
      <c r="AP57" s="123">
        <v>20</v>
      </c>
      <c r="AQ57" s="123">
        <v>20</v>
      </c>
      <c r="AR57" s="123">
        <v>19</v>
      </c>
      <c r="AS57" s="123">
        <v>19</v>
      </c>
      <c r="AT57" s="123">
        <v>20</v>
      </c>
      <c r="AU57" s="123">
        <v>19</v>
      </c>
      <c r="AV57" s="123">
        <v>18</v>
      </c>
      <c r="AW57" s="123">
        <v>18</v>
      </c>
      <c r="AX57" s="123">
        <v>17</v>
      </c>
      <c r="AY57" s="123">
        <v>17</v>
      </c>
      <c r="AZ57" s="123">
        <v>17</v>
      </c>
      <c r="BA57" s="123">
        <v>16</v>
      </c>
      <c r="BB57" s="123">
        <v>15</v>
      </c>
      <c r="BC57" s="123">
        <v>13</v>
      </c>
      <c r="BD57" s="123">
        <v>13</v>
      </c>
      <c r="BE57" s="123">
        <v>13</v>
      </c>
      <c r="BG57" s="143">
        <v>3250</v>
      </c>
      <c r="BH57" s="131">
        <f t="shared" si="77"/>
        <v>2</v>
      </c>
      <c r="BI57" s="123">
        <f t="shared" si="78"/>
        <v>2</v>
      </c>
      <c r="BJ57" s="123">
        <f t="shared" si="79"/>
        <v>2</v>
      </c>
      <c r="BK57" s="123">
        <f t="shared" si="80"/>
        <v>2</v>
      </c>
      <c r="BL57" s="123">
        <f t="shared" si="81"/>
        <v>3</v>
      </c>
      <c r="BM57" s="123">
        <f t="shared" si="82"/>
        <v>4</v>
      </c>
      <c r="BN57" s="123">
        <f t="shared" si="83"/>
        <v>4</v>
      </c>
      <c r="BO57" s="123">
        <f t="shared" si="84"/>
        <v>4</v>
      </c>
      <c r="BP57" s="123">
        <f t="shared" si="85"/>
        <v>1</v>
      </c>
      <c r="BQ57" s="123">
        <f t="shared" si="86"/>
        <v>1</v>
      </c>
      <c r="BR57" s="123">
        <f t="shared" si="87"/>
        <v>-1</v>
      </c>
      <c r="BS57" s="123">
        <f t="shared" si="88"/>
        <v>2</v>
      </c>
      <c r="BT57" s="123">
        <f t="shared" si="89"/>
        <v>4</v>
      </c>
      <c r="BU57" s="123">
        <f t="shared" si="90"/>
        <v>5</v>
      </c>
      <c r="BV57" s="123">
        <f t="shared" si="91"/>
        <v>5</v>
      </c>
      <c r="BW57" s="123">
        <f t="shared" si="92"/>
        <v>5</v>
      </c>
      <c r="BX57" s="123">
        <f t="shared" si="93"/>
        <v>5</v>
      </c>
      <c r="BY57" s="123">
        <f t="shared" si="94"/>
        <v>6</v>
      </c>
      <c r="BZ57" s="123">
        <f t="shared" si="95"/>
        <v>7</v>
      </c>
      <c r="CA57" s="123">
        <f t="shared" si="96"/>
        <v>8</v>
      </c>
      <c r="CB57" s="123">
        <f t="shared" si="97"/>
        <v>9</v>
      </c>
      <c r="CC57" s="123">
        <f t="shared" si="98"/>
        <v>10</v>
      </c>
      <c r="CD57" s="123">
        <f t="shared" si="99"/>
        <v>10</v>
      </c>
      <c r="CE57" s="123">
        <f t="shared" si="100"/>
        <v>11</v>
      </c>
      <c r="CF57" s="123">
        <f t="shared" si="101"/>
        <v>12</v>
      </c>
      <c r="CG57" s="123">
        <f t="shared" si="102"/>
        <v>12</v>
      </c>
      <c r="CH57" s="123">
        <f t="shared" si="103"/>
        <v>12</v>
      </c>
      <c r="CI57" s="123">
        <f t="shared" si="104"/>
        <v>12</v>
      </c>
      <c r="CJ57" s="123">
        <f t="shared" si="105"/>
        <v>12</v>
      </c>
      <c r="CK57" s="122">
        <f t="shared" si="106"/>
        <v>12</v>
      </c>
    </row>
    <row r="58" spans="26:90" ht="16.5" customHeight="1">
      <c r="Z58" s="374"/>
      <c r="AA58" s="125">
        <v>7000</v>
      </c>
      <c r="AB58" s="131">
        <v>38</v>
      </c>
      <c r="AC58" s="123">
        <v>38</v>
      </c>
      <c r="AD58" s="123">
        <v>38</v>
      </c>
      <c r="AE58" s="123">
        <v>38</v>
      </c>
      <c r="AF58" s="123">
        <v>38</v>
      </c>
      <c r="AG58" s="123">
        <v>36</v>
      </c>
      <c r="AH58" s="123">
        <v>35</v>
      </c>
      <c r="AI58" s="123">
        <v>34</v>
      </c>
      <c r="AJ58" s="123">
        <v>33</v>
      </c>
      <c r="AK58" s="123">
        <v>32</v>
      </c>
      <c r="AL58" s="123">
        <v>30</v>
      </c>
      <c r="AM58" s="123">
        <v>27</v>
      </c>
      <c r="AN58" s="123">
        <v>26</v>
      </c>
      <c r="AO58" s="123">
        <v>23</v>
      </c>
      <c r="AP58" s="123">
        <v>21</v>
      </c>
      <c r="AQ58" s="123">
        <v>21</v>
      </c>
      <c r="AR58" s="123">
        <v>21</v>
      </c>
      <c r="AS58" s="123">
        <v>21</v>
      </c>
      <c r="AT58" s="123">
        <v>21</v>
      </c>
      <c r="AU58" s="123">
        <v>20</v>
      </c>
      <c r="AV58" s="123">
        <v>19</v>
      </c>
      <c r="AW58" s="123">
        <v>19</v>
      </c>
      <c r="AX58" s="123">
        <v>19</v>
      </c>
      <c r="AY58" s="123">
        <v>19</v>
      </c>
      <c r="AZ58" s="123">
        <v>19</v>
      </c>
      <c r="BA58" s="123">
        <v>18</v>
      </c>
      <c r="BB58" s="123">
        <v>17</v>
      </c>
      <c r="BC58" s="123">
        <v>15</v>
      </c>
      <c r="BD58" s="123">
        <v>14</v>
      </c>
      <c r="BE58" s="123">
        <v>14</v>
      </c>
      <c r="BG58" s="143">
        <v>3500</v>
      </c>
      <c r="BH58" s="131">
        <f t="shared" si="77"/>
        <v>3</v>
      </c>
      <c r="BI58" s="123">
        <f t="shared" si="78"/>
        <v>3</v>
      </c>
      <c r="BJ58" s="123">
        <f t="shared" si="79"/>
        <v>3</v>
      </c>
      <c r="BK58" s="123">
        <f t="shared" si="80"/>
        <v>2</v>
      </c>
      <c r="BL58" s="123">
        <f t="shared" si="81"/>
        <v>3</v>
      </c>
      <c r="BM58" s="123">
        <f t="shared" si="82"/>
        <v>4</v>
      </c>
      <c r="BN58" s="123">
        <f t="shared" si="83"/>
        <v>6</v>
      </c>
      <c r="BO58" s="123">
        <f t="shared" si="84"/>
        <v>6</v>
      </c>
      <c r="BP58" s="123">
        <f t="shared" si="85"/>
        <v>3</v>
      </c>
      <c r="BQ58" s="123">
        <f t="shared" si="86"/>
        <v>1</v>
      </c>
      <c r="BR58" s="123">
        <f t="shared" si="87"/>
        <v>-2</v>
      </c>
      <c r="BS58" s="123">
        <f t="shared" si="88"/>
        <v>2</v>
      </c>
      <c r="BT58" s="123">
        <f t="shared" si="89"/>
        <v>5</v>
      </c>
      <c r="BU58" s="123">
        <f t="shared" si="90"/>
        <v>4</v>
      </c>
      <c r="BV58" s="123">
        <f t="shared" si="91"/>
        <v>5</v>
      </c>
      <c r="BW58" s="123">
        <f t="shared" si="92"/>
        <v>4</v>
      </c>
      <c r="BX58" s="123">
        <f t="shared" si="93"/>
        <v>5</v>
      </c>
      <c r="BY58" s="123">
        <f t="shared" si="94"/>
        <v>5</v>
      </c>
      <c r="BZ58" s="123">
        <f t="shared" si="95"/>
        <v>7</v>
      </c>
      <c r="CA58" s="123">
        <f t="shared" si="96"/>
        <v>8</v>
      </c>
      <c r="CB58" s="123">
        <f t="shared" si="97"/>
        <v>8</v>
      </c>
      <c r="CC58" s="123">
        <f t="shared" si="98"/>
        <v>9</v>
      </c>
      <c r="CD58" s="123">
        <f t="shared" si="99"/>
        <v>10</v>
      </c>
      <c r="CE58" s="123">
        <f t="shared" si="100"/>
        <v>11</v>
      </c>
      <c r="CF58" s="123">
        <f t="shared" si="101"/>
        <v>12</v>
      </c>
      <c r="CG58" s="123">
        <f t="shared" si="102"/>
        <v>12</v>
      </c>
      <c r="CH58" s="123">
        <f t="shared" si="103"/>
        <v>12</v>
      </c>
      <c r="CI58" s="123">
        <f t="shared" si="104"/>
        <v>12</v>
      </c>
      <c r="CJ58" s="123">
        <f t="shared" si="105"/>
        <v>12</v>
      </c>
      <c r="CK58" s="122">
        <f t="shared" si="106"/>
        <v>12</v>
      </c>
    </row>
    <row r="59" spans="26:90" ht="16.5" customHeight="1" thickBot="1">
      <c r="Z59" s="375"/>
      <c r="AA59" s="121">
        <v>7500</v>
      </c>
      <c r="AB59" s="130">
        <v>38</v>
      </c>
      <c r="AC59" s="119">
        <v>38</v>
      </c>
      <c r="AD59" s="119">
        <v>38</v>
      </c>
      <c r="AE59" s="119">
        <v>38</v>
      </c>
      <c r="AF59" s="119">
        <v>38</v>
      </c>
      <c r="AG59" s="119">
        <v>36</v>
      </c>
      <c r="AH59" s="119">
        <v>35</v>
      </c>
      <c r="AI59" s="119">
        <v>34</v>
      </c>
      <c r="AJ59" s="119">
        <v>33</v>
      </c>
      <c r="AK59" s="119">
        <v>32</v>
      </c>
      <c r="AL59" s="119">
        <v>31</v>
      </c>
      <c r="AM59" s="119">
        <v>29</v>
      </c>
      <c r="AN59" s="119">
        <v>28</v>
      </c>
      <c r="AO59" s="119">
        <v>25</v>
      </c>
      <c r="AP59" s="119">
        <v>24</v>
      </c>
      <c r="AQ59" s="119">
        <v>23</v>
      </c>
      <c r="AR59" s="119">
        <v>22</v>
      </c>
      <c r="AS59" s="119">
        <v>22</v>
      </c>
      <c r="AT59" s="119">
        <v>22</v>
      </c>
      <c r="AU59" s="119">
        <v>21</v>
      </c>
      <c r="AV59" s="119">
        <v>20</v>
      </c>
      <c r="AW59" s="119">
        <v>20</v>
      </c>
      <c r="AX59" s="119">
        <v>20</v>
      </c>
      <c r="AY59" s="119">
        <v>20</v>
      </c>
      <c r="AZ59" s="119">
        <v>20</v>
      </c>
      <c r="BA59" s="119">
        <v>19</v>
      </c>
      <c r="BB59" s="119">
        <v>18</v>
      </c>
      <c r="BC59" s="119">
        <v>16</v>
      </c>
      <c r="BD59" s="119">
        <v>15</v>
      </c>
      <c r="BE59" s="119">
        <v>15</v>
      </c>
      <c r="BG59" s="143">
        <v>3750</v>
      </c>
      <c r="BH59" s="131">
        <f t="shared" si="77"/>
        <v>3</v>
      </c>
      <c r="BI59" s="123">
        <f t="shared" si="78"/>
        <v>3</v>
      </c>
      <c r="BJ59" s="123">
        <f t="shared" si="79"/>
        <v>3</v>
      </c>
      <c r="BK59" s="123">
        <f t="shared" si="80"/>
        <v>3</v>
      </c>
      <c r="BL59" s="123">
        <f t="shared" si="81"/>
        <v>3</v>
      </c>
      <c r="BM59" s="123">
        <f t="shared" si="82"/>
        <v>4</v>
      </c>
      <c r="BN59" s="123">
        <f t="shared" si="83"/>
        <v>6</v>
      </c>
      <c r="BO59" s="123">
        <f t="shared" si="84"/>
        <v>6</v>
      </c>
      <c r="BP59" s="123">
        <f t="shared" si="85"/>
        <v>3</v>
      </c>
      <c r="BQ59" s="123">
        <f t="shared" si="86"/>
        <v>2</v>
      </c>
      <c r="BR59" s="123">
        <f t="shared" si="87"/>
        <v>-1</v>
      </c>
      <c r="BS59" s="123">
        <f t="shared" si="88"/>
        <v>1</v>
      </c>
      <c r="BT59" s="123">
        <f t="shared" si="89"/>
        <v>4</v>
      </c>
      <c r="BU59" s="123">
        <f t="shared" si="90"/>
        <v>4</v>
      </c>
      <c r="BV59" s="123">
        <f t="shared" si="91"/>
        <v>4</v>
      </c>
      <c r="BW59" s="123">
        <f t="shared" si="92"/>
        <v>5</v>
      </c>
      <c r="BX59" s="123">
        <f t="shared" si="93"/>
        <v>5</v>
      </c>
      <c r="BY59" s="123">
        <f t="shared" si="94"/>
        <v>6</v>
      </c>
      <c r="BZ59" s="123">
        <f t="shared" si="95"/>
        <v>7</v>
      </c>
      <c r="CA59" s="123">
        <f t="shared" si="96"/>
        <v>8</v>
      </c>
      <c r="CB59" s="123">
        <f t="shared" si="97"/>
        <v>8</v>
      </c>
      <c r="CC59" s="123">
        <f t="shared" si="98"/>
        <v>10</v>
      </c>
      <c r="CD59" s="123">
        <f t="shared" si="99"/>
        <v>10</v>
      </c>
      <c r="CE59" s="123">
        <f t="shared" si="100"/>
        <v>12</v>
      </c>
      <c r="CF59" s="123">
        <f t="shared" si="101"/>
        <v>12</v>
      </c>
      <c r="CG59" s="123">
        <f t="shared" si="102"/>
        <v>12</v>
      </c>
      <c r="CH59" s="123">
        <f t="shared" si="103"/>
        <v>12</v>
      </c>
      <c r="CI59" s="123">
        <f t="shared" si="104"/>
        <v>12</v>
      </c>
      <c r="CJ59" s="123">
        <f t="shared" si="105"/>
        <v>12</v>
      </c>
      <c r="CK59" s="122">
        <f t="shared" si="106"/>
        <v>12</v>
      </c>
    </row>
    <row r="60" spans="26:90" ht="16.5" customHeight="1" thickBot="1">
      <c r="BG60" s="143">
        <v>4000</v>
      </c>
      <c r="BH60" s="131">
        <f t="shared" si="77"/>
        <v>3</v>
      </c>
      <c r="BI60" s="123">
        <f t="shared" si="78"/>
        <v>3</v>
      </c>
      <c r="BJ60" s="123">
        <f t="shared" si="79"/>
        <v>3</v>
      </c>
      <c r="BK60" s="123">
        <f t="shared" si="80"/>
        <v>3</v>
      </c>
      <c r="BL60" s="123">
        <f t="shared" si="81"/>
        <v>4</v>
      </c>
      <c r="BM60" s="123">
        <f t="shared" si="82"/>
        <v>4</v>
      </c>
      <c r="BN60" s="123">
        <f t="shared" si="83"/>
        <v>6</v>
      </c>
      <c r="BO60" s="123">
        <f t="shared" si="84"/>
        <v>6</v>
      </c>
      <c r="BP60" s="123">
        <f t="shared" si="85"/>
        <v>5</v>
      </c>
      <c r="BQ60" s="123">
        <f t="shared" si="86"/>
        <v>3</v>
      </c>
      <c r="BR60" s="123">
        <f t="shared" si="87"/>
        <v>-1</v>
      </c>
      <c r="BS60" s="123">
        <f t="shared" si="88"/>
        <v>0</v>
      </c>
      <c r="BT60" s="123">
        <f t="shared" si="89"/>
        <v>3</v>
      </c>
      <c r="BU60" s="123">
        <f t="shared" si="90"/>
        <v>3</v>
      </c>
      <c r="BV60" s="123">
        <f t="shared" si="91"/>
        <v>5</v>
      </c>
      <c r="BW60" s="123">
        <f t="shared" si="92"/>
        <v>5</v>
      </c>
      <c r="BX60" s="123">
        <f t="shared" si="93"/>
        <v>7</v>
      </c>
      <c r="BY60" s="123">
        <f t="shared" si="94"/>
        <v>8</v>
      </c>
      <c r="BZ60" s="123">
        <f t="shared" si="95"/>
        <v>8</v>
      </c>
      <c r="CA60" s="123">
        <f t="shared" si="96"/>
        <v>9</v>
      </c>
      <c r="CB60" s="123">
        <f t="shared" si="97"/>
        <v>9</v>
      </c>
      <c r="CC60" s="123">
        <f t="shared" si="98"/>
        <v>10</v>
      </c>
      <c r="CD60" s="123">
        <f t="shared" si="99"/>
        <v>11</v>
      </c>
      <c r="CE60" s="123">
        <f t="shared" si="100"/>
        <v>12</v>
      </c>
      <c r="CF60" s="123">
        <f t="shared" si="101"/>
        <v>13</v>
      </c>
      <c r="CG60" s="123">
        <f t="shared" si="102"/>
        <v>12</v>
      </c>
      <c r="CH60" s="123">
        <f t="shared" si="103"/>
        <v>12</v>
      </c>
      <c r="CI60" s="123">
        <f t="shared" si="104"/>
        <v>12</v>
      </c>
      <c r="CJ60" s="123">
        <f t="shared" si="105"/>
        <v>12</v>
      </c>
      <c r="CK60" s="122">
        <f t="shared" si="106"/>
        <v>12</v>
      </c>
    </row>
    <row r="61" spans="26:90" ht="16.5" customHeight="1" thickBot="1">
      <c r="Z61" s="376">
        <v>3</v>
      </c>
      <c r="AA61" s="377"/>
      <c r="AB61" s="382" t="s">
        <v>29</v>
      </c>
      <c r="AC61" s="383"/>
      <c r="AD61" s="383"/>
      <c r="AE61" s="383"/>
      <c r="AF61" s="383"/>
      <c r="AG61" s="383"/>
      <c r="AH61" s="383"/>
      <c r="AI61" s="383"/>
      <c r="AJ61" s="383"/>
      <c r="AK61" s="383"/>
      <c r="AL61" s="383"/>
      <c r="AM61" s="383"/>
      <c r="AN61" s="383"/>
      <c r="AO61" s="383"/>
      <c r="AP61" s="383"/>
      <c r="AQ61" s="383"/>
      <c r="AR61" s="383"/>
      <c r="AS61" s="383"/>
      <c r="AT61" s="383"/>
      <c r="AU61" s="383"/>
      <c r="AV61" s="383"/>
      <c r="AW61" s="383"/>
      <c r="AX61" s="383"/>
      <c r="AY61" s="383"/>
      <c r="AZ61" s="383"/>
      <c r="BA61" s="383"/>
      <c r="BB61" s="383"/>
      <c r="BC61" s="383"/>
      <c r="BD61" s="383"/>
      <c r="BE61" s="384"/>
      <c r="BG61" s="143">
        <v>4250</v>
      </c>
      <c r="BH61" s="131">
        <f t="shared" si="77"/>
        <v>3</v>
      </c>
      <c r="BI61" s="123">
        <f t="shared" si="78"/>
        <v>3</v>
      </c>
      <c r="BJ61" s="123">
        <f t="shared" si="79"/>
        <v>3</v>
      </c>
      <c r="BK61" s="123">
        <f t="shared" si="80"/>
        <v>3</v>
      </c>
      <c r="BL61" s="123">
        <f t="shared" si="81"/>
        <v>5</v>
      </c>
      <c r="BM61" s="123">
        <f t="shared" si="82"/>
        <v>4</v>
      </c>
      <c r="BN61" s="123">
        <f t="shared" si="83"/>
        <v>6</v>
      </c>
      <c r="BO61" s="123">
        <f t="shared" si="84"/>
        <v>6</v>
      </c>
      <c r="BP61" s="123">
        <f t="shared" si="85"/>
        <v>6</v>
      </c>
      <c r="BQ61" s="123">
        <f t="shared" si="86"/>
        <v>4</v>
      </c>
      <c r="BR61" s="123">
        <f t="shared" si="87"/>
        <v>-1</v>
      </c>
      <c r="BS61" s="123">
        <f t="shared" si="88"/>
        <v>1</v>
      </c>
      <c r="BT61" s="123">
        <f t="shared" si="89"/>
        <v>3</v>
      </c>
      <c r="BU61" s="123">
        <f t="shared" si="90"/>
        <v>3</v>
      </c>
      <c r="BV61" s="123">
        <f t="shared" si="91"/>
        <v>5</v>
      </c>
      <c r="BW61" s="123">
        <f t="shared" si="92"/>
        <v>5</v>
      </c>
      <c r="BX61" s="123">
        <f t="shared" si="93"/>
        <v>6</v>
      </c>
      <c r="BY61" s="123">
        <f t="shared" si="94"/>
        <v>7</v>
      </c>
      <c r="BZ61" s="123">
        <f t="shared" si="95"/>
        <v>7</v>
      </c>
      <c r="CA61" s="123">
        <f t="shared" si="96"/>
        <v>8</v>
      </c>
      <c r="CB61" s="123">
        <f t="shared" si="97"/>
        <v>9</v>
      </c>
      <c r="CC61" s="123">
        <f t="shared" si="98"/>
        <v>10</v>
      </c>
      <c r="CD61" s="123">
        <f t="shared" si="99"/>
        <v>11</v>
      </c>
      <c r="CE61" s="123">
        <f t="shared" si="100"/>
        <v>12</v>
      </c>
      <c r="CF61" s="123">
        <f t="shared" si="101"/>
        <v>13</v>
      </c>
      <c r="CG61" s="123">
        <f t="shared" si="102"/>
        <v>13</v>
      </c>
      <c r="CH61" s="123">
        <f t="shared" si="103"/>
        <v>12</v>
      </c>
      <c r="CI61" s="123">
        <f t="shared" si="104"/>
        <v>12</v>
      </c>
      <c r="CJ61" s="123">
        <f t="shared" si="105"/>
        <v>12</v>
      </c>
      <c r="CK61" s="122">
        <f t="shared" si="106"/>
        <v>12</v>
      </c>
    </row>
    <row r="62" spans="26:90" ht="16.5" customHeight="1" thickBot="1">
      <c r="Z62" s="378"/>
      <c r="AA62" s="379"/>
      <c r="AB62" s="385" t="s">
        <v>0</v>
      </c>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386"/>
      <c r="BB62" s="386"/>
      <c r="BC62" s="386"/>
      <c r="BD62" s="386"/>
      <c r="BE62" s="387"/>
      <c r="BG62" s="125">
        <v>4500</v>
      </c>
      <c r="BH62" s="131">
        <f t="shared" si="77"/>
        <v>3</v>
      </c>
      <c r="BI62" s="123">
        <f t="shared" si="78"/>
        <v>3</v>
      </c>
      <c r="BJ62" s="123">
        <f t="shared" si="79"/>
        <v>3</v>
      </c>
      <c r="BK62" s="123">
        <f t="shared" si="80"/>
        <v>3</v>
      </c>
      <c r="BL62" s="123">
        <f t="shared" si="81"/>
        <v>5</v>
      </c>
      <c r="BM62" s="123">
        <f t="shared" si="82"/>
        <v>4</v>
      </c>
      <c r="BN62" s="123">
        <f t="shared" si="83"/>
        <v>6</v>
      </c>
      <c r="BO62" s="123">
        <f t="shared" si="84"/>
        <v>6</v>
      </c>
      <c r="BP62" s="123">
        <f t="shared" si="85"/>
        <v>6</v>
      </c>
      <c r="BQ62" s="123">
        <f t="shared" si="86"/>
        <v>5</v>
      </c>
      <c r="BR62" s="123">
        <f t="shared" si="87"/>
        <v>0</v>
      </c>
      <c r="BS62" s="123">
        <f t="shared" si="88"/>
        <v>2</v>
      </c>
      <c r="BT62" s="123">
        <f t="shared" si="89"/>
        <v>4</v>
      </c>
      <c r="BU62" s="123">
        <f t="shared" si="90"/>
        <v>4</v>
      </c>
      <c r="BV62" s="123">
        <f t="shared" si="91"/>
        <v>5</v>
      </c>
      <c r="BW62" s="123">
        <f t="shared" si="92"/>
        <v>5</v>
      </c>
      <c r="BX62" s="123">
        <f t="shared" si="93"/>
        <v>6</v>
      </c>
      <c r="BY62" s="123">
        <f t="shared" si="94"/>
        <v>7</v>
      </c>
      <c r="BZ62" s="123">
        <f t="shared" si="95"/>
        <v>8</v>
      </c>
      <c r="CA62" s="123">
        <f t="shared" si="96"/>
        <v>9</v>
      </c>
      <c r="CB62" s="123">
        <f t="shared" si="97"/>
        <v>9</v>
      </c>
      <c r="CC62" s="123">
        <f t="shared" si="98"/>
        <v>10</v>
      </c>
      <c r="CD62" s="123">
        <f t="shared" si="99"/>
        <v>11</v>
      </c>
      <c r="CE62" s="123">
        <f t="shared" si="100"/>
        <v>12</v>
      </c>
      <c r="CF62" s="123">
        <f t="shared" si="101"/>
        <v>13</v>
      </c>
      <c r="CG62" s="123">
        <f t="shared" si="102"/>
        <v>12</v>
      </c>
      <c r="CH62" s="123">
        <f t="shared" si="103"/>
        <v>12</v>
      </c>
      <c r="CI62" s="123">
        <f t="shared" si="104"/>
        <v>12</v>
      </c>
      <c r="CJ62" s="123">
        <f t="shared" si="105"/>
        <v>12</v>
      </c>
      <c r="CK62" s="122">
        <f t="shared" si="106"/>
        <v>12</v>
      </c>
    </row>
    <row r="63" spans="26:90" ht="16.5" customHeight="1" thickBot="1">
      <c r="Z63" s="380"/>
      <c r="AA63" s="381"/>
      <c r="AB63" s="142">
        <v>10</v>
      </c>
      <c r="AC63" s="141">
        <v>20</v>
      </c>
      <c r="AD63" s="141">
        <v>30</v>
      </c>
      <c r="AE63" s="141">
        <v>40</v>
      </c>
      <c r="AF63" s="141">
        <v>50</v>
      </c>
      <c r="AG63" s="140">
        <v>60</v>
      </c>
      <c r="AH63" s="140">
        <v>70</v>
      </c>
      <c r="AI63" s="140">
        <v>80</v>
      </c>
      <c r="AJ63" s="140">
        <v>90</v>
      </c>
      <c r="AK63" s="140">
        <v>100</v>
      </c>
      <c r="AL63" s="140">
        <v>120</v>
      </c>
      <c r="AM63" s="140">
        <v>140</v>
      </c>
      <c r="AN63" s="140">
        <v>150</v>
      </c>
      <c r="AO63" s="139">
        <v>160</v>
      </c>
      <c r="AP63" s="139">
        <v>170</v>
      </c>
      <c r="AQ63" s="139">
        <v>180</v>
      </c>
      <c r="AR63" s="139">
        <v>190</v>
      </c>
      <c r="AS63" s="139">
        <v>200</v>
      </c>
      <c r="AT63" s="139">
        <v>210</v>
      </c>
      <c r="AU63" s="139">
        <v>220</v>
      </c>
      <c r="AV63" s="139">
        <v>230</v>
      </c>
      <c r="AW63" s="139">
        <v>240</v>
      </c>
      <c r="AX63" s="139">
        <v>250</v>
      </c>
      <c r="AY63" s="139">
        <v>260</v>
      </c>
      <c r="AZ63" s="139">
        <v>270</v>
      </c>
      <c r="BA63" s="139">
        <v>280</v>
      </c>
      <c r="BB63" s="139">
        <v>290</v>
      </c>
      <c r="BC63" s="139">
        <v>300</v>
      </c>
      <c r="BD63" s="139">
        <v>310</v>
      </c>
      <c r="BE63" s="138">
        <v>320</v>
      </c>
      <c r="BG63" s="125">
        <v>4750</v>
      </c>
      <c r="BH63" s="131">
        <f t="shared" si="77"/>
        <v>3</v>
      </c>
      <c r="BI63" s="123">
        <f t="shared" si="78"/>
        <v>3</v>
      </c>
      <c r="BJ63" s="123">
        <f t="shared" si="79"/>
        <v>3</v>
      </c>
      <c r="BK63" s="123">
        <f t="shared" si="80"/>
        <v>3</v>
      </c>
      <c r="BL63" s="123">
        <f t="shared" si="81"/>
        <v>5</v>
      </c>
      <c r="BM63" s="123">
        <f t="shared" si="82"/>
        <v>4</v>
      </c>
      <c r="BN63" s="123">
        <f t="shared" si="83"/>
        <v>6</v>
      </c>
      <c r="BO63" s="123">
        <f t="shared" si="84"/>
        <v>6</v>
      </c>
      <c r="BP63" s="123">
        <f t="shared" si="85"/>
        <v>6</v>
      </c>
      <c r="BQ63" s="123">
        <f t="shared" si="86"/>
        <v>5</v>
      </c>
      <c r="BR63" s="123">
        <f t="shared" si="87"/>
        <v>0</v>
      </c>
      <c r="BS63" s="123">
        <f t="shared" si="88"/>
        <v>2</v>
      </c>
      <c r="BT63" s="123">
        <f t="shared" si="89"/>
        <v>5</v>
      </c>
      <c r="BU63" s="123">
        <f t="shared" si="90"/>
        <v>4</v>
      </c>
      <c r="BV63" s="123">
        <f t="shared" si="91"/>
        <v>5</v>
      </c>
      <c r="BW63" s="123">
        <f t="shared" si="92"/>
        <v>5</v>
      </c>
      <c r="BX63" s="123">
        <f t="shared" si="93"/>
        <v>6</v>
      </c>
      <c r="BY63" s="123">
        <f t="shared" si="94"/>
        <v>8</v>
      </c>
      <c r="BZ63" s="123">
        <f t="shared" si="95"/>
        <v>8</v>
      </c>
      <c r="CA63" s="123">
        <f t="shared" si="96"/>
        <v>9</v>
      </c>
      <c r="CB63" s="123">
        <f t="shared" si="97"/>
        <v>10</v>
      </c>
      <c r="CC63" s="123">
        <f t="shared" si="98"/>
        <v>10</v>
      </c>
      <c r="CD63" s="123">
        <f t="shared" si="99"/>
        <v>12</v>
      </c>
      <c r="CE63" s="123">
        <f t="shared" si="100"/>
        <v>12</v>
      </c>
      <c r="CF63" s="123">
        <f t="shared" si="101"/>
        <v>14</v>
      </c>
      <c r="CG63" s="123">
        <f t="shared" si="102"/>
        <v>13</v>
      </c>
      <c r="CH63" s="123">
        <f t="shared" si="103"/>
        <v>12</v>
      </c>
      <c r="CI63" s="123">
        <f t="shared" si="104"/>
        <v>12</v>
      </c>
      <c r="CJ63" s="123">
        <f t="shared" si="105"/>
        <v>12</v>
      </c>
      <c r="CK63" s="122">
        <f t="shared" si="106"/>
        <v>12</v>
      </c>
    </row>
    <row r="64" spans="26:90" ht="16.5" customHeight="1">
      <c r="Z64" s="373" t="s">
        <v>1</v>
      </c>
      <c r="AA64" s="137">
        <v>500</v>
      </c>
      <c r="AB64" s="136">
        <v>5</v>
      </c>
      <c r="AC64" s="135">
        <v>5</v>
      </c>
      <c r="AD64" s="135">
        <v>5</v>
      </c>
      <c r="AE64" s="135">
        <v>5</v>
      </c>
      <c r="AF64" s="135">
        <v>10</v>
      </c>
      <c r="AG64" s="135">
        <v>15</v>
      </c>
      <c r="AH64" s="135">
        <v>15</v>
      </c>
      <c r="AI64" s="135">
        <v>12</v>
      </c>
      <c r="AJ64" s="135">
        <v>7</v>
      </c>
      <c r="AK64" s="135">
        <v>5</v>
      </c>
      <c r="AL64" s="135">
        <v>2</v>
      </c>
      <c r="AM64" s="135">
        <v>-1</v>
      </c>
      <c r="AN64" s="135">
        <v>-4</v>
      </c>
      <c r="AO64" s="135">
        <v>-7</v>
      </c>
      <c r="AP64" s="135">
        <v>-10</v>
      </c>
      <c r="AQ64" s="135">
        <v>-10</v>
      </c>
      <c r="AR64" s="135">
        <v>-10</v>
      </c>
      <c r="AS64" s="135">
        <v>-10</v>
      </c>
      <c r="AT64" s="135">
        <v>-10</v>
      </c>
      <c r="AU64" s="135">
        <v>-10</v>
      </c>
      <c r="AV64" s="135">
        <v>-10</v>
      </c>
      <c r="AW64" s="135">
        <v>-10</v>
      </c>
      <c r="AX64" s="135">
        <v>-10</v>
      </c>
      <c r="AY64" s="135">
        <v>-10</v>
      </c>
      <c r="AZ64" s="135">
        <v>-10</v>
      </c>
      <c r="BA64" s="135">
        <v>-10</v>
      </c>
      <c r="BB64" s="135">
        <v>-10</v>
      </c>
      <c r="BC64" s="135">
        <v>-10</v>
      </c>
      <c r="BD64" s="135">
        <v>-10</v>
      </c>
      <c r="BE64" s="134">
        <v>-10</v>
      </c>
      <c r="BG64" s="125">
        <v>5000</v>
      </c>
      <c r="BH64" s="131">
        <f t="shared" si="77"/>
        <v>3</v>
      </c>
      <c r="BI64" s="123">
        <f t="shared" si="78"/>
        <v>3</v>
      </c>
      <c r="BJ64" s="123">
        <f t="shared" si="79"/>
        <v>3</v>
      </c>
      <c r="BK64" s="123">
        <f t="shared" si="80"/>
        <v>3</v>
      </c>
      <c r="BL64" s="123">
        <f t="shared" si="81"/>
        <v>5</v>
      </c>
      <c r="BM64" s="123">
        <f t="shared" si="82"/>
        <v>4</v>
      </c>
      <c r="BN64" s="123">
        <f t="shared" si="83"/>
        <v>6</v>
      </c>
      <c r="BO64" s="123">
        <f t="shared" si="84"/>
        <v>6</v>
      </c>
      <c r="BP64" s="123">
        <f t="shared" si="85"/>
        <v>6</v>
      </c>
      <c r="BQ64" s="123">
        <f t="shared" si="86"/>
        <v>5</v>
      </c>
      <c r="BR64" s="123">
        <f t="shared" si="87"/>
        <v>0</v>
      </c>
      <c r="BS64" s="123">
        <f t="shared" si="88"/>
        <v>2</v>
      </c>
      <c r="BT64" s="123">
        <f t="shared" si="89"/>
        <v>6</v>
      </c>
      <c r="BU64" s="123">
        <f t="shared" si="90"/>
        <v>4</v>
      </c>
      <c r="BV64" s="123">
        <f t="shared" si="91"/>
        <v>6</v>
      </c>
      <c r="BW64" s="123">
        <f t="shared" si="92"/>
        <v>6</v>
      </c>
      <c r="BX64" s="123">
        <f t="shared" si="93"/>
        <v>6</v>
      </c>
      <c r="BY64" s="123">
        <f t="shared" si="94"/>
        <v>7</v>
      </c>
      <c r="BZ64" s="123">
        <f t="shared" si="95"/>
        <v>9</v>
      </c>
      <c r="CA64" s="123">
        <f t="shared" si="96"/>
        <v>9</v>
      </c>
      <c r="CB64" s="123">
        <f t="shared" si="97"/>
        <v>10</v>
      </c>
      <c r="CC64" s="123">
        <f t="shared" si="98"/>
        <v>11</v>
      </c>
      <c r="CD64" s="123">
        <f t="shared" si="99"/>
        <v>12</v>
      </c>
      <c r="CE64" s="123">
        <f t="shared" si="100"/>
        <v>13</v>
      </c>
      <c r="CF64" s="123">
        <f t="shared" si="101"/>
        <v>14</v>
      </c>
      <c r="CG64" s="123">
        <f t="shared" si="102"/>
        <v>13</v>
      </c>
      <c r="CH64" s="123">
        <f t="shared" si="103"/>
        <v>12</v>
      </c>
      <c r="CI64" s="123">
        <f t="shared" si="104"/>
        <v>12</v>
      </c>
      <c r="CJ64" s="123">
        <f t="shared" si="105"/>
        <v>12</v>
      </c>
      <c r="CK64" s="122">
        <f t="shared" si="106"/>
        <v>12</v>
      </c>
    </row>
    <row r="65" spans="26:89" ht="16.5" customHeight="1">
      <c r="Z65" s="374"/>
      <c r="AA65" s="133">
        <v>1000</v>
      </c>
      <c r="AB65" s="124">
        <v>5</v>
      </c>
      <c r="AC65" s="123">
        <v>5</v>
      </c>
      <c r="AD65" s="123">
        <v>5</v>
      </c>
      <c r="AE65" s="123">
        <v>5</v>
      </c>
      <c r="AF65" s="123">
        <v>10</v>
      </c>
      <c r="AG65" s="123">
        <v>15</v>
      </c>
      <c r="AH65" s="123">
        <v>15</v>
      </c>
      <c r="AI65" s="123">
        <v>10</v>
      </c>
      <c r="AJ65" s="123">
        <v>8</v>
      </c>
      <c r="AK65" s="123">
        <v>6</v>
      </c>
      <c r="AL65" s="123">
        <v>3</v>
      </c>
      <c r="AM65" s="123">
        <v>0</v>
      </c>
      <c r="AN65" s="123">
        <v>-3</v>
      </c>
      <c r="AO65" s="123">
        <v>-6</v>
      </c>
      <c r="AP65" s="123">
        <v>-9</v>
      </c>
      <c r="AQ65" s="123">
        <v>-10</v>
      </c>
      <c r="AR65" s="123">
        <v>-10</v>
      </c>
      <c r="AS65" s="123">
        <v>-10</v>
      </c>
      <c r="AT65" s="123">
        <v>-10</v>
      </c>
      <c r="AU65" s="123">
        <v>-10</v>
      </c>
      <c r="AV65" s="123">
        <v>-10</v>
      </c>
      <c r="AW65" s="123">
        <v>-10</v>
      </c>
      <c r="AX65" s="123">
        <v>-10</v>
      </c>
      <c r="AY65" s="123">
        <v>-10</v>
      </c>
      <c r="AZ65" s="123">
        <v>-10</v>
      </c>
      <c r="BA65" s="123">
        <v>-10</v>
      </c>
      <c r="BB65" s="123">
        <v>-10</v>
      </c>
      <c r="BC65" s="123">
        <v>-10</v>
      </c>
      <c r="BD65" s="123">
        <v>-10</v>
      </c>
      <c r="BE65" s="122">
        <v>-10</v>
      </c>
      <c r="BG65" s="125">
        <v>5250</v>
      </c>
      <c r="BH65" s="131">
        <f t="shared" si="77"/>
        <v>3</v>
      </c>
      <c r="BI65" s="123">
        <f t="shared" si="78"/>
        <v>3</v>
      </c>
      <c r="BJ65" s="123">
        <f t="shared" si="79"/>
        <v>3</v>
      </c>
      <c r="BK65" s="123">
        <f t="shared" si="80"/>
        <v>3</v>
      </c>
      <c r="BL65" s="123">
        <f t="shared" si="81"/>
        <v>5</v>
      </c>
      <c r="BM65" s="123">
        <f t="shared" si="82"/>
        <v>3</v>
      </c>
      <c r="BN65" s="123">
        <f t="shared" si="83"/>
        <v>4</v>
      </c>
      <c r="BO65" s="123">
        <f t="shared" si="84"/>
        <v>4</v>
      </c>
      <c r="BP65" s="123">
        <f t="shared" si="85"/>
        <v>4</v>
      </c>
      <c r="BQ65" s="123">
        <f t="shared" si="86"/>
        <v>4</v>
      </c>
      <c r="BR65" s="123">
        <f t="shared" si="87"/>
        <v>2</v>
      </c>
      <c r="BS65" s="123">
        <f t="shared" si="88"/>
        <v>2</v>
      </c>
      <c r="BT65" s="123">
        <f t="shared" si="89"/>
        <v>6</v>
      </c>
      <c r="BU65" s="123">
        <f t="shared" si="90"/>
        <v>5</v>
      </c>
      <c r="BV65" s="123">
        <f t="shared" si="91"/>
        <v>5</v>
      </c>
      <c r="BW65" s="123">
        <f t="shared" si="92"/>
        <v>7</v>
      </c>
      <c r="BX65" s="123">
        <f t="shared" si="93"/>
        <v>6</v>
      </c>
      <c r="BY65" s="123">
        <f t="shared" si="94"/>
        <v>7</v>
      </c>
      <c r="BZ65" s="123">
        <f t="shared" si="95"/>
        <v>9</v>
      </c>
      <c r="CA65" s="123">
        <f t="shared" si="96"/>
        <v>9</v>
      </c>
      <c r="CB65" s="123">
        <f t="shared" si="97"/>
        <v>10</v>
      </c>
      <c r="CC65" s="123">
        <f t="shared" si="98"/>
        <v>11</v>
      </c>
      <c r="CD65" s="123">
        <f t="shared" si="99"/>
        <v>13</v>
      </c>
      <c r="CE65" s="123">
        <f t="shared" si="100"/>
        <v>13</v>
      </c>
      <c r="CF65" s="123">
        <f t="shared" si="101"/>
        <v>15</v>
      </c>
      <c r="CG65" s="123">
        <f t="shared" si="102"/>
        <v>14</v>
      </c>
      <c r="CH65" s="123">
        <f t="shared" si="103"/>
        <v>14</v>
      </c>
      <c r="CI65" s="123">
        <f t="shared" si="104"/>
        <v>14</v>
      </c>
      <c r="CJ65" s="123">
        <f t="shared" si="105"/>
        <v>14</v>
      </c>
      <c r="CK65" s="122">
        <f t="shared" si="106"/>
        <v>14</v>
      </c>
    </row>
    <row r="66" spans="26:89" ht="16.5" customHeight="1">
      <c r="Z66" s="374"/>
      <c r="AA66" s="133">
        <v>1250</v>
      </c>
      <c r="AB66" s="124">
        <v>15</v>
      </c>
      <c r="AC66" s="123">
        <v>15</v>
      </c>
      <c r="AD66" s="123">
        <v>15</v>
      </c>
      <c r="AE66" s="123">
        <v>15</v>
      </c>
      <c r="AF66" s="123">
        <v>17</v>
      </c>
      <c r="AG66" s="123">
        <v>21</v>
      </c>
      <c r="AH66" s="123">
        <v>21</v>
      </c>
      <c r="AI66" s="123">
        <v>19</v>
      </c>
      <c r="AJ66" s="123">
        <v>14</v>
      </c>
      <c r="AK66" s="123">
        <v>12</v>
      </c>
      <c r="AL66" s="123">
        <v>8</v>
      </c>
      <c r="AM66" s="123">
        <v>5</v>
      </c>
      <c r="AN66" s="123">
        <v>2</v>
      </c>
      <c r="AO66" s="123">
        <v>-1</v>
      </c>
      <c r="AP66" s="123">
        <v>-4</v>
      </c>
      <c r="AQ66" s="123">
        <v>-6</v>
      </c>
      <c r="AR66" s="123">
        <v>-7</v>
      </c>
      <c r="AS66" s="123">
        <v>-9</v>
      </c>
      <c r="AT66" s="123">
        <v>-10</v>
      </c>
      <c r="AU66" s="123">
        <v>-11</v>
      </c>
      <c r="AV66" s="123">
        <v>-10</v>
      </c>
      <c r="AW66" s="123">
        <v>-10</v>
      </c>
      <c r="AX66" s="123">
        <v>-10</v>
      </c>
      <c r="AY66" s="123">
        <v>-10</v>
      </c>
      <c r="AZ66" s="123">
        <v>-10</v>
      </c>
      <c r="BA66" s="123">
        <v>-10</v>
      </c>
      <c r="BB66" s="123">
        <v>-10</v>
      </c>
      <c r="BC66" s="123">
        <v>-10</v>
      </c>
      <c r="BD66" s="123">
        <v>-10</v>
      </c>
      <c r="BE66" s="122">
        <v>-10</v>
      </c>
      <c r="BG66" s="125">
        <v>5500</v>
      </c>
      <c r="BH66" s="131">
        <f t="shared" si="77"/>
        <v>3</v>
      </c>
      <c r="BI66" s="123">
        <f t="shared" si="78"/>
        <v>3</v>
      </c>
      <c r="BJ66" s="123">
        <f t="shared" si="79"/>
        <v>3</v>
      </c>
      <c r="BK66" s="123">
        <f t="shared" si="80"/>
        <v>3</v>
      </c>
      <c r="BL66" s="123">
        <f t="shared" si="81"/>
        <v>5</v>
      </c>
      <c r="BM66" s="123">
        <f t="shared" si="82"/>
        <v>3</v>
      </c>
      <c r="BN66" s="123">
        <f t="shared" si="83"/>
        <v>3</v>
      </c>
      <c r="BO66" s="123">
        <f t="shared" si="84"/>
        <v>4</v>
      </c>
      <c r="BP66" s="123">
        <f t="shared" si="85"/>
        <v>4</v>
      </c>
      <c r="BQ66" s="123">
        <f t="shared" si="86"/>
        <v>5</v>
      </c>
      <c r="BR66" s="123">
        <f t="shared" si="87"/>
        <v>3</v>
      </c>
      <c r="BS66" s="123">
        <f t="shared" si="88"/>
        <v>2</v>
      </c>
      <c r="BT66" s="123">
        <f t="shared" si="89"/>
        <v>6</v>
      </c>
      <c r="BU66" s="123">
        <f t="shared" si="90"/>
        <v>5</v>
      </c>
      <c r="BV66" s="123">
        <f t="shared" si="91"/>
        <v>5</v>
      </c>
      <c r="BW66" s="123">
        <f t="shared" si="92"/>
        <v>6</v>
      </c>
      <c r="BX66" s="123">
        <f t="shared" si="93"/>
        <v>7</v>
      </c>
      <c r="BY66" s="123">
        <f t="shared" si="94"/>
        <v>7</v>
      </c>
      <c r="BZ66" s="123">
        <f t="shared" si="95"/>
        <v>9</v>
      </c>
      <c r="CA66" s="123">
        <f t="shared" si="96"/>
        <v>9</v>
      </c>
      <c r="CB66" s="123">
        <f t="shared" si="97"/>
        <v>10</v>
      </c>
      <c r="CC66" s="123">
        <f t="shared" si="98"/>
        <v>11</v>
      </c>
      <c r="CD66" s="123">
        <f t="shared" si="99"/>
        <v>13</v>
      </c>
      <c r="CE66" s="123">
        <f t="shared" si="100"/>
        <v>14</v>
      </c>
      <c r="CF66" s="123">
        <f t="shared" si="101"/>
        <v>15</v>
      </c>
      <c r="CG66" s="123">
        <f t="shared" si="102"/>
        <v>14</v>
      </c>
      <c r="CH66" s="123">
        <f t="shared" si="103"/>
        <v>14</v>
      </c>
      <c r="CI66" s="123">
        <f t="shared" si="104"/>
        <v>14</v>
      </c>
      <c r="CJ66" s="123">
        <f t="shared" si="105"/>
        <v>14</v>
      </c>
      <c r="CK66" s="122">
        <f t="shared" si="106"/>
        <v>14</v>
      </c>
    </row>
    <row r="67" spans="26:89" ht="16.5" customHeight="1">
      <c r="Z67" s="374"/>
      <c r="AA67" s="132">
        <v>1500</v>
      </c>
      <c r="AB67" s="124">
        <v>30</v>
      </c>
      <c r="AC67" s="123">
        <v>30</v>
      </c>
      <c r="AD67" s="123">
        <v>30</v>
      </c>
      <c r="AE67" s="123">
        <v>30</v>
      </c>
      <c r="AF67" s="123">
        <v>30</v>
      </c>
      <c r="AG67" s="123">
        <v>30</v>
      </c>
      <c r="AH67" s="123">
        <v>28</v>
      </c>
      <c r="AI67" s="123">
        <v>24</v>
      </c>
      <c r="AJ67" s="123">
        <v>20</v>
      </c>
      <c r="AK67" s="123">
        <v>16</v>
      </c>
      <c r="AL67" s="123">
        <v>11</v>
      </c>
      <c r="AM67" s="123">
        <v>9</v>
      </c>
      <c r="AN67" s="123">
        <v>6</v>
      </c>
      <c r="AO67" s="123">
        <v>3</v>
      </c>
      <c r="AP67" s="123">
        <v>0</v>
      </c>
      <c r="AQ67" s="123">
        <v>-2</v>
      </c>
      <c r="AR67" s="123">
        <v>-3</v>
      </c>
      <c r="AS67" s="123">
        <v>-5</v>
      </c>
      <c r="AT67" s="123">
        <v>-6</v>
      </c>
      <c r="AU67" s="123">
        <v>-8</v>
      </c>
      <c r="AV67" s="123">
        <v>-9</v>
      </c>
      <c r="AW67" s="123">
        <v>-10</v>
      </c>
      <c r="AX67" s="123">
        <v>-10</v>
      </c>
      <c r="AY67" s="123">
        <v>-10</v>
      </c>
      <c r="AZ67" s="123">
        <v>-10</v>
      </c>
      <c r="BA67" s="123">
        <v>-10</v>
      </c>
      <c r="BB67" s="123">
        <v>-10</v>
      </c>
      <c r="BC67" s="123">
        <v>-10</v>
      </c>
      <c r="BD67" s="123">
        <v>-10</v>
      </c>
      <c r="BE67" s="122">
        <v>-10</v>
      </c>
      <c r="BG67" s="125">
        <v>6000</v>
      </c>
      <c r="BH67" s="131">
        <f t="shared" si="77"/>
        <v>3</v>
      </c>
      <c r="BI67" s="123">
        <f t="shared" si="78"/>
        <v>3</v>
      </c>
      <c r="BJ67" s="123">
        <f t="shared" si="79"/>
        <v>3</v>
      </c>
      <c r="BK67" s="123">
        <f t="shared" si="80"/>
        <v>3</v>
      </c>
      <c r="BL67" s="123">
        <f t="shared" si="81"/>
        <v>4</v>
      </c>
      <c r="BM67" s="123">
        <f t="shared" si="82"/>
        <v>3</v>
      </c>
      <c r="BN67" s="123">
        <f t="shared" si="83"/>
        <v>3</v>
      </c>
      <c r="BO67" s="123">
        <f t="shared" si="84"/>
        <v>3</v>
      </c>
      <c r="BP67" s="123">
        <f t="shared" si="85"/>
        <v>3</v>
      </c>
      <c r="BQ67" s="123">
        <f t="shared" si="86"/>
        <v>3</v>
      </c>
      <c r="BR67" s="123">
        <f t="shared" si="87"/>
        <v>4</v>
      </c>
      <c r="BS67" s="123">
        <f t="shared" si="88"/>
        <v>4</v>
      </c>
      <c r="BT67" s="123">
        <f t="shared" si="89"/>
        <v>6</v>
      </c>
      <c r="BU67" s="123">
        <f t="shared" si="90"/>
        <v>5</v>
      </c>
      <c r="BV67" s="123">
        <f t="shared" si="91"/>
        <v>5</v>
      </c>
      <c r="BW67" s="123">
        <f t="shared" si="92"/>
        <v>6</v>
      </c>
      <c r="BX67" s="123">
        <f t="shared" si="93"/>
        <v>8</v>
      </c>
      <c r="BY67" s="123">
        <f t="shared" si="94"/>
        <v>7</v>
      </c>
      <c r="BZ67" s="123">
        <f t="shared" si="95"/>
        <v>9</v>
      </c>
      <c r="CA67" s="123">
        <f t="shared" si="96"/>
        <v>9</v>
      </c>
      <c r="CB67" s="123">
        <f t="shared" si="97"/>
        <v>10</v>
      </c>
      <c r="CC67" s="123">
        <f t="shared" si="98"/>
        <v>11</v>
      </c>
      <c r="CD67" s="123">
        <f t="shared" si="99"/>
        <v>12</v>
      </c>
      <c r="CE67" s="123">
        <f t="shared" si="100"/>
        <v>14</v>
      </c>
      <c r="CF67" s="123">
        <f t="shared" si="101"/>
        <v>15</v>
      </c>
      <c r="CG67" s="123">
        <f t="shared" si="102"/>
        <v>14</v>
      </c>
      <c r="CH67" s="123">
        <f t="shared" si="103"/>
        <v>14</v>
      </c>
      <c r="CI67" s="123">
        <f t="shared" si="104"/>
        <v>13</v>
      </c>
      <c r="CJ67" s="123">
        <f t="shared" si="105"/>
        <v>13</v>
      </c>
      <c r="CK67" s="122">
        <f t="shared" si="106"/>
        <v>13</v>
      </c>
    </row>
    <row r="68" spans="26:89" ht="16.5" customHeight="1">
      <c r="Z68" s="374"/>
      <c r="AA68" s="128">
        <v>2000</v>
      </c>
      <c r="AB68" s="124">
        <v>33</v>
      </c>
      <c r="AC68" s="123">
        <v>33</v>
      </c>
      <c r="AD68" s="123">
        <v>33</v>
      </c>
      <c r="AE68" s="123">
        <v>33</v>
      </c>
      <c r="AF68" s="123">
        <v>32</v>
      </c>
      <c r="AG68" s="123">
        <v>30</v>
      </c>
      <c r="AH68" s="123">
        <v>29</v>
      </c>
      <c r="AI68" s="123">
        <v>24</v>
      </c>
      <c r="AJ68" s="123">
        <v>22</v>
      </c>
      <c r="AK68" s="123">
        <v>19</v>
      </c>
      <c r="AL68" s="123">
        <v>14</v>
      </c>
      <c r="AM68" s="123">
        <v>10</v>
      </c>
      <c r="AN68" s="123">
        <v>7</v>
      </c>
      <c r="AO68" s="123">
        <v>4</v>
      </c>
      <c r="AP68" s="123">
        <v>1</v>
      </c>
      <c r="AQ68" s="123">
        <v>-1</v>
      </c>
      <c r="AR68" s="123">
        <v>-3</v>
      </c>
      <c r="AS68" s="123">
        <v>-4</v>
      </c>
      <c r="AT68" s="123">
        <v>-6</v>
      </c>
      <c r="AU68" s="123">
        <v>-7</v>
      </c>
      <c r="AV68" s="123">
        <v>-9</v>
      </c>
      <c r="AW68" s="123">
        <v>-9</v>
      </c>
      <c r="AX68" s="123">
        <v>-10</v>
      </c>
      <c r="AY68" s="123">
        <v>-10</v>
      </c>
      <c r="AZ68" s="123">
        <v>-10</v>
      </c>
      <c r="BA68" s="123">
        <v>-10</v>
      </c>
      <c r="BB68" s="123">
        <v>-10</v>
      </c>
      <c r="BC68" s="123">
        <v>-10</v>
      </c>
      <c r="BD68" s="123">
        <v>-10</v>
      </c>
      <c r="BE68" s="122">
        <v>-10</v>
      </c>
      <c r="BG68" s="125">
        <v>6500</v>
      </c>
      <c r="BH68" s="131">
        <f t="shared" si="77"/>
        <v>0</v>
      </c>
      <c r="BI68" s="123">
        <f t="shared" si="78"/>
        <v>0</v>
      </c>
      <c r="BJ68" s="123">
        <f t="shared" si="79"/>
        <v>0</v>
      </c>
      <c r="BK68" s="123">
        <f t="shared" si="80"/>
        <v>0</v>
      </c>
      <c r="BL68" s="123">
        <f t="shared" si="81"/>
        <v>1</v>
      </c>
      <c r="BM68" s="123">
        <f t="shared" si="82"/>
        <v>0</v>
      </c>
      <c r="BN68" s="123">
        <f t="shared" si="83"/>
        <v>0</v>
      </c>
      <c r="BO68" s="123">
        <f t="shared" si="84"/>
        <v>-1</v>
      </c>
      <c r="BP68" s="123">
        <f t="shared" si="85"/>
        <v>-1</v>
      </c>
      <c r="BQ68" s="123">
        <f t="shared" si="86"/>
        <v>1</v>
      </c>
      <c r="BR68" s="123">
        <f t="shared" si="87"/>
        <v>3</v>
      </c>
      <c r="BS68" s="123">
        <f t="shared" si="88"/>
        <v>3</v>
      </c>
      <c r="BT68" s="123">
        <f t="shared" si="89"/>
        <v>5</v>
      </c>
      <c r="BU68" s="123">
        <f t="shared" si="90"/>
        <v>4</v>
      </c>
      <c r="BV68" s="123">
        <f t="shared" si="91"/>
        <v>4</v>
      </c>
      <c r="BW68" s="123">
        <f t="shared" si="92"/>
        <v>5</v>
      </c>
      <c r="BX68" s="123">
        <f t="shared" si="93"/>
        <v>7</v>
      </c>
      <c r="BY68" s="123">
        <f t="shared" si="94"/>
        <v>6</v>
      </c>
      <c r="BZ68" s="123">
        <f t="shared" si="95"/>
        <v>8</v>
      </c>
      <c r="CA68" s="123">
        <f t="shared" si="96"/>
        <v>8</v>
      </c>
      <c r="CB68" s="123">
        <f t="shared" si="97"/>
        <v>9</v>
      </c>
      <c r="CC68" s="123">
        <f t="shared" si="98"/>
        <v>10</v>
      </c>
      <c r="CD68" s="123">
        <f t="shared" si="99"/>
        <v>11</v>
      </c>
      <c r="CE68" s="123">
        <f t="shared" si="100"/>
        <v>13</v>
      </c>
      <c r="CF68" s="123">
        <f t="shared" si="101"/>
        <v>14</v>
      </c>
      <c r="CG68" s="123">
        <f t="shared" si="102"/>
        <v>13</v>
      </c>
      <c r="CH68" s="123">
        <f t="shared" si="103"/>
        <v>13</v>
      </c>
      <c r="CI68" s="123">
        <f t="shared" si="104"/>
        <v>12</v>
      </c>
      <c r="CJ68" s="123">
        <f t="shared" si="105"/>
        <v>12</v>
      </c>
      <c r="CK68" s="122">
        <f t="shared" si="106"/>
        <v>12</v>
      </c>
    </row>
    <row r="69" spans="26:89" ht="16.5" customHeight="1">
      <c r="Z69" s="374"/>
      <c r="AA69" s="128">
        <v>2500</v>
      </c>
      <c r="AB69" s="124">
        <v>35</v>
      </c>
      <c r="AC69" s="123">
        <v>35</v>
      </c>
      <c r="AD69" s="123">
        <v>35</v>
      </c>
      <c r="AE69" s="123">
        <v>35</v>
      </c>
      <c r="AF69" s="123">
        <v>33</v>
      </c>
      <c r="AG69" s="123">
        <v>30</v>
      </c>
      <c r="AH69" s="123">
        <v>29</v>
      </c>
      <c r="AI69" s="123">
        <v>24</v>
      </c>
      <c r="AJ69" s="123">
        <v>24</v>
      </c>
      <c r="AK69" s="123">
        <v>22</v>
      </c>
      <c r="AL69" s="123">
        <v>17</v>
      </c>
      <c r="AM69" s="123">
        <v>10</v>
      </c>
      <c r="AN69" s="123">
        <v>7</v>
      </c>
      <c r="AO69" s="123">
        <v>4</v>
      </c>
      <c r="AP69" s="123">
        <v>1</v>
      </c>
      <c r="AQ69" s="123">
        <v>0</v>
      </c>
      <c r="AR69" s="123">
        <v>-2</v>
      </c>
      <c r="AS69" s="123">
        <v>-4</v>
      </c>
      <c r="AT69" s="123">
        <v>-5</v>
      </c>
      <c r="AU69" s="123">
        <v>-7</v>
      </c>
      <c r="AV69" s="123">
        <v>-8</v>
      </c>
      <c r="AW69" s="123">
        <v>-9</v>
      </c>
      <c r="AX69" s="123">
        <v>-10</v>
      </c>
      <c r="AY69" s="123">
        <v>-11</v>
      </c>
      <c r="AZ69" s="123">
        <v>-10</v>
      </c>
      <c r="BA69" s="123">
        <v>-10</v>
      </c>
      <c r="BB69" s="123">
        <v>-10</v>
      </c>
      <c r="BC69" s="123">
        <v>-10</v>
      </c>
      <c r="BD69" s="123">
        <v>-10</v>
      </c>
      <c r="BE69" s="122">
        <v>-10</v>
      </c>
      <c r="BG69" s="125">
        <v>7000</v>
      </c>
      <c r="BH69" s="131">
        <f t="shared" si="77"/>
        <v>0</v>
      </c>
      <c r="BI69" s="123">
        <f t="shared" si="78"/>
        <v>0</v>
      </c>
      <c r="BJ69" s="123">
        <f t="shared" si="79"/>
        <v>0</v>
      </c>
      <c r="BK69" s="123">
        <f t="shared" si="80"/>
        <v>0</v>
      </c>
      <c r="BL69" s="123">
        <f t="shared" si="81"/>
        <v>1</v>
      </c>
      <c r="BM69" s="123">
        <f t="shared" si="82"/>
        <v>0</v>
      </c>
      <c r="BN69" s="123">
        <f t="shared" si="83"/>
        <v>0</v>
      </c>
      <c r="BO69" s="123">
        <f t="shared" si="84"/>
        <v>0</v>
      </c>
      <c r="BP69" s="123">
        <f t="shared" si="85"/>
        <v>-1</v>
      </c>
      <c r="BQ69" s="123">
        <f t="shared" si="86"/>
        <v>-2</v>
      </c>
      <c r="BR69" s="123">
        <f t="shared" si="87"/>
        <v>-2</v>
      </c>
      <c r="BS69" s="123">
        <f t="shared" si="88"/>
        <v>2</v>
      </c>
      <c r="BT69" s="123">
        <f t="shared" si="89"/>
        <v>4</v>
      </c>
      <c r="BU69" s="123">
        <f t="shared" si="90"/>
        <v>4</v>
      </c>
      <c r="BV69" s="123">
        <f t="shared" si="91"/>
        <v>4</v>
      </c>
      <c r="BW69" s="123">
        <f t="shared" si="92"/>
        <v>5</v>
      </c>
      <c r="BX69" s="123">
        <f t="shared" si="93"/>
        <v>7</v>
      </c>
      <c r="BY69" s="123">
        <f t="shared" si="94"/>
        <v>7</v>
      </c>
      <c r="BZ69" s="123">
        <f t="shared" si="95"/>
        <v>9</v>
      </c>
      <c r="CA69" s="123">
        <f t="shared" si="96"/>
        <v>9</v>
      </c>
      <c r="CB69" s="123">
        <f t="shared" si="97"/>
        <v>10</v>
      </c>
      <c r="CC69" s="123">
        <f t="shared" si="98"/>
        <v>11</v>
      </c>
      <c r="CD69" s="123">
        <f t="shared" si="99"/>
        <v>12</v>
      </c>
      <c r="CE69" s="123">
        <f t="shared" si="100"/>
        <v>13</v>
      </c>
      <c r="CF69" s="123">
        <f t="shared" si="101"/>
        <v>14</v>
      </c>
      <c r="CG69" s="123">
        <f t="shared" si="102"/>
        <v>13</v>
      </c>
      <c r="CH69" s="123">
        <f t="shared" si="103"/>
        <v>13</v>
      </c>
      <c r="CI69" s="123">
        <f t="shared" si="104"/>
        <v>12</v>
      </c>
      <c r="CJ69" s="123">
        <f t="shared" si="105"/>
        <v>12</v>
      </c>
      <c r="CK69" s="122">
        <f t="shared" si="106"/>
        <v>12</v>
      </c>
    </row>
    <row r="70" spans="26:89" ht="16.5" customHeight="1">
      <c r="Z70" s="374"/>
      <c r="AA70" s="128">
        <v>2750</v>
      </c>
      <c r="AB70" s="124">
        <v>35</v>
      </c>
      <c r="AC70" s="123">
        <v>35</v>
      </c>
      <c r="AD70" s="123">
        <v>35</v>
      </c>
      <c r="AE70" s="123">
        <v>35</v>
      </c>
      <c r="AF70" s="123">
        <v>33</v>
      </c>
      <c r="AG70" s="123">
        <v>30</v>
      </c>
      <c r="AH70" s="123">
        <v>30</v>
      </c>
      <c r="AI70" s="123">
        <v>26</v>
      </c>
      <c r="AJ70" s="123">
        <v>26</v>
      </c>
      <c r="AK70" s="123">
        <v>23</v>
      </c>
      <c r="AL70" s="123">
        <v>19</v>
      </c>
      <c r="AM70" s="123">
        <v>12</v>
      </c>
      <c r="AN70" s="123">
        <v>8</v>
      </c>
      <c r="AO70" s="123">
        <v>5</v>
      </c>
      <c r="AP70" s="123">
        <v>2</v>
      </c>
      <c r="AQ70" s="123">
        <v>1</v>
      </c>
      <c r="AR70" s="123">
        <v>-1</v>
      </c>
      <c r="AS70" s="123">
        <v>-2</v>
      </c>
      <c r="AT70" s="123">
        <v>-4</v>
      </c>
      <c r="AU70" s="123">
        <v>-5</v>
      </c>
      <c r="AV70" s="123">
        <v>-7</v>
      </c>
      <c r="AW70" s="123">
        <v>-8</v>
      </c>
      <c r="AX70" s="123">
        <v>-9</v>
      </c>
      <c r="AY70" s="123">
        <v>-10</v>
      </c>
      <c r="AZ70" s="123">
        <v>-10</v>
      </c>
      <c r="BA70" s="123">
        <v>-10</v>
      </c>
      <c r="BB70" s="123">
        <v>-10</v>
      </c>
      <c r="BC70" s="123">
        <v>-10</v>
      </c>
      <c r="BD70" s="123">
        <v>-10</v>
      </c>
      <c r="BE70" s="122">
        <v>-10</v>
      </c>
      <c r="BG70" s="125">
        <v>7500</v>
      </c>
      <c r="BH70" s="131">
        <f t="shared" si="77"/>
        <v>0</v>
      </c>
      <c r="BI70" s="123">
        <f t="shared" si="78"/>
        <v>0</v>
      </c>
      <c r="BJ70" s="123">
        <f t="shared" si="79"/>
        <v>0</v>
      </c>
      <c r="BK70" s="123">
        <f t="shared" si="80"/>
        <v>0</v>
      </c>
      <c r="BL70" s="123">
        <f t="shared" si="81"/>
        <v>1</v>
      </c>
      <c r="BM70" s="123">
        <f t="shared" si="82"/>
        <v>0</v>
      </c>
      <c r="BN70" s="123">
        <f t="shared" si="83"/>
        <v>0</v>
      </c>
      <c r="BO70" s="123">
        <f t="shared" si="84"/>
        <v>0</v>
      </c>
      <c r="BP70" s="123">
        <f t="shared" si="85"/>
        <v>-1</v>
      </c>
      <c r="BQ70" s="123">
        <f t="shared" si="86"/>
        <v>-2</v>
      </c>
      <c r="BR70" s="123">
        <f t="shared" si="87"/>
        <v>-2</v>
      </c>
      <c r="BS70" s="123">
        <f t="shared" si="88"/>
        <v>3</v>
      </c>
      <c r="BT70" s="123">
        <f t="shared" si="89"/>
        <v>5</v>
      </c>
      <c r="BU70" s="123">
        <f t="shared" si="90"/>
        <v>5</v>
      </c>
      <c r="BV70" s="123">
        <f t="shared" si="91"/>
        <v>5</v>
      </c>
      <c r="BW70" s="123">
        <f t="shared" si="92"/>
        <v>6</v>
      </c>
      <c r="BX70" s="123">
        <f t="shared" si="93"/>
        <v>7</v>
      </c>
      <c r="BY70" s="123">
        <f t="shared" si="94"/>
        <v>8</v>
      </c>
      <c r="BZ70" s="123">
        <f t="shared" si="95"/>
        <v>10</v>
      </c>
      <c r="CA70" s="123">
        <f t="shared" si="96"/>
        <v>11</v>
      </c>
      <c r="CB70" s="123">
        <f t="shared" si="97"/>
        <v>12</v>
      </c>
      <c r="CC70" s="123">
        <f t="shared" si="98"/>
        <v>13</v>
      </c>
      <c r="CD70" s="123">
        <f t="shared" si="99"/>
        <v>14</v>
      </c>
      <c r="CE70" s="123">
        <f t="shared" si="100"/>
        <v>15</v>
      </c>
      <c r="CF70" s="123">
        <f t="shared" si="101"/>
        <v>16</v>
      </c>
      <c r="CG70" s="123">
        <f t="shared" si="102"/>
        <v>15</v>
      </c>
      <c r="CH70" s="123">
        <f t="shared" si="103"/>
        <v>15</v>
      </c>
      <c r="CI70" s="123">
        <f t="shared" si="104"/>
        <v>13</v>
      </c>
      <c r="CJ70" s="123">
        <f t="shared" si="105"/>
        <v>13</v>
      </c>
      <c r="CK70" s="122">
        <f t="shared" si="106"/>
        <v>12</v>
      </c>
    </row>
    <row r="71" spans="26:89" ht="16.5" customHeight="1">
      <c r="Z71" s="374"/>
      <c r="AA71" s="128">
        <v>3000</v>
      </c>
      <c r="AB71" s="124">
        <v>35</v>
      </c>
      <c r="AC71" s="123">
        <v>35</v>
      </c>
      <c r="AD71" s="123">
        <v>35</v>
      </c>
      <c r="AE71" s="123">
        <v>35</v>
      </c>
      <c r="AF71" s="123">
        <v>33</v>
      </c>
      <c r="AG71" s="123">
        <v>30</v>
      </c>
      <c r="AH71" s="123">
        <v>30</v>
      </c>
      <c r="AI71" s="123">
        <v>28</v>
      </c>
      <c r="AJ71" s="123">
        <v>27</v>
      </c>
      <c r="AK71" s="123">
        <v>23</v>
      </c>
      <c r="AL71" s="123">
        <v>20</v>
      </c>
      <c r="AM71" s="123">
        <v>13</v>
      </c>
      <c r="AN71" s="123">
        <v>9</v>
      </c>
      <c r="AO71" s="123">
        <v>5</v>
      </c>
      <c r="AP71" s="123">
        <v>3</v>
      </c>
      <c r="AQ71" s="123">
        <v>2</v>
      </c>
      <c r="AR71" s="123">
        <v>1</v>
      </c>
      <c r="AS71" s="123">
        <v>-1</v>
      </c>
      <c r="AT71" s="123">
        <v>-2</v>
      </c>
      <c r="AU71" s="123">
        <v>-4</v>
      </c>
      <c r="AV71" s="123">
        <v>-5</v>
      </c>
      <c r="AW71" s="123">
        <v>-7</v>
      </c>
      <c r="AX71" s="123">
        <v>-8</v>
      </c>
      <c r="AY71" s="123">
        <v>-9</v>
      </c>
      <c r="AZ71" s="123">
        <v>-10</v>
      </c>
      <c r="BA71" s="123">
        <v>-10</v>
      </c>
      <c r="BB71" s="123">
        <v>-10</v>
      </c>
      <c r="BC71" s="123">
        <v>-10</v>
      </c>
      <c r="BD71" s="123">
        <v>-10</v>
      </c>
      <c r="BE71" s="122">
        <v>-10</v>
      </c>
      <c r="BG71" s="125">
        <v>8000</v>
      </c>
      <c r="BH71" s="131">
        <f t="shared" si="77"/>
        <v>0</v>
      </c>
      <c r="BI71" s="123">
        <f t="shared" si="78"/>
        <v>0</v>
      </c>
      <c r="BJ71" s="123">
        <f t="shared" si="79"/>
        <v>0</v>
      </c>
      <c r="BK71" s="123">
        <f t="shared" si="80"/>
        <v>0</v>
      </c>
      <c r="BL71" s="123">
        <f t="shared" si="81"/>
        <v>1</v>
      </c>
      <c r="BM71" s="123">
        <f t="shared" si="82"/>
        <v>0</v>
      </c>
      <c r="BN71" s="123">
        <f t="shared" si="83"/>
        <v>0</v>
      </c>
      <c r="BO71" s="123">
        <f t="shared" si="84"/>
        <v>0</v>
      </c>
      <c r="BP71" s="123">
        <f t="shared" si="85"/>
        <v>-1</v>
      </c>
      <c r="BQ71" s="123">
        <f t="shared" si="86"/>
        <v>-2</v>
      </c>
      <c r="BR71" s="123">
        <f t="shared" si="87"/>
        <v>-1</v>
      </c>
      <c r="BS71" s="123">
        <f t="shared" si="88"/>
        <v>4</v>
      </c>
      <c r="BT71" s="123">
        <f t="shared" si="89"/>
        <v>6</v>
      </c>
      <c r="BU71" s="123">
        <f t="shared" si="90"/>
        <v>6</v>
      </c>
      <c r="BV71" s="123">
        <f t="shared" si="91"/>
        <v>6</v>
      </c>
      <c r="BW71" s="123">
        <f t="shared" si="92"/>
        <v>7</v>
      </c>
      <c r="BX71" s="123">
        <f t="shared" si="93"/>
        <v>8</v>
      </c>
      <c r="BY71" s="123">
        <f t="shared" si="94"/>
        <v>9</v>
      </c>
      <c r="BZ71" s="123">
        <f t="shared" si="95"/>
        <v>12</v>
      </c>
      <c r="CA71" s="123">
        <f t="shared" si="96"/>
        <v>12</v>
      </c>
      <c r="CB71" s="123">
        <f t="shared" si="97"/>
        <v>13</v>
      </c>
      <c r="CC71" s="123">
        <f t="shared" si="98"/>
        <v>14</v>
      </c>
      <c r="CD71" s="123">
        <f t="shared" si="99"/>
        <v>15</v>
      </c>
      <c r="CE71" s="123">
        <f t="shared" si="100"/>
        <v>16</v>
      </c>
      <c r="CF71" s="123">
        <f t="shared" si="101"/>
        <v>18</v>
      </c>
      <c r="CG71" s="123">
        <f t="shared" si="102"/>
        <v>17</v>
      </c>
      <c r="CH71" s="123">
        <f t="shared" si="103"/>
        <v>16</v>
      </c>
      <c r="CI71" s="123">
        <f t="shared" si="104"/>
        <v>14</v>
      </c>
      <c r="CJ71" s="123">
        <f t="shared" si="105"/>
        <v>14</v>
      </c>
      <c r="CK71" s="122">
        <f t="shared" si="106"/>
        <v>14</v>
      </c>
    </row>
    <row r="72" spans="26:89" ht="16.5" customHeight="1">
      <c r="Z72" s="374"/>
      <c r="AA72" s="128">
        <v>3250</v>
      </c>
      <c r="AB72" s="124">
        <v>35</v>
      </c>
      <c r="AC72" s="123">
        <v>35</v>
      </c>
      <c r="AD72" s="123">
        <v>35</v>
      </c>
      <c r="AE72" s="123">
        <v>35</v>
      </c>
      <c r="AF72" s="123">
        <v>33</v>
      </c>
      <c r="AG72" s="123">
        <v>30</v>
      </c>
      <c r="AH72" s="123">
        <v>29</v>
      </c>
      <c r="AI72" s="123">
        <v>27</v>
      </c>
      <c r="AJ72" s="123">
        <v>26</v>
      </c>
      <c r="AK72" s="123">
        <v>24</v>
      </c>
      <c r="AL72" s="123">
        <v>21</v>
      </c>
      <c r="AM72" s="123">
        <v>14</v>
      </c>
      <c r="AN72" s="123">
        <v>10</v>
      </c>
      <c r="AO72" s="123">
        <v>6</v>
      </c>
      <c r="AP72" s="123">
        <v>4</v>
      </c>
      <c r="AQ72" s="123">
        <v>3</v>
      </c>
      <c r="AR72" s="123">
        <v>2</v>
      </c>
      <c r="AS72" s="123">
        <v>1</v>
      </c>
      <c r="AT72" s="123">
        <v>-1</v>
      </c>
      <c r="AU72" s="123">
        <v>-3</v>
      </c>
      <c r="AV72" s="123">
        <v>-4</v>
      </c>
      <c r="AW72" s="123">
        <v>-6</v>
      </c>
      <c r="AX72" s="123">
        <v>-7</v>
      </c>
      <c r="AY72" s="123">
        <v>-8</v>
      </c>
      <c r="AZ72" s="123">
        <v>-10</v>
      </c>
      <c r="BA72" s="123">
        <v>-10</v>
      </c>
      <c r="BB72" s="123">
        <v>-10</v>
      </c>
      <c r="BC72" s="123">
        <v>-10</v>
      </c>
      <c r="BD72" s="123">
        <v>-10</v>
      </c>
      <c r="BE72" s="122">
        <v>-10</v>
      </c>
      <c r="BG72" s="125">
        <v>8500</v>
      </c>
      <c r="BH72" s="131">
        <f t="shared" si="77"/>
        <v>0</v>
      </c>
      <c r="BI72" s="123">
        <f t="shared" si="78"/>
        <v>0</v>
      </c>
      <c r="BJ72" s="123">
        <f t="shared" si="79"/>
        <v>0</v>
      </c>
      <c r="BK72" s="123">
        <f t="shared" si="80"/>
        <v>0</v>
      </c>
      <c r="BL72" s="123">
        <f t="shared" si="81"/>
        <v>1</v>
      </c>
      <c r="BM72" s="123">
        <f t="shared" si="82"/>
        <v>0</v>
      </c>
      <c r="BN72" s="123">
        <f t="shared" si="83"/>
        <v>0</v>
      </c>
      <c r="BO72" s="123">
        <f t="shared" si="84"/>
        <v>0</v>
      </c>
      <c r="BP72" s="123">
        <f t="shared" si="85"/>
        <v>-1</v>
      </c>
      <c r="BQ72" s="123">
        <f t="shared" si="86"/>
        <v>-2</v>
      </c>
      <c r="BR72" s="123">
        <f t="shared" si="87"/>
        <v>-1</v>
      </c>
      <c r="BS72" s="123">
        <f t="shared" si="88"/>
        <v>5</v>
      </c>
      <c r="BT72" s="123">
        <f t="shared" si="89"/>
        <v>7</v>
      </c>
      <c r="BU72" s="123">
        <f t="shared" si="90"/>
        <v>7</v>
      </c>
      <c r="BV72" s="123">
        <f t="shared" si="91"/>
        <v>7</v>
      </c>
      <c r="BW72" s="123">
        <f t="shared" si="92"/>
        <v>8</v>
      </c>
      <c r="BX72" s="123">
        <f t="shared" si="93"/>
        <v>10</v>
      </c>
      <c r="BY72" s="123">
        <f t="shared" si="94"/>
        <v>11</v>
      </c>
      <c r="BZ72" s="123">
        <f t="shared" si="95"/>
        <v>13</v>
      </c>
      <c r="CA72" s="123">
        <f t="shared" si="96"/>
        <v>13</v>
      </c>
      <c r="CB72" s="123">
        <f t="shared" si="97"/>
        <v>14</v>
      </c>
      <c r="CC72" s="123">
        <f t="shared" si="98"/>
        <v>15</v>
      </c>
      <c r="CD72" s="123">
        <f t="shared" si="99"/>
        <v>17</v>
      </c>
      <c r="CE72" s="123">
        <f t="shared" si="100"/>
        <v>18</v>
      </c>
      <c r="CF72" s="123">
        <f t="shared" si="101"/>
        <v>20</v>
      </c>
      <c r="CG72" s="123">
        <f t="shared" si="102"/>
        <v>19</v>
      </c>
      <c r="CH72" s="123">
        <f t="shared" si="103"/>
        <v>18</v>
      </c>
      <c r="CI72" s="123">
        <f t="shared" si="104"/>
        <v>16</v>
      </c>
      <c r="CJ72" s="123">
        <f t="shared" si="105"/>
        <v>15</v>
      </c>
      <c r="CK72" s="122">
        <f t="shared" si="106"/>
        <v>15</v>
      </c>
    </row>
    <row r="73" spans="26:89" ht="16.5" customHeight="1" thickBot="1">
      <c r="Z73" s="374"/>
      <c r="AA73" s="128">
        <v>3500</v>
      </c>
      <c r="AB73" s="124">
        <v>35</v>
      </c>
      <c r="AC73" s="123">
        <v>35</v>
      </c>
      <c r="AD73" s="123">
        <v>35</v>
      </c>
      <c r="AE73" s="123">
        <v>35</v>
      </c>
      <c r="AF73" s="123">
        <v>33</v>
      </c>
      <c r="AG73" s="123">
        <v>30</v>
      </c>
      <c r="AH73" s="123">
        <v>27</v>
      </c>
      <c r="AI73" s="123">
        <v>26</v>
      </c>
      <c r="AJ73" s="123">
        <v>25</v>
      </c>
      <c r="AK73" s="123">
        <v>25</v>
      </c>
      <c r="AL73" s="123">
        <v>22</v>
      </c>
      <c r="AM73" s="123">
        <v>14</v>
      </c>
      <c r="AN73" s="123">
        <v>10</v>
      </c>
      <c r="AO73" s="123">
        <v>7</v>
      </c>
      <c r="AP73" s="123">
        <v>5</v>
      </c>
      <c r="AQ73" s="129">
        <v>4</v>
      </c>
      <c r="AR73" s="129">
        <v>3</v>
      </c>
      <c r="AS73" s="129">
        <v>2</v>
      </c>
      <c r="AT73" s="129">
        <v>0</v>
      </c>
      <c r="AU73" s="129">
        <v>-2</v>
      </c>
      <c r="AV73" s="123">
        <v>-3</v>
      </c>
      <c r="AW73" s="123">
        <v>-5</v>
      </c>
      <c r="AX73" s="123">
        <v>-6</v>
      </c>
      <c r="AY73" s="123">
        <v>-8</v>
      </c>
      <c r="AZ73" s="123">
        <v>-9</v>
      </c>
      <c r="BA73" s="123">
        <v>-9</v>
      </c>
      <c r="BB73" s="123">
        <v>-9</v>
      </c>
      <c r="BC73" s="123">
        <v>-9</v>
      </c>
      <c r="BD73" s="123">
        <v>-9</v>
      </c>
      <c r="BE73" s="122">
        <v>-9</v>
      </c>
      <c r="BG73" s="121">
        <v>11000</v>
      </c>
      <c r="BH73" s="130">
        <f t="shared" si="77"/>
        <v>0</v>
      </c>
      <c r="BI73" s="119">
        <f t="shared" si="78"/>
        <v>0</v>
      </c>
      <c r="BJ73" s="119">
        <f t="shared" si="79"/>
        <v>0</v>
      </c>
      <c r="BK73" s="119">
        <f t="shared" si="80"/>
        <v>0</v>
      </c>
      <c r="BL73" s="119">
        <f t="shared" si="81"/>
        <v>1</v>
      </c>
      <c r="BM73" s="119">
        <f t="shared" si="82"/>
        <v>0</v>
      </c>
      <c r="BN73" s="119">
        <f t="shared" si="83"/>
        <v>0</v>
      </c>
      <c r="BO73" s="119">
        <f t="shared" si="84"/>
        <v>0</v>
      </c>
      <c r="BP73" s="119">
        <f t="shared" si="85"/>
        <v>-1</v>
      </c>
      <c r="BQ73" s="119">
        <f t="shared" si="86"/>
        <v>-2</v>
      </c>
      <c r="BR73" s="119">
        <f t="shared" si="87"/>
        <v>0</v>
      </c>
      <c r="BS73" s="119">
        <f t="shared" si="88"/>
        <v>7</v>
      </c>
      <c r="BT73" s="119">
        <f t="shared" si="89"/>
        <v>9</v>
      </c>
      <c r="BU73" s="119">
        <f t="shared" si="90"/>
        <v>9</v>
      </c>
      <c r="BV73" s="119">
        <f t="shared" si="91"/>
        <v>10</v>
      </c>
      <c r="BW73" s="119">
        <f t="shared" si="92"/>
        <v>10</v>
      </c>
      <c r="BX73" s="119">
        <f t="shared" si="93"/>
        <v>11</v>
      </c>
      <c r="BY73" s="119">
        <f t="shared" si="94"/>
        <v>12</v>
      </c>
      <c r="BZ73" s="119">
        <f t="shared" si="95"/>
        <v>14</v>
      </c>
      <c r="CA73" s="119">
        <f t="shared" si="96"/>
        <v>14</v>
      </c>
      <c r="CB73" s="119">
        <f t="shared" si="97"/>
        <v>15</v>
      </c>
      <c r="CC73" s="119">
        <f t="shared" si="98"/>
        <v>16</v>
      </c>
      <c r="CD73" s="119">
        <f t="shared" si="99"/>
        <v>18</v>
      </c>
      <c r="CE73" s="119">
        <f t="shared" si="100"/>
        <v>19</v>
      </c>
      <c r="CF73" s="119">
        <f t="shared" si="101"/>
        <v>21</v>
      </c>
      <c r="CG73" s="119">
        <f t="shared" si="102"/>
        <v>20</v>
      </c>
      <c r="CH73" s="119">
        <f t="shared" si="103"/>
        <v>19</v>
      </c>
      <c r="CI73" s="119">
        <f t="shared" si="104"/>
        <v>17</v>
      </c>
      <c r="CJ73" s="119">
        <f t="shared" si="105"/>
        <v>16</v>
      </c>
      <c r="CK73" s="118">
        <f t="shared" si="106"/>
        <v>16</v>
      </c>
    </row>
    <row r="74" spans="26:89" ht="16.5" customHeight="1">
      <c r="Z74" s="374"/>
      <c r="AA74" s="128">
        <v>3750</v>
      </c>
      <c r="AB74" s="124">
        <v>35</v>
      </c>
      <c r="AC74" s="123">
        <v>35</v>
      </c>
      <c r="AD74" s="123">
        <v>35</v>
      </c>
      <c r="AE74" s="123">
        <v>35</v>
      </c>
      <c r="AF74" s="123">
        <v>33</v>
      </c>
      <c r="AG74" s="123">
        <v>30</v>
      </c>
      <c r="AH74" s="123">
        <v>27</v>
      </c>
      <c r="AI74" s="123">
        <v>26</v>
      </c>
      <c r="AJ74" s="123">
        <v>25</v>
      </c>
      <c r="AK74" s="123">
        <v>25</v>
      </c>
      <c r="AL74" s="123">
        <v>22</v>
      </c>
      <c r="AM74" s="123">
        <v>15</v>
      </c>
      <c r="AN74" s="123">
        <v>11</v>
      </c>
      <c r="AO74" s="123">
        <v>8</v>
      </c>
      <c r="AP74" s="123">
        <v>6</v>
      </c>
      <c r="AQ74" s="129">
        <v>4</v>
      </c>
      <c r="AR74" s="129">
        <v>3</v>
      </c>
      <c r="AS74" s="129">
        <v>1</v>
      </c>
      <c r="AT74" s="129">
        <v>0</v>
      </c>
      <c r="AU74" s="129">
        <v>-2</v>
      </c>
      <c r="AV74" s="123">
        <v>-3</v>
      </c>
      <c r="AW74" s="123">
        <v>-5</v>
      </c>
      <c r="AX74" s="123">
        <v>-6</v>
      </c>
      <c r="AY74" s="123">
        <v>-8</v>
      </c>
      <c r="AZ74" s="123">
        <v>-9</v>
      </c>
      <c r="BA74" s="123">
        <v>-9</v>
      </c>
      <c r="BB74" s="123">
        <v>-9</v>
      </c>
      <c r="BC74" s="123">
        <v>-9</v>
      </c>
      <c r="BD74" s="123">
        <v>-9</v>
      </c>
      <c r="BE74" s="122">
        <v>-9</v>
      </c>
    </row>
    <row r="75" spans="26:89" ht="16.5" customHeight="1">
      <c r="Z75" s="374"/>
      <c r="AA75" s="128">
        <v>4000</v>
      </c>
      <c r="AB75" s="124">
        <v>35</v>
      </c>
      <c r="AC75" s="123">
        <v>35</v>
      </c>
      <c r="AD75" s="123">
        <v>35</v>
      </c>
      <c r="AE75" s="123">
        <v>35</v>
      </c>
      <c r="AF75" s="123">
        <v>33</v>
      </c>
      <c r="AG75" s="123">
        <v>30</v>
      </c>
      <c r="AH75" s="123">
        <v>27</v>
      </c>
      <c r="AI75" s="123">
        <v>26</v>
      </c>
      <c r="AJ75" s="123">
        <v>25</v>
      </c>
      <c r="AK75" s="123">
        <v>25</v>
      </c>
      <c r="AL75" s="123">
        <v>22</v>
      </c>
      <c r="AM75" s="123">
        <v>16</v>
      </c>
      <c r="AN75" s="123">
        <v>12</v>
      </c>
      <c r="AO75" s="123">
        <v>9</v>
      </c>
      <c r="AP75" s="123">
        <v>6</v>
      </c>
      <c r="AQ75" s="129">
        <v>5</v>
      </c>
      <c r="AR75" s="129">
        <v>2</v>
      </c>
      <c r="AS75" s="129">
        <v>1</v>
      </c>
      <c r="AT75" s="129">
        <v>0</v>
      </c>
      <c r="AU75" s="129">
        <v>-2</v>
      </c>
      <c r="AV75" s="123">
        <v>-3</v>
      </c>
      <c r="AW75" s="123">
        <v>-5</v>
      </c>
      <c r="AX75" s="123">
        <v>-6</v>
      </c>
      <c r="AY75" s="123">
        <v>-8</v>
      </c>
      <c r="AZ75" s="123">
        <v>-9</v>
      </c>
      <c r="BA75" s="123">
        <v>-9</v>
      </c>
      <c r="BB75" s="123">
        <v>-9</v>
      </c>
      <c r="BC75" s="123">
        <v>-9</v>
      </c>
      <c r="BD75" s="123">
        <v>-9</v>
      </c>
      <c r="BE75" s="122">
        <v>-9</v>
      </c>
    </row>
    <row r="76" spans="26:89" ht="16.5" customHeight="1">
      <c r="Z76" s="374"/>
      <c r="AA76" s="128">
        <v>4250</v>
      </c>
      <c r="AB76" s="124">
        <v>35</v>
      </c>
      <c r="AC76" s="123">
        <v>35</v>
      </c>
      <c r="AD76" s="123">
        <v>35</v>
      </c>
      <c r="AE76" s="123">
        <v>35</v>
      </c>
      <c r="AF76" s="123">
        <v>33</v>
      </c>
      <c r="AG76" s="123">
        <v>30</v>
      </c>
      <c r="AH76" s="123">
        <v>27</v>
      </c>
      <c r="AI76" s="123">
        <v>26</v>
      </c>
      <c r="AJ76" s="123">
        <v>25</v>
      </c>
      <c r="AK76" s="123">
        <v>25</v>
      </c>
      <c r="AL76" s="123">
        <v>23</v>
      </c>
      <c r="AM76" s="123">
        <v>16</v>
      </c>
      <c r="AN76" s="123">
        <v>12</v>
      </c>
      <c r="AO76" s="123">
        <v>9</v>
      </c>
      <c r="AP76" s="123">
        <v>6</v>
      </c>
      <c r="AQ76" s="123">
        <v>5</v>
      </c>
      <c r="AR76" s="123">
        <v>3</v>
      </c>
      <c r="AS76" s="123">
        <v>2</v>
      </c>
      <c r="AT76" s="123">
        <v>1</v>
      </c>
      <c r="AU76" s="123">
        <v>-1</v>
      </c>
      <c r="AV76" s="123">
        <v>-3</v>
      </c>
      <c r="AW76" s="123">
        <v>-4</v>
      </c>
      <c r="AX76" s="123">
        <v>-6</v>
      </c>
      <c r="AY76" s="123">
        <v>-7</v>
      </c>
      <c r="AZ76" s="123">
        <v>-9</v>
      </c>
      <c r="BA76" s="123">
        <v>-9</v>
      </c>
      <c r="BB76" s="123">
        <v>-9</v>
      </c>
      <c r="BC76" s="123">
        <v>-9</v>
      </c>
      <c r="BD76" s="123">
        <v>-9</v>
      </c>
      <c r="BE76" s="122">
        <v>-9</v>
      </c>
    </row>
    <row r="77" spans="26:89" ht="16.5" customHeight="1">
      <c r="Z77" s="374"/>
      <c r="AA77" s="127">
        <v>4500</v>
      </c>
      <c r="AB77" s="124">
        <v>35</v>
      </c>
      <c r="AC77" s="123">
        <v>35</v>
      </c>
      <c r="AD77" s="123">
        <v>35</v>
      </c>
      <c r="AE77" s="123">
        <v>35</v>
      </c>
      <c r="AF77" s="123">
        <v>33</v>
      </c>
      <c r="AG77" s="123">
        <v>30</v>
      </c>
      <c r="AH77" s="123">
        <v>27</v>
      </c>
      <c r="AI77" s="123">
        <v>26</v>
      </c>
      <c r="AJ77" s="123">
        <v>25</v>
      </c>
      <c r="AK77" s="123">
        <v>25</v>
      </c>
      <c r="AL77" s="123">
        <v>23</v>
      </c>
      <c r="AM77" s="123">
        <v>16</v>
      </c>
      <c r="AN77" s="123">
        <v>12</v>
      </c>
      <c r="AO77" s="123">
        <v>9</v>
      </c>
      <c r="AP77" s="123">
        <v>6</v>
      </c>
      <c r="AQ77" s="123">
        <v>5</v>
      </c>
      <c r="AR77" s="123">
        <v>4</v>
      </c>
      <c r="AS77" s="123">
        <v>3</v>
      </c>
      <c r="AT77" s="123">
        <v>1</v>
      </c>
      <c r="AU77" s="123">
        <v>-1</v>
      </c>
      <c r="AV77" s="123">
        <v>-2</v>
      </c>
      <c r="AW77" s="123">
        <v>-4</v>
      </c>
      <c r="AX77" s="123">
        <v>-5</v>
      </c>
      <c r="AY77" s="123">
        <v>-7</v>
      </c>
      <c r="AZ77" s="123">
        <v>-8</v>
      </c>
      <c r="BA77" s="123">
        <v>-8</v>
      </c>
      <c r="BB77" s="123">
        <v>-8</v>
      </c>
      <c r="BC77" s="123">
        <v>-8</v>
      </c>
      <c r="BD77" s="123">
        <v>-8</v>
      </c>
      <c r="BE77" s="122">
        <v>-8</v>
      </c>
    </row>
    <row r="78" spans="26:89" ht="16.5" customHeight="1">
      <c r="Z78" s="374"/>
      <c r="AA78" s="127">
        <v>4750</v>
      </c>
      <c r="AB78" s="124">
        <v>35</v>
      </c>
      <c r="AC78" s="123">
        <v>35</v>
      </c>
      <c r="AD78" s="123">
        <v>35</v>
      </c>
      <c r="AE78" s="123">
        <v>35</v>
      </c>
      <c r="AF78" s="123">
        <v>33</v>
      </c>
      <c r="AG78" s="123">
        <v>30</v>
      </c>
      <c r="AH78" s="123">
        <v>27</v>
      </c>
      <c r="AI78" s="123">
        <v>26</v>
      </c>
      <c r="AJ78" s="123">
        <v>25</v>
      </c>
      <c r="AK78" s="123">
        <v>25</v>
      </c>
      <c r="AL78" s="123">
        <v>24</v>
      </c>
      <c r="AM78" s="123">
        <v>17</v>
      </c>
      <c r="AN78" s="123">
        <v>12</v>
      </c>
      <c r="AO78" s="123">
        <v>10</v>
      </c>
      <c r="AP78" s="123">
        <v>7</v>
      </c>
      <c r="AQ78" s="123">
        <v>6</v>
      </c>
      <c r="AR78" s="123">
        <v>5</v>
      </c>
      <c r="AS78" s="123">
        <v>3</v>
      </c>
      <c r="AT78" s="123">
        <v>2</v>
      </c>
      <c r="AU78" s="123">
        <v>0</v>
      </c>
      <c r="AV78" s="123">
        <v>-2</v>
      </c>
      <c r="AW78" s="123">
        <v>-3</v>
      </c>
      <c r="AX78" s="123">
        <v>-5</v>
      </c>
      <c r="AY78" s="123">
        <v>-6</v>
      </c>
      <c r="AZ78" s="123">
        <v>-8</v>
      </c>
      <c r="BA78" s="123">
        <v>-8</v>
      </c>
      <c r="BB78" s="123">
        <v>-8</v>
      </c>
      <c r="BC78" s="123">
        <v>-8</v>
      </c>
      <c r="BD78" s="123">
        <v>-8</v>
      </c>
      <c r="BE78" s="122">
        <v>-8</v>
      </c>
    </row>
    <row r="79" spans="26:89" ht="16.5" customHeight="1">
      <c r="Z79" s="374"/>
      <c r="AA79" s="127">
        <v>5000</v>
      </c>
      <c r="AB79" s="124">
        <v>35</v>
      </c>
      <c r="AC79" s="123">
        <v>35</v>
      </c>
      <c r="AD79" s="123">
        <v>35</v>
      </c>
      <c r="AE79" s="123">
        <v>35</v>
      </c>
      <c r="AF79" s="123">
        <v>33</v>
      </c>
      <c r="AG79" s="123">
        <v>30</v>
      </c>
      <c r="AH79" s="123">
        <v>27</v>
      </c>
      <c r="AI79" s="123">
        <v>26</v>
      </c>
      <c r="AJ79" s="123">
        <v>25</v>
      </c>
      <c r="AK79" s="123">
        <v>25</v>
      </c>
      <c r="AL79" s="123">
        <v>24</v>
      </c>
      <c r="AM79" s="123">
        <v>17</v>
      </c>
      <c r="AN79" s="123">
        <v>12</v>
      </c>
      <c r="AO79" s="123">
        <v>10</v>
      </c>
      <c r="AP79" s="123">
        <v>7</v>
      </c>
      <c r="AQ79" s="123">
        <v>6</v>
      </c>
      <c r="AR79" s="123">
        <v>5</v>
      </c>
      <c r="AS79" s="123">
        <v>4</v>
      </c>
      <c r="AT79" s="123">
        <v>2</v>
      </c>
      <c r="AU79" s="123">
        <v>1</v>
      </c>
      <c r="AV79" s="123">
        <v>-1</v>
      </c>
      <c r="AW79" s="123">
        <v>-3</v>
      </c>
      <c r="AX79" s="123">
        <v>-4</v>
      </c>
      <c r="AY79" s="123">
        <v>-6</v>
      </c>
      <c r="AZ79" s="123">
        <v>-7</v>
      </c>
      <c r="BA79" s="123">
        <v>-7</v>
      </c>
      <c r="BB79" s="123">
        <v>-7</v>
      </c>
      <c r="BC79" s="123">
        <v>-7</v>
      </c>
      <c r="BD79" s="123">
        <v>-7</v>
      </c>
      <c r="BE79" s="122">
        <v>-7</v>
      </c>
    </row>
    <row r="80" spans="26:89" ht="16.5" customHeight="1">
      <c r="Z80" s="374"/>
      <c r="AA80" s="127">
        <v>5250</v>
      </c>
      <c r="AB80" s="124">
        <v>35</v>
      </c>
      <c r="AC80" s="123">
        <v>35</v>
      </c>
      <c r="AD80" s="123">
        <v>35</v>
      </c>
      <c r="AE80" s="123">
        <v>35</v>
      </c>
      <c r="AF80" s="123">
        <v>33</v>
      </c>
      <c r="AG80" s="123">
        <v>31</v>
      </c>
      <c r="AH80" s="123">
        <v>29</v>
      </c>
      <c r="AI80" s="123">
        <v>28</v>
      </c>
      <c r="AJ80" s="123">
        <v>27</v>
      </c>
      <c r="AK80" s="123">
        <v>26</v>
      </c>
      <c r="AL80" s="123">
        <v>24</v>
      </c>
      <c r="AM80" s="123">
        <v>18</v>
      </c>
      <c r="AN80" s="123">
        <v>13</v>
      </c>
      <c r="AO80" s="123">
        <v>11</v>
      </c>
      <c r="AP80" s="123">
        <v>9</v>
      </c>
      <c r="AQ80" s="123">
        <v>7</v>
      </c>
      <c r="AR80" s="123">
        <v>6</v>
      </c>
      <c r="AS80" s="123">
        <v>5</v>
      </c>
      <c r="AT80" s="123">
        <v>3</v>
      </c>
      <c r="AU80" s="123">
        <v>2</v>
      </c>
      <c r="AV80" s="123">
        <v>0</v>
      </c>
      <c r="AW80" s="123">
        <v>-2</v>
      </c>
      <c r="AX80" s="123">
        <v>-4</v>
      </c>
      <c r="AY80" s="123">
        <v>-5</v>
      </c>
      <c r="AZ80" s="123">
        <v>-7</v>
      </c>
      <c r="BA80" s="123">
        <v>-7</v>
      </c>
      <c r="BB80" s="123">
        <v>-7</v>
      </c>
      <c r="BC80" s="123">
        <v>-7</v>
      </c>
      <c r="BD80" s="123">
        <v>-7</v>
      </c>
      <c r="BE80" s="122">
        <v>-7</v>
      </c>
    </row>
    <row r="81" spans="26:57" ht="16.5" customHeight="1">
      <c r="Z81" s="374"/>
      <c r="AA81" s="127">
        <v>5500</v>
      </c>
      <c r="AB81" s="124">
        <v>35</v>
      </c>
      <c r="AC81" s="123">
        <v>35</v>
      </c>
      <c r="AD81" s="123">
        <v>35</v>
      </c>
      <c r="AE81" s="123">
        <v>35</v>
      </c>
      <c r="AF81" s="123">
        <v>33</v>
      </c>
      <c r="AG81" s="123">
        <v>32</v>
      </c>
      <c r="AH81" s="123">
        <v>31</v>
      </c>
      <c r="AI81" s="123">
        <v>29</v>
      </c>
      <c r="AJ81" s="123">
        <v>28</v>
      </c>
      <c r="AK81" s="123">
        <v>26</v>
      </c>
      <c r="AL81" s="123">
        <v>24</v>
      </c>
      <c r="AM81" s="123">
        <v>19</v>
      </c>
      <c r="AN81" s="123">
        <v>14</v>
      </c>
      <c r="AO81" s="123">
        <v>12</v>
      </c>
      <c r="AP81" s="123">
        <v>10</v>
      </c>
      <c r="AQ81" s="123">
        <v>9</v>
      </c>
      <c r="AR81" s="123">
        <v>7</v>
      </c>
      <c r="AS81" s="123">
        <v>6</v>
      </c>
      <c r="AT81" s="123">
        <v>4</v>
      </c>
      <c r="AU81" s="123">
        <v>3</v>
      </c>
      <c r="AV81" s="123">
        <v>1</v>
      </c>
      <c r="AW81" s="123">
        <v>-1</v>
      </c>
      <c r="AX81" s="123">
        <v>-3</v>
      </c>
      <c r="AY81" s="123">
        <v>-5</v>
      </c>
      <c r="AZ81" s="123">
        <v>-6</v>
      </c>
      <c r="BA81" s="123">
        <v>-6</v>
      </c>
      <c r="BB81" s="123">
        <v>-6</v>
      </c>
      <c r="BC81" s="123">
        <v>-6</v>
      </c>
      <c r="BD81" s="123">
        <v>-6</v>
      </c>
      <c r="BE81" s="122">
        <v>-6</v>
      </c>
    </row>
    <row r="82" spans="26:57" ht="16.5" customHeight="1">
      <c r="Z82" s="374"/>
      <c r="AA82" s="126">
        <v>5750</v>
      </c>
      <c r="AB82" s="124">
        <v>35</v>
      </c>
      <c r="AC82" s="123">
        <v>35</v>
      </c>
      <c r="AD82" s="123">
        <v>35</v>
      </c>
      <c r="AE82" s="123">
        <v>35</v>
      </c>
      <c r="AF82" s="123">
        <v>34</v>
      </c>
      <c r="AG82" s="123">
        <v>32</v>
      </c>
      <c r="AH82" s="123">
        <v>31</v>
      </c>
      <c r="AI82" s="123">
        <v>30</v>
      </c>
      <c r="AJ82" s="123">
        <v>29</v>
      </c>
      <c r="AK82" s="123">
        <v>28</v>
      </c>
      <c r="AL82" s="123">
        <v>24</v>
      </c>
      <c r="AM82" s="123">
        <v>18</v>
      </c>
      <c r="AN82" s="123">
        <v>15</v>
      </c>
      <c r="AO82" s="123">
        <v>13</v>
      </c>
      <c r="AP82" s="123">
        <v>11</v>
      </c>
      <c r="AQ82" s="123">
        <v>10</v>
      </c>
      <c r="AR82" s="123">
        <v>8</v>
      </c>
      <c r="AS82" s="123">
        <v>7</v>
      </c>
      <c r="AT82" s="123">
        <v>5</v>
      </c>
      <c r="AU82" s="123">
        <v>4</v>
      </c>
      <c r="AV82" s="123">
        <v>2</v>
      </c>
      <c r="AW82" s="123">
        <v>1</v>
      </c>
      <c r="AX82" s="123">
        <v>-1</v>
      </c>
      <c r="AY82" s="123">
        <v>-3</v>
      </c>
      <c r="AZ82" s="123">
        <v>-4</v>
      </c>
      <c r="BA82" s="123">
        <v>-4</v>
      </c>
      <c r="BB82" s="123">
        <v>-4</v>
      </c>
      <c r="BC82" s="123">
        <v>-4</v>
      </c>
      <c r="BD82" s="123">
        <v>-4</v>
      </c>
      <c r="BE82" s="122">
        <v>-4</v>
      </c>
    </row>
    <row r="83" spans="26:57" ht="16.5" customHeight="1">
      <c r="Z83" s="374"/>
      <c r="AA83" s="125">
        <v>6000</v>
      </c>
      <c r="AB83" s="124">
        <v>38</v>
      </c>
      <c r="AC83" s="123">
        <v>38</v>
      </c>
      <c r="AD83" s="123">
        <v>38</v>
      </c>
      <c r="AE83" s="123">
        <v>38</v>
      </c>
      <c r="AF83" s="123">
        <v>37</v>
      </c>
      <c r="AG83" s="123">
        <v>35</v>
      </c>
      <c r="AH83" s="123">
        <v>34</v>
      </c>
      <c r="AI83" s="123">
        <v>34</v>
      </c>
      <c r="AJ83" s="123">
        <v>33</v>
      </c>
      <c r="AK83" s="123">
        <v>30</v>
      </c>
      <c r="AL83" s="123">
        <v>25</v>
      </c>
      <c r="AM83" s="123">
        <v>20</v>
      </c>
      <c r="AN83" s="123">
        <v>17</v>
      </c>
      <c r="AO83" s="123">
        <v>15</v>
      </c>
      <c r="AP83" s="123">
        <v>13</v>
      </c>
      <c r="AQ83" s="123">
        <v>12</v>
      </c>
      <c r="AR83" s="123">
        <v>10</v>
      </c>
      <c r="AS83" s="123">
        <v>9</v>
      </c>
      <c r="AT83" s="123">
        <v>7</v>
      </c>
      <c r="AU83" s="123">
        <v>6</v>
      </c>
      <c r="AV83" s="123">
        <v>4</v>
      </c>
      <c r="AW83" s="123">
        <v>3</v>
      </c>
      <c r="AX83" s="123">
        <v>1</v>
      </c>
      <c r="AY83" s="123">
        <v>-1</v>
      </c>
      <c r="AZ83" s="123">
        <v>-2</v>
      </c>
      <c r="BA83" s="123">
        <v>-2</v>
      </c>
      <c r="BB83" s="123">
        <v>-2</v>
      </c>
      <c r="BC83" s="123">
        <v>-2</v>
      </c>
      <c r="BD83" s="123">
        <v>-2</v>
      </c>
      <c r="BE83" s="122">
        <v>-2</v>
      </c>
    </row>
    <row r="84" spans="26:57">
      <c r="Z84" s="374"/>
      <c r="AA84" s="125">
        <v>6250</v>
      </c>
      <c r="AB84" s="124">
        <v>38</v>
      </c>
      <c r="AC84" s="123">
        <v>38</v>
      </c>
      <c r="AD84" s="123">
        <v>38</v>
      </c>
      <c r="AE84" s="123">
        <v>38</v>
      </c>
      <c r="AF84" s="123">
        <v>37</v>
      </c>
      <c r="AG84" s="123">
        <v>36</v>
      </c>
      <c r="AH84" s="123">
        <v>35</v>
      </c>
      <c r="AI84" s="123">
        <v>34</v>
      </c>
      <c r="AJ84" s="123">
        <v>34</v>
      </c>
      <c r="AK84" s="123">
        <v>34</v>
      </c>
      <c r="AL84" s="123">
        <v>31</v>
      </c>
      <c r="AM84" s="123">
        <v>22</v>
      </c>
      <c r="AN84" s="123">
        <v>19</v>
      </c>
      <c r="AO84" s="123">
        <v>16</v>
      </c>
      <c r="AP84" s="123">
        <v>14</v>
      </c>
      <c r="AQ84" s="123">
        <v>13</v>
      </c>
      <c r="AR84" s="123">
        <v>11</v>
      </c>
      <c r="AS84" s="123">
        <v>10</v>
      </c>
      <c r="AT84" s="123">
        <v>8</v>
      </c>
      <c r="AU84" s="123">
        <v>7</v>
      </c>
      <c r="AV84" s="123">
        <v>5</v>
      </c>
      <c r="AW84" s="123">
        <v>4</v>
      </c>
      <c r="AX84" s="123">
        <v>2</v>
      </c>
      <c r="AY84" s="123">
        <v>1</v>
      </c>
      <c r="AZ84" s="123">
        <v>-1</v>
      </c>
      <c r="BA84" s="123">
        <v>-1</v>
      </c>
      <c r="BB84" s="123">
        <v>-1</v>
      </c>
      <c r="BC84" s="123">
        <v>-1</v>
      </c>
      <c r="BD84" s="123">
        <v>-1</v>
      </c>
      <c r="BE84" s="122">
        <v>-1</v>
      </c>
    </row>
    <row r="85" spans="26:57">
      <c r="Z85" s="374"/>
      <c r="AA85" s="125">
        <v>6500</v>
      </c>
      <c r="AB85" s="124">
        <v>38</v>
      </c>
      <c r="AC85" s="123">
        <v>38</v>
      </c>
      <c r="AD85" s="123">
        <v>38</v>
      </c>
      <c r="AE85" s="123">
        <v>38</v>
      </c>
      <c r="AF85" s="123">
        <v>37</v>
      </c>
      <c r="AG85" s="123">
        <v>36</v>
      </c>
      <c r="AH85" s="123">
        <v>35</v>
      </c>
      <c r="AI85" s="123">
        <v>34</v>
      </c>
      <c r="AJ85" s="123">
        <v>34</v>
      </c>
      <c r="AK85" s="123">
        <v>34</v>
      </c>
      <c r="AL85" s="123">
        <v>31</v>
      </c>
      <c r="AM85" s="123">
        <v>22</v>
      </c>
      <c r="AN85" s="123">
        <v>19</v>
      </c>
      <c r="AO85" s="123">
        <v>16</v>
      </c>
      <c r="AP85" s="123">
        <v>14</v>
      </c>
      <c r="AQ85" s="123">
        <v>13</v>
      </c>
      <c r="AR85" s="123">
        <v>11</v>
      </c>
      <c r="AS85" s="123">
        <v>10</v>
      </c>
      <c r="AT85" s="123">
        <v>8</v>
      </c>
      <c r="AU85" s="123">
        <v>7</v>
      </c>
      <c r="AV85" s="123">
        <v>5</v>
      </c>
      <c r="AW85" s="123">
        <v>4</v>
      </c>
      <c r="AX85" s="123">
        <v>2</v>
      </c>
      <c r="AY85" s="123">
        <v>1</v>
      </c>
      <c r="AZ85" s="123">
        <v>-1</v>
      </c>
      <c r="BA85" s="123">
        <v>-1</v>
      </c>
      <c r="BB85" s="123">
        <v>-1</v>
      </c>
      <c r="BC85" s="123">
        <v>-1</v>
      </c>
      <c r="BD85" s="123">
        <v>-1</v>
      </c>
      <c r="BE85" s="122">
        <v>-1</v>
      </c>
    </row>
    <row r="86" spans="26:57">
      <c r="Z86" s="374"/>
      <c r="AA86" s="125">
        <v>6750</v>
      </c>
      <c r="AB86" s="124">
        <v>38</v>
      </c>
      <c r="AC86" s="123">
        <v>38</v>
      </c>
      <c r="AD86" s="123">
        <v>38</v>
      </c>
      <c r="AE86" s="123">
        <v>38</v>
      </c>
      <c r="AF86" s="123">
        <v>37</v>
      </c>
      <c r="AG86" s="123">
        <v>36</v>
      </c>
      <c r="AH86" s="123">
        <v>35</v>
      </c>
      <c r="AI86" s="123">
        <v>34</v>
      </c>
      <c r="AJ86" s="123">
        <v>34</v>
      </c>
      <c r="AK86" s="123">
        <v>34</v>
      </c>
      <c r="AL86" s="123">
        <v>31</v>
      </c>
      <c r="AM86" s="123">
        <v>22</v>
      </c>
      <c r="AN86" s="123">
        <v>19</v>
      </c>
      <c r="AO86" s="123">
        <v>16</v>
      </c>
      <c r="AP86" s="123">
        <v>14</v>
      </c>
      <c r="AQ86" s="123">
        <v>13</v>
      </c>
      <c r="AR86" s="123">
        <v>11</v>
      </c>
      <c r="AS86" s="123">
        <v>10</v>
      </c>
      <c r="AT86" s="123">
        <v>8</v>
      </c>
      <c r="AU86" s="123">
        <v>7</v>
      </c>
      <c r="AV86" s="123">
        <v>5</v>
      </c>
      <c r="AW86" s="123">
        <v>4</v>
      </c>
      <c r="AX86" s="123">
        <v>2</v>
      </c>
      <c r="AY86" s="123">
        <v>1</v>
      </c>
      <c r="AZ86" s="123">
        <v>-1</v>
      </c>
      <c r="BA86" s="123">
        <v>-1</v>
      </c>
      <c r="BB86" s="123">
        <v>-1</v>
      </c>
      <c r="BC86" s="123">
        <v>-1</v>
      </c>
      <c r="BD86" s="123">
        <v>-1</v>
      </c>
      <c r="BE86" s="122">
        <v>-1</v>
      </c>
    </row>
    <row r="87" spans="26:57">
      <c r="Z87" s="374"/>
      <c r="AA87" s="125">
        <v>7000</v>
      </c>
      <c r="AB87" s="124">
        <v>38</v>
      </c>
      <c r="AC87" s="123">
        <v>38</v>
      </c>
      <c r="AD87" s="123">
        <v>38</v>
      </c>
      <c r="AE87" s="123">
        <v>38</v>
      </c>
      <c r="AF87" s="123">
        <v>37</v>
      </c>
      <c r="AG87" s="123">
        <v>36</v>
      </c>
      <c r="AH87" s="123">
        <v>35</v>
      </c>
      <c r="AI87" s="123">
        <v>34</v>
      </c>
      <c r="AJ87" s="123">
        <v>34</v>
      </c>
      <c r="AK87" s="123">
        <v>34</v>
      </c>
      <c r="AL87" s="123">
        <v>31</v>
      </c>
      <c r="AM87" s="123">
        <v>22</v>
      </c>
      <c r="AN87" s="123">
        <v>19</v>
      </c>
      <c r="AO87" s="123">
        <v>16</v>
      </c>
      <c r="AP87" s="123">
        <v>14</v>
      </c>
      <c r="AQ87" s="123">
        <v>13</v>
      </c>
      <c r="AR87" s="123">
        <v>11</v>
      </c>
      <c r="AS87" s="123">
        <v>10</v>
      </c>
      <c r="AT87" s="123">
        <v>8</v>
      </c>
      <c r="AU87" s="123">
        <v>7</v>
      </c>
      <c r="AV87" s="123">
        <v>5</v>
      </c>
      <c r="AW87" s="123">
        <v>4</v>
      </c>
      <c r="AX87" s="123">
        <v>2</v>
      </c>
      <c r="AY87" s="123">
        <v>1</v>
      </c>
      <c r="AZ87" s="123">
        <v>-1</v>
      </c>
      <c r="BA87" s="123">
        <v>-1</v>
      </c>
      <c r="BB87" s="123">
        <v>-1</v>
      </c>
      <c r="BC87" s="123">
        <v>-1</v>
      </c>
      <c r="BD87" s="123">
        <v>-1</v>
      </c>
      <c r="BE87" s="122">
        <v>-1</v>
      </c>
    </row>
    <row r="88" spans="26:57" ht="15.75" thickBot="1">
      <c r="Z88" s="375"/>
      <c r="AA88" s="121">
        <v>7500</v>
      </c>
      <c r="AB88" s="120">
        <v>38</v>
      </c>
      <c r="AC88" s="119">
        <v>38</v>
      </c>
      <c r="AD88" s="119">
        <v>38</v>
      </c>
      <c r="AE88" s="119">
        <v>38</v>
      </c>
      <c r="AF88" s="119">
        <v>37</v>
      </c>
      <c r="AG88" s="119">
        <v>36</v>
      </c>
      <c r="AH88" s="119">
        <v>35</v>
      </c>
      <c r="AI88" s="119">
        <v>34</v>
      </c>
      <c r="AJ88" s="119">
        <v>34</v>
      </c>
      <c r="AK88" s="119">
        <v>34</v>
      </c>
      <c r="AL88" s="119">
        <v>31</v>
      </c>
      <c r="AM88" s="119">
        <v>22</v>
      </c>
      <c r="AN88" s="119">
        <v>19</v>
      </c>
      <c r="AO88" s="119">
        <v>16</v>
      </c>
      <c r="AP88" s="119">
        <v>14</v>
      </c>
      <c r="AQ88" s="119">
        <v>13</v>
      </c>
      <c r="AR88" s="119">
        <v>11</v>
      </c>
      <c r="AS88" s="119">
        <v>10</v>
      </c>
      <c r="AT88" s="119">
        <v>8</v>
      </c>
      <c r="AU88" s="119">
        <v>7</v>
      </c>
      <c r="AV88" s="119">
        <v>5</v>
      </c>
      <c r="AW88" s="119">
        <v>4</v>
      </c>
      <c r="AX88" s="119">
        <v>2</v>
      </c>
      <c r="AY88" s="119">
        <v>1</v>
      </c>
      <c r="AZ88" s="119">
        <v>-1</v>
      </c>
      <c r="BA88" s="119">
        <v>-1</v>
      </c>
      <c r="BB88" s="119">
        <v>-1</v>
      </c>
      <c r="BC88" s="119">
        <v>-1</v>
      </c>
      <c r="BD88" s="119">
        <v>-1</v>
      </c>
      <c r="BE88" s="118">
        <v>-1</v>
      </c>
    </row>
  </sheetData>
  <mergeCells count="15">
    <mergeCell ref="AE1:AK1"/>
    <mergeCell ref="Z35:Z59"/>
    <mergeCell ref="BH47:CK47"/>
    <mergeCell ref="Z61:AA63"/>
    <mergeCell ref="AB61:BE61"/>
    <mergeCell ref="AB62:BE62"/>
    <mergeCell ref="BH17:CK17"/>
    <mergeCell ref="Z64:Z88"/>
    <mergeCell ref="Z3:AA5"/>
    <mergeCell ref="AB3:BE3"/>
    <mergeCell ref="AB4:BE4"/>
    <mergeCell ref="Z6:Z30"/>
    <mergeCell ref="Z32:AA34"/>
    <mergeCell ref="AB32:BE32"/>
    <mergeCell ref="AB33:BE33"/>
  </mergeCells>
  <conditionalFormatting sqref="AB6:BE30">
    <cfRule type="cellIs" dxfId="31" priority="11" stopIfTrue="1" operator="lessThan">
      <formula>AB35</formula>
    </cfRule>
    <cfRule type="cellIs" dxfId="30" priority="12" stopIfTrue="1" operator="greaterThan">
      <formula>AB35</formula>
    </cfRule>
  </conditionalFormatting>
  <conditionalFormatting sqref="BH19:CK43 BH49:CK73">
    <cfRule type="cellIs" dxfId="29" priority="9" stopIfTrue="1" operator="greaterThan">
      <formula>0</formula>
    </cfRule>
    <cfRule type="cellIs" dxfId="28" priority="10" stopIfTrue="1" operator="lessThan">
      <formula>0</formula>
    </cfRule>
  </conditionalFormatting>
  <conditionalFormatting sqref="AB27:BE30">
    <cfRule type="cellIs" dxfId="27" priority="7" stopIfTrue="1" operator="lessThan">
      <formula>AB61</formula>
    </cfRule>
    <cfRule type="cellIs" dxfId="26" priority="8" stopIfTrue="1" operator="greaterThan">
      <formula>AB61</formula>
    </cfRule>
  </conditionalFormatting>
  <conditionalFormatting sqref="AB28:BE28">
    <cfRule type="cellIs" dxfId="25" priority="5" stopIfTrue="1" operator="lessThan">
      <formula>AB62</formula>
    </cfRule>
    <cfRule type="cellIs" dxfId="24" priority="6" stopIfTrue="1" operator="greaterThan">
      <formula>AB62</formula>
    </cfRule>
  </conditionalFormatting>
  <conditionalFormatting sqref="AB29:BE29">
    <cfRule type="cellIs" dxfId="23" priority="3" stopIfTrue="1" operator="lessThan">
      <formula>AB63</formula>
    </cfRule>
    <cfRule type="cellIs" dxfId="22" priority="4" stopIfTrue="1" operator="greaterThan">
      <formula>AB63</formula>
    </cfRule>
  </conditionalFormatting>
  <conditionalFormatting sqref="AB30:BE30">
    <cfRule type="cellIs" dxfId="21" priority="1" stopIfTrue="1" operator="lessThan">
      <formula>AB64</formula>
    </cfRule>
    <cfRule type="cellIs" dxfId="20" priority="2" stopIfTrue="1" operator="greaterThan">
      <formula>AB64</formula>
    </cfRule>
  </conditionalFormatting>
  <printOptions horizontalCentered="1"/>
  <pageMargins left="0.25" right="0.25" top="1" bottom="1" header="0.5" footer="0.5"/>
  <pageSetup paperSize="17"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sheetPr codeName="Sheet3"/>
  <dimension ref="A1:CB121"/>
  <sheetViews>
    <sheetView topLeftCell="A73" zoomScale="60" workbookViewId="0">
      <selection activeCell="U26" sqref="U26:AA26"/>
    </sheetView>
  </sheetViews>
  <sheetFormatPr defaultColWidth="9.140625" defaultRowHeight="12.75"/>
  <cols>
    <col min="1" max="1" width="1.5703125" style="37" customWidth="1"/>
    <col min="2" max="20" width="4.5703125" style="37" customWidth="1"/>
    <col min="21" max="21" width="3.28515625" style="37" customWidth="1"/>
    <col min="22" max="22" width="6.28515625" style="37" bestFit="1" customWidth="1"/>
    <col min="23" max="23" width="5" style="37" bestFit="1" customWidth="1"/>
    <col min="24" max="36" width="5.140625" style="37" bestFit="1" customWidth="1"/>
    <col min="37" max="42" width="5.5703125" style="37" bestFit="1" customWidth="1"/>
    <col min="43" max="46" width="3.140625" style="37" customWidth="1"/>
    <col min="47" max="47" width="5.5703125" style="38" bestFit="1" customWidth="1"/>
    <col min="48" max="59" width="6.7109375" style="39" bestFit="1" customWidth="1"/>
    <col min="60" max="60" width="6.28515625" style="40" bestFit="1" customWidth="1"/>
    <col min="61" max="80" width="4.7109375" style="37" customWidth="1"/>
    <col min="81" max="84" width="4.5703125" style="37" customWidth="1"/>
    <col min="85" max="16384" width="9.140625" style="37"/>
  </cols>
  <sheetData>
    <row r="1" spans="1:80" ht="18" customHeight="1" thickBot="1">
      <c r="A1" s="75"/>
      <c r="B1" s="75"/>
      <c r="C1" s="75"/>
      <c r="D1" s="75"/>
      <c r="U1" s="411" t="s">
        <v>54</v>
      </c>
      <c r="V1" s="412"/>
      <c r="W1" s="415" t="s">
        <v>14</v>
      </c>
      <c r="X1" s="416"/>
      <c r="Y1" s="416"/>
      <c r="Z1" s="409" t="s">
        <v>56</v>
      </c>
      <c r="AA1" s="410"/>
      <c r="AB1" s="80">
        <v>10</v>
      </c>
      <c r="AC1" s="81"/>
      <c r="AD1" s="405" t="s">
        <v>55</v>
      </c>
      <c r="AE1" s="406"/>
      <c r="AF1" s="82">
        <v>10</v>
      </c>
      <c r="AG1" s="83"/>
      <c r="AH1" s="85"/>
      <c r="AI1" s="85"/>
      <c r="AJ1" s="85"/>
      <c r="AK1" s="84"/>
      <c r="AM1" s="88"/>
      <c r="AN1" s="78"/>
      <c r="AR1" s="304" t="s">
        <v>57</v>
      </c>
      <c r="AS1" s="305"/>
      <c r="AT1" s="305"/>
      <c r="AU1" s="305"/>
      <c r="AV1" s="305"/>
      <c r="AW1" s="305"/>
      <c r="AX1" s="305"/>
      <c r="AY1" s="305"/>
      <c r="AZ1" s="305"/>
      <c r="BA1" s="305"/>
      <c r="BB1" s="305"/>
      <c r="BC1" s="305"/>
      <c r="BD1" s="305"/>
      <c r="BE1" s="305"/>
      <c r="BF1" s="306"/>
      <c r="BG1" s="116"/>
    </row>
    <row r="2" spans="1:80" ht="20.25" customHeight="1" thickBot="1">
      <c r="U2" s="390" t="s">
        <v>53</v>
      </c>
      <c r="V2" s="391"/>
      <c r="W2" s="402" t="s">
        <v>15</v>
      </c>
      <c r="X2" s="403"/>
      <c r="Y2" s="403"/>
      <c r="Z2" s="399">
        <f>AB1</f>
        <v>10</v>
      </c>
      <c r="AA2" s="399"/>
      <c r="AB2" s="86"/>
      <c r="AC2" s="86"/>
      <c r="AD2" s="394">
        <f>-AF1</f>
        <v>-10</v>
      </c>
      <c r="AE2" s="394"/>
      <c r="AF2" s="87"/>
      <c r="AH2" s="86"/>
      <c r="AI2" s="89" t="b">
        <v>1</v>
      </c>
      <c r="AJ2" s="85"/>
      <c r="AK2" s="86"/>
      <c r="AL2" s="88"/>
      <c r="AM2" s="88"/>
    </row>
    <row r="3" spans="1:80" ht="15" customHeight="1" thickBot="1">
      <c r="A3" s="36"/>
      <c r="U3" s="278">
        <v>1</v>
      </c>
      <c r="V3" s="279"/>
      <c r="W3" s="304" t="s">
        <v>57</v>
      </c>
      <c r="X3" s="305"/>
      <c r="Y3" s="305"/>
      <c r="Z3" s="305"/>
      <c r="AA3" s="305"/>
      <c r="AB3" s="305"/>
      <c r="AC3" s="305"/>
      <c r="AD3" s="305"/>
      <c r="AE3" s="305"/>
      <c r="AF3" s="305"/>
      <c r="AG3" s="305"/>
      <c r="AH3" s="305"/>
      <c r="AI3" s="305"/>
      <c r="AJ3" s="305"/>
      <c r="AK3" s="305"/>
      <c r="AL3" s="305"/>
      <c r="AM3" s="305"/>
      <c r="AN3" s="305"/>
      <c r="AO3" s="305"/>
      <c r="AP3" s="306"/>
    </row>
    <row r="4" spans="1:80" ht="15" customHeight="1" thickBot="1">
      <c r="A4" s="36"/>
      <c r="U4" s="280"/>
      <c r="V4" s="281"/>
      <c r="W4" s="284" t="s">
        <v>0</v>
      </c>
      <c r="X4" s="360"/>
      <c r="Y4" s="360"/>
      <c r="Z4" s="360"/>
      <c r="AA4" s="360"/>
      <c r="AB4" s="360"/>
      <c r="AC4" s="360"/>
      <c r="AD4" s="360"/>
      <c r="AE4" s="360"/>
      <c r="AF4" s="360"/>
      <c r="AG4" s="360"/>
      <c r="AH4" s="360"/>
      <c r="AI4" s="360"/>
      <c r="AJ4" s="360"/>
      <c r="AK4" s="360"/>
      <c r="AL4" s="360"/>
      <c r="AM4" s="360"/>
      <c r="AN4" s="360"/>
      <c r="AO4" s="360"/>
      <c r="AP4" s="361"/>
    </row>
    <row r="5" spans="1:80" ht="15" customHeight="1" thickBot="1">
      <c r="A5" s="36"/>
      <c r="U5" s="282"/>
      <c r="V5" s="283"/>
      <c r="W5" s="103">
        <v>10</v>
      </c>
      <c r="X5" s="104">
        <v>20</v>
      </c>
      <c r="Y5" s="104">
        <v>30</v>
      </c>
      <c r="Z5" s="104">
        <v>40</v>
      </c>
      <c r="AA5" s="105">
        <v>50</v>
      </c>
      <c r="AB5" s="105">
        <v>60</v>
      </c>
      <c r="AC5" s="105">
        <v>70</v>
      </c>
      <c r="AD5" s="105">
        <v>80</v>
      </c>
      <c r="AE5" s="105">
        <v>90</v>
      </c>
      <c r="AF5" s="105">
        <v>100</v>
      </c>
      <c r="AG5" s="105">
        <v>120</v>
      </c>
      <c r="AH5" s="105">
        <v>140</v>
      </c>
      <c r="AI5" s="106">
        <v>160</v>
      </c>
      <c r="AJ5" s="106">
        <v>180</v>
      </c>
      <c r="AK5" s="106">
        <v>200</v>
      </c>
      <c r="AL5" s="106">
        <v>220</v>
      </c>
      <c r="AM5" s="106">
        <v>240</v>
      </c>
      <c r="AN5" s="107">
        <v>260</v>
      </c>
      <c r="AO5" s="106">
        <v>280</v>
      </c>
      <c r="AP5" s="107">
        <v>300</v>
      </c>
    </row>
    <row r="6" spans="1:80" ht="15" customHeight="1">
      <c r="A6" s="36"/>
      <c r="U6" s="301" t="s">
        <v>1</v>
      </c>
      <c r="V6" s="47">
        <v>500</v>
      </c>
      <c r="W6" s="115">
        <f>72-0.6*IF(AND($AI$2,W80),MIN($AL$23,MAX($AL$24,-$AC$23+W104)),MIN($AL$23,MAX($AL$24,(-$AC$23+MAX(W104+-$Z$2,MIN(W104+-$AD$2,ROUND(AVERAGE(W104,W104,W104,W104,W104:X105),0)))))))</f>
        <v>0</v>
      </c>
      <c r="X6" s="115">
        <f t="shared" ref="X6:AO6" si="0">72-0.6*IF(AND($AI$2,X80),MIN($AL$23,MAX($AL$24,-$AC$23+X104)),MIN($AL$23,MAX($AL$24,(-$AC$23+MAX(X104+-$Z$2,MIN(X104+-$AD$2,ROUND(AVERAGE(X104,X104,X104,X104,W104:Y105),0)))))))</f>
        <v>0</v>
      </c>
      <c r="Y6" s="115">
        <f t="shared" si="0"/>
        <v>0</v>
      </c>
      <c r="Z6" s="115">
        <f t="shared" si="0"/>
        <v>0</v>
      </c>
      <c r="AA6" s="115">
        <f t="shared" si="0"/>
        <v>0</v>
      </c>
      <c r="AB6" s="115">
        <f t="shared" si="0"/>
        <v>1.2000000000000028</v>
      </c>
      <c r="AC6" s="115">
        <f t="shared" si="0"/>
        <v>1.7999999999999972</v>
      </c>
      <c r="AD6" s="115">
        <f t="shared" si="0"/>
        <v>3</v>
      </c>
      <c r="AE6" s="115">
        <f t="shared" si="0"/>
        <v>3</v>
      </c>
      <c r="AF6" s="115">
        <f t="shared" si="0"/>
        <v>3</v>
      </c>
      <c r="AG6" s="115">
        <f t="shared" si="0"/>
        <v>3</v>
      </c>
      <c r="AH6" s="115">
        <f t="shared" si="0"/>
        <v>3</v>
      </c>
      <c r="AI6" s="115">
        <f t="shared" si="0"/>
        <v>3</v>
      </c>
      <c r="AJ6" s="115">
        <f t="shared" si="0"/>
        <v>3</v>
      </c>
      <c r="AK6" s="115">
        <f t="shared" si="0"/>
        <v>3</v>
      </c>
      <c r="AL6" s="115">
        <f t="shared" si="0"/>
        <v>3</v>
      </c>
      <c r="AM6" s="115">
        <f t="shared" si="0"/>
        <v>3</v>
      </c>
      <c r="AN6" s="115">
        <f t="shared" si="0"/>
        <v>3</v>
      </c>
      <c r="AO6" s="115">
        <f t="shared" si="0"/>
        <v>3</v>
      </c>
      <c r="AP6" s="211">
        <f>72-0.6*IF(AND($AI$2,AP80),MIN($AL$23,MAX($AL$24,-$AC$23+AP104)),MIN($AL$23,MAX($AL$24,(-$AC$23+MAX(AP104+-$Z$2,MIN(AP104+-$AD$2,ROUND(AVERAGE(AP104,AP104,AP104,AP104,AO104:AP105),0)))))))</f>
        <v>2.4000000000000057</v>
      </c>
    </row>
    <row r="7" spans="1:80" ht="15" customHeight="1">
      <c r="A7" s="36"/>
      <c r="U7" s="302"/>
      <c r="V7" s="49">
        <v>750</v>
      </c>
      <c r="W7" s="115">
        <f t="shared" ref="W7:W20" si="1">72-0.6*IF(AND($AI$2,W81),MIN($AL$23,MAX($AL$24,-$AC$23+W105)),MIN($AL$23,MAX($AL$24,(-$AC$23+MAX(W105+-$Z$2,MIN(W105+-$AD$2,ROUND(AVERAGE(W105,W105,W105,W105,W104:X106),0)))))))</f>
        <v>0</v>
      </c>
      <c r="X7" s="115">
        <f t="shared" ref="X7:AO7" si="2">72-0.6*IF(AND($AI$2,X81),MIN($AL$23,MAX($AL$24,-$AC$23+X105)),MIN($AL$23,MAX($AL$24,(-$AC$23+MAX(X105+-$Z$2,MIN(X105+-$AD$2,ROUND(AVERAGE(X105,X105,X105,X105,W104:Y106),0)))))))</f>
        <v>0</v>
      </c>
      <c r="Y7" s="115">
        <f t="shared" si="2"/>
        <v>0</v>
      </c>
      <c r="Z7" s="115">
        <f t="shared" si="2"/>
        <v>0.60000000000000853</v>
      </c>
      <c r="AA7" s="115">
        <f t="shared" si="2"/>
        <v>0.60000000000000853</v>
      </c>
      <c r="AB7" s="115">
        <f t="shared" si="2"/>
        <v>2.4000000000000057</v>
      </c>
      <c r="AC7" s="115">
        <f t="shared" si="2"/>
        <v>7.2000000000000028</v>
      </c>
      <c r="AD7" s="115">
        <f t="shared" si="2"/>
        <v>9</v>
      </c>
      <c r="AE7" s="115">
        <f t="shared" si="2"/>
        <v>9.6000000000000014</v>
      </c>
      <c r="AF7" s="115">
        <f t="shared" si="2"/>
        <v>9.6000000000000014</v>
      </c>
      <c r="AG7" s="115">
        <f t="shared" si="2"/>
        <v>9.6000000000000014</v>
      </c>
      <c r="AH7" s="115">
        <f t="shared" si="2"/>
        <v>9.6000000000000014</v>
      </c>
      <c r="AI7" s="115">
        <f t="shared" si="2"/>
        <v>9.6000000000000014</v>
      </c>
      <c r="AJ7" s="115">
        <f t="shared" si="2"/>
        <v>9.6000000000000014</v>
      </c>
      <c r="AK7" s="115">
        <f t="shared" si="2"/>
        <v>9.6000000000000014</v>
      </c>
      <c r="AL7" s="115">
        <f t="shared" si="2"/>
        <v>9.6000000000000014</v>
      </c>
      <c r="AM7" s="115">
        <f t="shared" si="2"/>
        <v>9.6000000000000014</v>
      </c>
      <c r="AN7" s="115">
        <f t="shared" si="2"/>
        <v>9.6000000000000014</v>
      </c>
      <c r="AO7" s="115">
        <f t="shared" si="2"/>
        <v>9.6000000000000014</v>
      </c>
      <c r="AP7" s="211">
        <f t="shared" ref="AP7:AP20" si="3">72-0.6*IF(AND($AI$2,AP81),MIN($AL$23,MAX($AL$24,-$AC$23+AP105)),MIN($AL$23,MAX($AL$24,(-$AC$23+MAX(AP105+-$Z$2,MIN(AP105+-$AD$2,ROUND(AVERAGE(AP105,AP105,AP105,AP105,AO104:AP106),0)))))))</f>
        <v>9.6000000000000014</v>
      </c>
    </row>
    <row r="8" spans="1:80" ht="15" customHeight="1">
      <c r="A8" s="36"/>
      <c r="U8" s="302"/>
      <c r="V8" s="50">
        <v>1000</v>
      </c>
      <c r="W8" s="115">
        <f t="shared" si="1"/>
        <v>1.2000000000000028</v>
      </c>
      <c r="X8" s="115">
        <f t="shared" ref="X8:AO8" si="4">72-0.6*IF(AND($AI$2,X82),MIN($AL$23,MAX($AL$24,-$AC$23+X106)),MIN($AL$23,MAX($AL$24,(-$AC$23+MAX(X106+-$Z$2,MIN(X106+-$AD$2,ROUND(AVERAGE(X106,X106,X106,X106,W105:Y107),0)))))))</f>
        <v>1.2000000000000028</v>
      </c>
      <c r="Y8" s="115">
        <f t="shared" si="4"/>
        <v>1.7999999999999972</v>
      </c>
      <c r="Z8" s="115">
        <f t="shared" si="4"/>
        <v>2.4000000000000057</v>
      </c>
      <c r="AA8" s="115">
        <f t="shared" si="4"/>
        <v>4.7999999999999972</v>
      </c>
      <c r="AB8" s="115">
        <f t="shared" si="4"/>
        <v>6.6000000000000085</v>
      </c>
      <c r="AC8" s="115">
        <f t="shared" si="4"/>
        <v>10.800000000000004</v>
      </c>
      <c r="AD8" s="115">
        <f t="shared" si="4"/>
        <v>15.600000000000001</v>
      </c>
      <c r="AE8" s="115">
        <f t="shared" si="4"/>
        <v>16.800000000000004</v>
      </c>
      <c r="AF8" s="115">
        <f t="shared" si="4"/>
        <v>16.800000000000004</v>
      </c>
      <c r="AG8" s="115">
        <f t="shared" si="4"/>
        <v>16.800000000000004</v>
      </c>
      <c r="AH8" s="115">
        <f t="shared" si="4"/>
        <v>16.800000000000004</v>
      </c>
      <c r="AI8" s="115">
        <f t="shared" si="4"/>
        <v>16.800000000000004</v>
      </c>
      <c r="AJ8" s="115">
        <f t="shared" si="4"/>
        <v>16.800000000000004</v>
      </c>
      <c r="AK8" s="115">
        <f t="shared" si="4"/>
        <v>16.800000000000004</v>
      </c>
      <c r="AL8" s="115">
        <f t="shared" si="4"/>
        <v>16.800000000000004</v>
      </c>
      <c r="AM8" s="115">
        <f t="shared" si="4"/>
        <v>16.800000000000004</v>
      </c>
      <c r="AN8" s="115">
        <f t="shared" si="4"/>
        <v>16.800000000000004</v>
      </c>
      <c r="AO8" s="115">
        <f t="shared" si="4"/>
        <v>16.800000000000004</v>
      </c>
      <c r="AP8" s="211">
        <f t="shared" si="3"/>
        <v>17.399999999999999</v>
      </c>
    </row>
    <row r="9" spans="1:80" ht="15" customHeight="1">
      <c r="A9" s="36"/>
      <c r="U9" s="302"/>
      <c r="V9" s="50">
        <v>1250</v>
      </c>
      <c r="W9" s="115">
        <f t="shared" si="1"/>
        <v>3.6000000000000085</v>
      </c>
      <c r="X9" s="115">
        <f t="shared" ref="X9:AO9" si="5">72-0.6*IF(AND($AI$2,X83),MIN($AL$23,MAX($AL$24,-$AC$23+X107)),MIN($AL$23,MAX($AL$24,(-$AC$23+MAX(X107+-$Z$2,MIN(X107+-$AD$2,ROUND(AVERAGE(X107,X107,X107,X107,W106:Y108),0)))))))</f>
        <v>4.2000000000000028</v>
      </c>
      <c r="Y9" s="115">
        <f t="shared" si="5"/>
        <v>6.6000000000000085</v>
      </c>
      <c r="Z9" s="115">
        <f t="shared" si="5"/>
        <v>7.7999999999999972</v>
      </c>
      <c r="AA9" s="115">
        <f t="shared" si="5"/>
        <v>9</v>
      </c>
      <c r="AB9" s="115">
        <f t="shared" si="5"/>
        <v>12</v>
      </c>
      <c r="AC9" s="115">
        <f t="shared" si="5"/>
        <v>15</v>
      </c>
      <c r="AD9" s="115">
        <f t="shared" si="5"/>
        <v>18</v>
      </c>
      <c r="AE9" s="115">
        <f t="shared" si="5"/>
        <v>19.200000000000003</v>
      </c>
      <c r="AF9" s="115">
        <f t="shared" si="5"/>
        <v>19.200000000000003</v>
      </c>
      <c r="AG9" s="115">
        <f t="shared" si="5"/>
        <v>19.200000000000003</v>
      </c>
      <c r="AH9" s="115">
        <f t="shared" si="5"/>
        <v>19.200000000000003</v>
      </c>
      <c r="AI9" s="115">
        <f t="shared" si="5"/>
        <v>19.200000000000003</v>
      </c>
      <c r="AJ9" s="115">
        <f t="shared" si="5"/>
        <v>19.200000000000003</v>
      </c>
      <c r="AK9" s="115">
        <f t="shared" si="5"/>
        <v>19.200000000000003</v>
      </c>
      <c r="AL9" s="115">
        <f t="shared" si="5"/>
        <v>19.200000000000003</v>
      </c>
      <c r="AM9" s="115">
        <f t="shared" si="5"/>
        <v>19.200000000000003</v>
      </c>
      <c r="AN9" s="115">
        <f t="shared" si="5"/>
        <v>19.200000000000003</v>
      </c>
      <c r="AO9" s="115">
        <f t="shared" si="5"/>
        <v>19.200000000000003</v>
      </c>
      <c r="AP9" s="211">
        <f t="shared" si="3"/>
        <v>19.200000000000003</v>
      </c>
    </row>
    <row r="10" spans="1:80" ht="15" customHeight="1">
      <c r="A10" s="36"/>
      <c r="U10" s="302"/>
      <c r="V10" s="50">
        <v>1500</v>
      </c>
      <c r="W10" s="115">
        <f t="shared" si="1"/>
        <v>4.7999999999999972</v>
      </c>
      <c r="X10" s="115">
        <f t="shared" ref="X10:AO10" si="6">72-0.6*IF(AND($AI$2,X84),MIN($AL$23,MAX($AL$24,-$AC$23+X108)),MIN($AL$23,MAX($AL$24,(-$AC$23+MAX(X108+-$Z$2,MIN(X108+-$AD$2,ROUND(AVERAGE(X108,X108,X108,X108,W107:Y109),0)))))))</f>
        <v>6</v>
      </c>
      <c r="Y10" s="115">
        <f t="shared" si="6"/>
        <v>9</v>
      </c>
      <c r="Z10" s="115">
        <f t="shared" si="6"/>
        <v>10.800000000000004</v>
      </c>
      <c r="AA10" s="115">
        <f t="shared" si="6"/>
        <v>12</v>
      </c>
      <c r="AB10" s="115">
        <f t="shared" si="6"/>
        <v>15</v>
      </c>
      <c r="AC10" s="115">
        <f t="shared" si="6"/>
        <v>18</v>
      </c>
      <c r="AD10" s="115">
        <f t="shared" si="6"/>
        <v>18.600000000000001</v>
      </c>
      <c r="AE10" s="115">
        <f t="shared" si="6"/>
        <v>19.200000000000003</v>
      </c>
      <c r="AF10" s="115">
        <f t="shared" si="6"/>
        <v>18.600000000000001</v>
      </c>
      <c r="AG10" s="115">
        <f t="shared" si="6"/>
        <v>18.600000000000001</v>
      </c>
      <c r="AH10" s="115">
        <f t="shared" si="6"/>
        <v>18</v>
      </c>
      <c r="AI10" s="115">
        <f t="shared" si="6"/>
        <v>18</v>
      </c>
      <c r="AJ10" s="115">
        <f t="shared" si="6"/>
        <v>18</v>
      </c>
      <c r="AK10" s="115">
        <f t="shared" si="6"/>
        <v>18</v>
      </c>
      <c r="AL10" s="115">
        <f t="shared" si="6"/>
        <v>18</v>
      </c>
      <c r="AM10" s="115">
        <f t="shared" si="6"/>
        <v>18</v>
      </c>
      <c r="AN10" s="115">
        <f t="shared" si="6"/>
        <v>18</v>
      </c>
      <c r="AO10" s="115">
        <f t="shared" si="6"/>
        <v>18</v>
      </c>
      <c r="AP10" s="211">
        <f t="shared" si="3"/>
        <v>18</v>
      </c>
    </row>
    <row r="11" spans="1:80" ht="15" customHeight="1" thickBot="1">
      <c r="A11" s="36"/>
      <c r="U11" s="302"/>
      <c r="V11" s="51">
        <v>2000</v>
      </c>
      <c r="W11" s="115">
        <f t="shared" si="1"/>
        <v>6</v>
      </c>
      <c r="X11" s="115">
        <f t="shared" ref="X11:AO11" si="7">72-0.6*IF(AND($AI$2,X85),MIN($AL$23,MAX($AL$24,-$AC$23+X109)),MIN($AL$23,MAX($AL$24,(-$AC$23+MAX(X109+-$Z$2,MIN(X109+-$AD$2,ROUND(AVERAGE(X109,X109,X109,X109,W108:Y110),0)))))))</f>
        <v>7.2000000000000028</v>
      </c>
      <c r="Y11" s="115">
        <f t="shared" si="7"/>
        <v>12</v>
      </c>
      <c r="Z11" s="115">
        <f t="shared" si="7"/>
        <v>13.200000000000003</v>
      </c>
      <c r="AA11" s="115">
        <f t="shared" si="7"/>
        <v>14.400000000000006</v>
      </c>
      <c r="AB11" s="115">
        <f t="shared" si="7"/>
        <v>17.399999999999999</v>
      </c>
      <c r="AC11" s="115">
        <f t="shared" si="7"/>
        <v>18.600000000000001</v>
      </c>
      <c r="AD11" s="115">
        <f t="shared" si="7"/>
        <v>19.200000000000003</v>
      </c>
      <c r="AE11" s="115">
        <f t="shared" si="7"/>
        <v>19.200000000000003</v>
      </c>
      <c r="AF11" s="115">
        <f t="shared" si="7"/>
        <v>18.600000000000001</v>
      </c>
      <c r="AG11" s="115">
        <f t="shared" si="7"/>
        <v>16.200000000000003</v>
      </c>
      <c r="AH11" s="115">
        <f t="shared" si="7"/>
        <v>15.600000000000001</v>
      </c>
      <c r="AI11" s="115">
        <f t="shared" si="7"/>
        <v>15.600000000000001</v>
      </c>
      <c r="AJ11" s="115">
        <f t="shared" si="7"/>
        <v>15.600000000000001</v>
      </c>
      <c r="AK11" s="115">
        <f t="shared" si="7"/>
        <v>15.600000000000001</v>
      </c>
      <c r="AL11" s="115">
        <f t="shared" si="7"/>
        <v>15.600000000000001</v>
      </c>
      <c r="AM11" s="115">
        <f t="shared" si="7"/>
        <v>15.600000000000001</v>
      </c>
      <c r="AN11" s="115">
        <f t="shared" si="7"/>
        <v>15.600000000000001</v>
      </c>
      <c r="AO11" s="115">
        <f t="shared" si="7"/>
        <v>15.600000000000001</v>
      </c>
      <c r="AP11" s="211">
        <f t="shared" si="3"/>
        <v>15.600000000000001</v>
      </c>
    </row>
    <row r="12" spans="1:80" ht="15" customHeight="1" thickBot="1">
      <c r="A12" s="36"/>
      <c r="U12" s="302"/>
      <c r="V12" s="51">
        <v>2500</v>
      </c>
      <c r="W12" s="115">
        <f t="shared" si="1"/>
        <v>8.4000000000000057</v>
      </c>
      <c r="X12" s="115">
        <f t="shared" ref="X12:AO12" si="8">72-0.6*IF(AND($AI$2,X86),MIN($AL$23,MAX($AL$24,-$AC$23+X110)),MIN($AL$23,MAX($AL$24,(-$AC$23+MAX(X110+-$Z$2,MIN(X110+-$AD$2,ROUND(AVERAGE(X110,X110,X110,X110,W109:Y111),0)))))))</f>
        <v>10.200000000000003</v>
      </c>
      <c r="Y12" s="115">
        <f t="shared" si="8"/>
        <v>13.200000000000003</v>
      </c>
      <c r="Z12" s="115">
        <f t="shared" si="8"/>
        <v>14.400000000000006</v>
      </c>
      <c r="AA12" s="115">
        <f t="shared" si="8"/>
        <v>15.600000000000001</v>
      </c>
      <c r="AB12" s="115">
        <f t="shared" si="8"/>
        <v>18</v>
      </c>
      <c r="AC12" s="115">
        <f t="shared" si="8"/>
        <v>19.200000000000003</v>
      </c>
      <c r="AD12" s="115">
        <f t="shared" si="8"/>
        <v>19.200000000000003</v>
      </c>
      <c r="AE12" s="115">
        <f t="shared" si="8"/>
        <v>18.600000000000001</v>
      </c>
      <c r="AF12" s="115">
        <f t="shared" si="8"/>
        <v>18</v>
      </c>
      <c r="AG12" s="115">
        <f t="shared" si="8"/>
        <v>15</v>
      </c>
      <c r="AH12" s="115">
        <f t="shared" si="8"/>
        <v>14.400000000000006</v>
      </c>
      <c r="AI12" s="115">
        <f t="shared" si="8"/>
        <v>14.400000000000006</v>
      </c>
      <c r="AJ12" s="115">
        <f t="shared" si="8"/>
        <v>14.400000000000006</v>
      </c>
      <c r="AK12" s="115">
        <f t="shared" si="8"/>
        <v>14.400000000000006</v>
      </c>
      <c r="AL12" s="115">
        <f t="shared" si="8"/>
        <v>14.400000000000006</v>
      </c>
      <c r="AM12" s="115">
        <f t="shared" si="8"/>
        <v>14.400000000000006</v>
      </c>
      <c r="AN12" s="115">
        <f t="shared" si="8"/>
        <v>14.400000000000006</v>
      </c>
      <c r="AO12" s="115">
        <f t="shared" si="8"/>
        <v>14.400000000000006</v>
      </c>
      <c r="AP12" s="211">
        <f t="shared" si="3"/>
        <v>14.400000000000006</v>
      </c>
      <c r="BH12" s="338" t="s">
        <v>6</v>
      </c>
      <c r="BI12" s="339"/>
      <c r="BJ12" s="339"/>
      <c r="BK12" s="339"/>
      <c r="BL12" s="339"/>
      <c r="BM12" s="339"/>
      <c r="BN12" s="339"/>
      <c r="BO12" s="339"/>
      <c r="BP12" s="339"/>
      <c r="BQ12" s="339"/>
      <c r="BR12" s="339"/>
      <c r="BS12" s="339"/>
      <c r="BT12" s="339"/>
      <c r="BU12" s="339"/>
      <c r="BV12" s="339"/>
      <c r="BW12" s="339"/>
      <c r="BX12" s="339"/>
      <c r="BY12" s="339"/>
      <c r="BZ12" s="339"/>
      <c r="CA12" s="339"/>
      <c r="CB12" s="340"/>
    </row>
    <row r="13" spans="1:80" ht="15" customHeight="1" thickBot="1">
      <c r="A13" s="36"/>
      <c r="U13" s="302"/>
      <c r="V13" s="51">
        <v>3000</v>
      </c>
      <c r="W13" s="115">
        <f t="shared" si="1"/>
        <v>9.6000000000000014</v>
      </c>
      <c r="X13" s="115">
        <f t="shared" ref="X13:AO13" si="9">72-0.6*IF(AND($AI$2,X87),MIN($AL$23,MAX($AL$24,-$AC$23+X111)),MIN($AL$23,MAX($AL$24,(-$AC$23+MAX(X111+-$Z$2,MIN(X111+-$AD$2,ROUND(AVERAGE(X111,X111,X111,X111,W110:Y112),0)))))))</f>
        <v>10.200000000000003</v>
      </c>
      <c r="Y13" s="115">
        <f t="shared" si="9"/>
        <v>12.600000000000001</v>
      </c>
      <c r="Z13" s="115">
        <f t="shared" si="9"/>
        <v>13.800000000000004</v>
      </c>
      <c r="AA13" s="115">
        <f t="shared" si="9"/>
        <v>15.600000000000001</v>
      </c>
      <c r="AB13" s="115">
        <f t="shared" si="9"/>
        <v>18.600000000000001</v>
      </c>
      <c r="AC13" s="115">
        <f t="shared" si="9"/>
        <v>19.200000000000003</v>
      </c>
      <c r="AD13" s="115">
        <f t="shared" si="9"/>
        <v>19.200000000000003</v>
      </c>
      <c r="AE13" s="115">
        <f t="shared" si="9"/>
        <v>18.600000000000001</v>
      </c>
      <c r="AF13" s="115">
        <f t="shared" si="9"/>
        <v>16.800000000000004</v>
      </c>
      <c r="AG13" s="115">
        <f t="shared" si="9"/>
        <v>15.600000000000001</v>
      </c>
      <c r="AH13" s="115">
        <f t="shared" si="9"/>
        <v>15.600000000000001</v>
      </c>
      <c r="AI13" s="115">
        <f t="shared" si="9"/>
        <v>15.600000000000001</v>
      </c>
      <c r="AJ13" s="115">
        <f t="shared" si="9"/>
        <v>15.600000000000001</v>
      </c>
      <c r="AK13" s="115">
        <f t="shared" si="9"/>
        <v>15.600000000000001</v>
      </c>
      <c r="AL13" s="115">
        <f t="shared" si="9"/>
        <v>15.600000000000001</v>
      </c>
      <c r="AM13" s="115">
        <f t="shared" si="9"/>
        <v>15.600000000000001</v>
      </c>
      <c r="AN13" s="115">
        <f t="shared" si="9"/>
        <v>15.600000000000001</v>
      </c>
      <c r="AO13" s="115">
        <f t="shared" si="9"/>
        <v>15.600000000000001</v>
      </c>
      <c r="AP13" s="211">
        <f t="shared" si="3"/>
        <v>15.600000000000001</v>
      </c>
      <c r="BH13" s="219"/>
      <c r="BI13" s="193">
        <v>10</v>
      </c>
      <c r="BJ13" s="194">
        <v>20</v>
      </c>
      <c r="BK13" s="194">
        <v>30</v>
      </c>
      <c r="BL13" s="194">
        <v>40</v>
      </c>
      <c r="BM13" s="195">
        <v>50</v>
      </c>
      <c r="BN13" s="195">
        <v>60</v>
      </c>
      <c r="BO13" s="195">
        <v>70</v>
      </c>
      <c r="BP13" s="195">
        <v>80</v>
      </c>
      <c r="BQ13" s="195">
        <v>90</v>
      </c>
      <c r="BR13" s="195">
        <v>100</v>
      </c>
      <c r="BS13" s="195">
        <v>120</v>
      </c>
      <c r="BT13" s="195">
        <v>140</v>
      </c>
      <c r="BU13" s="196">
        <v>160</v>
      </c>
      <c r="BV13" s="196">
        <v>180</v>
      </c>
      <c r="BW13" s="196">
        <v>200</v>
      </c>
      <c r="BX13" s="196">
        <v>220</v>
      </c>
      <c r="BY13" s="196">
        <v>240</v>
      </c>
      <c r="BZ13" s="197">
        <v>260</v>
      </c>
      <c r="CA13" s="196">
        <v>280</v>
      </c>
      <c r="CB13" s="197">
        <v>300</v>
      </c>
    </row>
    <row r="14" spans="1:80" ht="15" customHeight="1">
      <c r="A14" s="36"/>
      <c r="U14" s="302"/>
      <c r="V14" s="51">
        <v>3500</v>
      </c>
      <c r="W14" s="115">
        <f t="shared" si="1"/>
        <v>9.6000000000000014</v>
      </c>
      <c r="X14" s="115">
        <f t="shared" ref="X14:AO14" si="10">72-0.6*IF(AND($AI$2,X88),MIN($AL$23,MAX($AL$24,-$AC$23+X112)),MIN($AL$23,MAX($AL$24,(-$AC$23+MAX(X112+-$Z$2,MIN(X112+-$AD$2,ROUND(AVERAGE(X112,X112,X112,X112,W111:Y113),0)))))))</f>
        <v>10.200000000000003</v>
      </c>
      <c r="Y14" s="115">
        <f t="shared" si="10"/>
        <v>10.200000000000003</v>
      </c>
      <c r="Z14" s="115">
        <f t="shared" si="10"/>
        <v>12</v>
      </c>
      <c r="AA14" s="115">
        <f t="shared" si="10"/>
        <v>16.800000000000004</v>
      </c>
      <c r="AB14" s="115">
        <f t="shared" si="10"/>
        <v>18.600000000000001</v>
      </c>
      <c r="AC14" s="115">
        <f t="shared" si="10"/>
        <v>19.200000000000003</v>
      </c>
      <c r="AD14" s="115">
        <f t="shared" si="10"/>
        <v>19.200000000000003</v>
      </c>
      <c r="AE14" s="115">
        <f t="shared" si="10"/>
        <v>18.600000000000001</v>
      </c>
      <c r="AF14" s="115">
        <f t="shared" si="10"/>
        <v>18</v>
      </c>
      <c r="AG14" s="115">
        <f t="shared" si="10"/>
        <v>16.800000000000004</v>
      </c>
      <c r="AH14" s="115">
        <f t="shared" si="10"/>
        <v>16.800000000000004</v>
      </c>
      <c r="AI14" s="115">
        <f t="shared" si="10"/>
        <v>16.800000000000004</v>
      </c>
      <c r="AJ14" s="115">
        <f t="shared" si="10"/>
        <v>18</v>
      </c>
      <c r="AK14" s="115">
        <f t="shared" si="10"/>
        <v>18.600000000000001</v>
      </c>
      <c r="AL14" s="115">
        <f t="shared" si="10"/>
        <v>19.200000000000003</v>
      </c>
      <c r="AM14" s="115">
        <f t="shared" si="10"/>
        <v>19.200000000000003</v>
      </c>
      <c r="AN14" s="115">
        <f t="shared" si="10"/>
        <v>19.200000000000003</v>
      </c>
      <c r="AO14" s="115">
        <f t="shared" si="10"/>
        <v>19.200000000000003</v>
      </c>
      <c r="AP14" s="211">
        <f t="shared" si="3"/>
        <v>19.200000000000003</v>
      </c>
      <c r="BH14" s="193">
        <v>500</v>
      </c>
      <c r="BI14" s="216">
        <f t="shared" ref="BI14:BR20" si="11">W6-W30</f>
        <v>0</v>
      </c>
      <c r="BJ14" s="217">
        <f t="shared" si="11"/>
        <v>0</v>
      </c>
      <c r="BK14" s="217">
        <f t="shared" si="11"/>
        <v>0</v>
      </c>
      <c r="BL14" s="217">
        <f t="shared" si="11"/>
        <v>0</v>
      </c>
      <c r="BM14" s="217">
        <f t="shared" si="11"/>
        <v>0</v>
      </c>
      <c r="BN14" s="217">
        <f t="shared" si="11"/>
        <v>1.2000000000000028</v>
      </c>
      <c r="BO14" s="217">
        <f t="shared" si="11"/>
        <v>1.7999999999999972</v>
      </c>
      <c r="BP14" s="217">
        <f t="shared" si="11"/>
        <v>3</v>
      </c>
      <c r="BQ14" s="217">
        <f t="shared" si="11"/>
        <v>3</v>
      </c>
      <c r="BR14" s="217">
        <f t="shared" si="11"/>
        <v>3</v>
      </c>
      <c r="BS14" s="217">
        <f t="shared" ref="BS14:CB20" si="12">AG6-AG30</f>
        <v>3</v>
      </c>
      <c r="BT14" s="217">
        <f t="shared" si="12"/>
        <v>3</v>
      </c>
      <c r="BU14" s="217">
        <f t="shared" si="12"/>
        <v>3</v>
      </c>
      <c r="BV14" s="217">
        <f t="shared" si="12"/>
        <v>3</v>
      </c>
      <c r="BW14" s="217">
        <f t="shared" si="12"/>
        <v>3</v>
      </c>
      <c r="BX14" s="217">
        <f t="shared" si="12"/>
        <v>3</v>
      </c>
      <c r="BY14" s="217">
        <f t="shared" si="12"/>
        <v>3</v>
      </c>
      <c r="BZ14" s="217">
        <f t="shared" si="12"/>
        <v>3</v>
      </c>
      <c r="CA14" s="217">
        <f t="shared" si="12"/>
        <v>3</v>
      </c>
      <c r="CB14" s="218">
        <f t="shared" si="12"/>
        <v>2.4000000000000057</v>
      </c>
    </row>
    <row r="15" spans="1:80" ht="15" customHeight="1">
      <c r="A15" s="36"/>
      <c r="U15" s="302"/>
      <c r="V15" s="51">
        <v>4000</v>
      </c>
      <c r="W15" s="115">
        <f t="shared" si="1"/>
        <v>9.6000000000000014</v>
      </c>
      <c r="X15" s="115">
        <f t="shared" ref="X15:AO15" si="13">72-0.6*IF(AND($AI$2,X89),MIN($AL$23,MAX($AL$24,-$AC$23+X113)),MIN($AL$23,MAX($AL$24,(-$AC$23+MAX(X113+-$Z$2,MIN(X113+-$AD$2,ROUND(AVERAGE(X113,X113,X113,X113,W112:Y114),0)))))))</f>
        <v>9.6000000000000014</v>
      </c>
      <c r="Y15" s="115">
        <f t="shared" si="13"/>
        <v>9.6000000000000014</v>
      </c>
      <c r="Z15" s="115">
        <f t="shared" si="13"/>
        <v>11.400000000000006</v>
      </c>
      <c r="AA15" s="115">
        <f t="shared" si="13"/>
        <v>16.200000000000003</v>
      </c>
      <c r="AB15" s="115">
        <f t="shared" si="13"/>
        <v>18.600000000000001</v>
      </c>
      <c r="AC15" s="115">
        <f t="shared" si="13"/>
        <v>18.600000000000001</v>
      </c>
      <c r="AD15" s="115">
        <f t="shared" si="13"/>
        <v>19.200000000000003</v>
      </c>
      <c r="AE15" s="115">
        <f t="shared" si="13"/>
        <v>18.600000000000001</v>
      </c>
      <c r="AF15" s="115">
        <f t="shared" si="13"/>
        <v>16.200000000000003</v>
      </c>
      <c r="AG15" s="115">
        <f t="shared" si="13"/>
        <v>15.600000000000001</v>
      </c>
      <c r="AH15" s="115">
        <f t="shared" si="13"/>
        <v>15.600000000000001</v>
      </c>
      <c r="AI15" s="115">
        <f t="shared" si="13"/>
        <v>15.600000000000001</v>
      </c>
      <c r="AJ15" s="115">
        <f t="shared" si="13"/>
        <v>16.800000000000004</v>
      </c>
      <c r="AK15" s="115">
        <f t="shared" si="13"/>
        <v>21.6</v>
      </c>
      <c r="AL15" s="115">
        <f t="shared" si="13"/>
        <v>22.800000000000004</v>
      </c>
      <c r="AM15" s="115">
        <f t="shared" si="13"/>
        <v>22.800000000000004</v>
      </c>
      <c r="AN15" s="115">
        <f t="shared" si="13"/>
        <v>22.800000000000004</v>
      </c>
      <c r="AO15" s="115">
        <f t="shared" si="13"/>
        <v>22.800000000000004</v>
      </c>
      <c r="AP15" s="211">
        <f t="shared" si="3"/>
        <v>22.800000000000004</v>
      </c>
      <c r="BH15" s="222">
        <v>750</v>
      </c>
      <c r="BI15" s="214">
        <f t="shared" si="11"/>
        <v>0</v>
      </c>
      <c r="BJ15" s="115">
        <f t="shared" si="11"/>
        <v>0</v>
      </c>
      <c r="BK15" s="115">
        <f t="shared" si="11"/>
        <v>0</v>
      </c>
      <c r="BL15" s="115">
        <f t="shared" si="11"/>
        <v>0.60000000000000853</v>
      </c>
      <c r="BM15" s="115">
        <f t="shared" si="11"/>
        <v>0.60000000000000853</v>
      </c>
      <c r="BN15" s="115">
        <f t="shared" si="11"/>
        <v>2.4000000000000057</v>
      </c>
      <c r="BO15" s="115">
        <f t="shared" si="11"/>
        <v>-2.3999999999999968</v>
      </c>
      <c r="BP15" s="115">
        <f t="shared" si="11"/>
        <v>-0.59999999999999964</v>
      </c>
      <c r="BQ15" s="115">
        <f t="shared" si="11"/>
        <v>0</v>
      </c>
      <c r="BR15" s="115">
        <f t="shared" si="11"/>
        <v>0</v>
      </c>
      <c r="BS15" s="115">
        <f t="shared" si="12"/>
        <v>0</v>
      </c>
      <c r="BT15" s="115">
        <f t="shared" si="12"/>
        <v>0</v>
      </c>
      <c r="BU15" s="115">
        <f t="shared" si="12"/>
        <v>0</v>
      </c>
      <c r="BV15" s="115">
        <f t="shared" si="12"/>
        <v>0</v>
      </c>
      <c r="BW15" s="115">
        <f t="shared" si="12"/>
        <v>0</v>
      </c>
      <c r="BX15" s="115">
        <f t="shared" si="12"/>
        <v>0</v>
      </c>
      <c r="BY15" s="115">
        <f t="shared" si="12"/>
        <v>0</v>
      </c>
      <c r="BZ15" s="115">
        <f t="shared" si="12"/>
        <v>0</v>
      </c>
      <c r="CA15" s="115">
        <f t="shared" si="12"/>
        <v>0</v>
      </c>
      <c r="CB15" s="211">
        <f t="shared" si="12"/>
        <v>0</v>
      </c>
    </row>
    <row r="16" spans="1:80" ht="15" customHeight="1">
      <c r="A16" s="36"/>
      <c r="U16" s="302"/>
      <c r="V16" s="51">
        <v>4500</v>
      </c>
      <c r="W16" s="115">
        <f t="shared" si="1"/>
        <v>8.4000000000000057</v>
      </c>
      <c r="X16" s="115">
        <f t="shared" ref="X16:AO16" si="14">72-0.6*IF(AND($AI$2,X90),MIN($AL$23,MAX($AL$24,-$AC$23+X114)),MIN($AL$23,MAX($AL$24,(-$AC$23+MAX(X114+-$Z$2,MIN(X114+-$AD$2,ROUND(AVERAGE(X114,X114,X114,X114,W113:Y115),0)))))))</f>
        <v>8.4000000000000057</v>
      </c>
      <c r="Y16" s="115">
        <f t="shared" si="14"/>
        <v>8.4000000000000057</v>
      </c>
      <c r="Z16" s="115">
        <f t="shared" si="14"/>
        <v>9.6000000000000014</v>
      </c>
      <c r="AA16" s="115">
        <f t="shared" si="14"/>
        <v>13.200000000000003</v>
      </c>
      <c r="AB16" s="115">
        <f t="shared" si="14"/>
        <v>15</v>
      </c>
      <c r="AC16" s="115">
        <f t="shared" si="14"/>
        <v>18</v>
      </c>
      <c r="AD16" s="115">
        <f t="shared" si="14"/>
        <v>18</v>
      </c>
      <c r="AE16" s="115">
        <f t="shared" si="14"/>
        <v>17.399999999999999</v>
      </c>
      <c r="AF16" s="115">
        <f t="shared" si="14"/>
        <v>15</v>
      </c>
      <c r="AG16" s="115">
        <f t="shared" si="14"/>
        <v>14.400000000000006</v>
      </c>
      <c r="AH16" s="115">
        <f t="shared" si="14"/>
        <v>14.400000000000006</v>
      </c>
      <c r="AI16" s="115">
        <f t="shared" si="14"/>
        <v>14.400000000000006</v>
      </c>
      <c r="AJ16" s="115">
        <f t="shared" si="14"/>
        <v>16.800000000000004</v>
      </c>
      <c r="AK16" s="115">
        <f t="shared" si="14"/>
        <v>21.6</v>
      </c>
      <c r="AL16" s="115">
        <f t="shared" si="14"/>
        <v>24</v>
      </c>
      <c r="AM16" s="115">
        <f t="shared" si="14"/>
        <v>24</v>
      </c>
      <c r="AN16" s="115">
        <f t="shared" si="14"/>
        <v>24</v>
      </c>
      <c r="AO16" s="115">
        <f t="shared" si="14"/>
        <v>24</v>
      </c>
      <c r="AP16" s="211">
        <f t="shared" si="3"/>
        <v>24</v>
      </c>
      <c r="BH16" s="223">
        <v>1000</v>
      </c>
      <c r="BI16" s="214">
        <f t="shared" si="11"/>
        <v>1.2000000000000028</v>
      </c>
      <c r="BJ16" s="115">
        <f t="shared" si="11"/>
        <v>1.2000000000000028</v>
      </c>
      <c r="BK16" s="115">
        <f t="shared" si="11"/>
        <v>1.7999999999999972</v>
      </c>
      <c r="BL16" s="115">
        <f t="shared" si="11"/>
        <v>2.4000000000000057</v>
      </c>
      <c r="BM16" s="115">
        <f t="shared" si="11"/>
        <v>0</v>
      </c>
      <c r="BN16" s="115">
        <f t="shared" si="11"/>
        <v>1.8000000000000087</v>
      </c>
      <c r="BO16" s="115">
        <f t="shared" si="11"/>
        <v>1.2000000000000046</v>
      </c>
      <c r="BP16" s="115">
        <f t="shared" si="11"/>
        <v>-3.5999999999999979</v>
      </c>
      <c r="BQ16" s="115">
        <f t="shared" si="11"/>
        <v>-2.399999999999995</v>
      </c>
      <c r="BR16" s="115">
        <f t="shared" si="11"/>
        <v>-2.399999999999995</v>
      </c>
      <c r="BS16" s="115">
        <f t="shared" si="12"/>
        <v>-2.399999999999995</v>
      </c>
      <c r="BT16" s="115">
        <f t="shared" si="12"/>
        <v>-2.399999999999995</v>
      </c>
      <c r="BU16" s="115">
        <f t="shared" si="12"/>
        <v>-2.399999999999995</v>
      </c>
      <c r="BV16" s="115">
        <f t="shared" si="12"/>
        <v>-2.399999999999995</v>
      </c>
      <c r="BW16" s="115">
        <f t="shared" si="12"/>
        <v>-2.399999999999995</v>
      </c>
      <c r="BX16" s="115">
        <f t="shared" si="12"/>
        <v>-2.399999999999995</v>
      </c>
      <c r="BY16" s="115">
        <f t="shared" si="12"/>
        <v>-2.399999999999995</v>
      </c>
      <c r="BZ16" s="115">
        <f t="shared" si="12"/>
        <v>-2.399999999999995</v>
      </c>
      <c r="CA16" s="115">
        <f t="shared" si="12"/>
        <v>-2.399999999999995</v>
      </c>
      <c r="CB16" s="211">
        <f t="shared" si="12"/>
        <v>-1.8000000000000007</v>
      </c>
    </row>
    <row r="17" spans="1:80" ht="15" customHeight="1">
      <c r="A17" s="36"/>
      <c r="U17" s="302"/>
      <c r="V17" s="51">
        <v>5000</v>
      </c>
      <c r="W17" s="115">
        <f t="shared" si="1"/>
        <v>6</v>
      </c>
      <c r="X17" s="115">
        <f t="shared" ref="X17:AO17" si="15">72-0.6*IF(AND($AI$2,X91),MIN($AL$23,MAX($AL$24,-$AC$23+X115)),MIN($AL$23,MAX($AL$24,(-$AC$23+MAX(X115+-$Z$2,MIN(X115+-$AD$2,ROUND(AVERAGE(X115,X115,X115,X115,W114:Y116),0)))))))</f>
        <v>6</v>
      </c>
      <c r="Y17" s="115">
        <f t="shared" si="15"/>
        <v>6</v>
      </c>
      <c r="Z17" s="115">
        <f t="shared" si="15"/>
        <v>6</v>
      </c>
      <c r="AA17" s="115">
        <f t="shared" si="15"/>
        <v>7.7999999999999972</v>
      </c>
      <c r="AB17" s="115">
        <f t="shared" si="15"/>
        <v>12.600000000000001</v>
      </c>
      <c r="AC17" s="115">
        <f t="shared" si="15"/>
        <v>13.800000000000004</v>
      </c>
      <c r="AD17" s="115">
        <f t="shared" si="15"/>
        <v>14.400000000000006</v>
      </c>
      <c r="AE17" s="115">
        <f t="shared" si="15"/>
        <v>13.800000000000004</v>
      </c>
      <c r="AF17" s="115">
        <f t="shared" si="15"/>
        <v>13.800000000000004</v>
      </c>
      <c r="AG17" s="115">
        <f t="shared" si="15"/>
        <v>13.200000000000003</v>
      </c>
      <c r="AH17" s="115">
        <f t="shared" si="15"/>
        <v>13.200000000000003</v>
      </c>
      <c r="AI17" s="115">
        <f t="shared" si="15"/>
        <v>13.800000000000004</v>
      </c>
      <c r="AJ17" s="115">
        <f t="shared" si="15"/>
        <v>15.600000000000001</v>
      </c>
      <c r="AK17" s="115">
        <f t="shared" si="15"/>
        <v>21</v>
      </c>
      <c r="AL17" s="115">
        <f t="shared" si="15"/>
        <v>22.800000000000004</v>
      </c>
      <c r="AM17" s="115">
        <f t="shared" si="15"/>
        <v>22.800000000000004</v>
      </c>
      <c r="AN17" s="115">
        <f t="shared" si="15"/>
        <v>22.800000000000004</v>
      </c>
      <c r="AO17" s="115">
        <f t="shared" si="15"/>
        <v>22.800000000000004</v>
      </c>
      <c r="AP17" s="211">
        <f t="shared" si="3"/>
        <v>22.800000000000004</v>
      </c>
      <c r="BH17" s="223">
        <v>1250</v>
      </c>
      <c r="BI17" s="214">
        <f t="shared" si="11"/>
        <v>-1.1999999999999913</v>
      </c>
      <c r="BJ17" s="115">
        <f t="shared" si="11"/>
        <v>-0.59999999999999698</v>
      </c>
      <c r="BK17" s="115">
        <f t="shared" si="11"/>
        <v>-2.9999999999999911</v>
      </c>
      <c r="BL17" s="115">
        <f t="shared" si="11"/>
        <v>-1.8000000000000025</v>
      </c>
      <c r="BM17" s="115">
        <f t="shared" si="11"/>
        <v>-0.59999999999999964</v>
      </c>
      <c r="BN17" s="115">
        <f t="shared" si="11"/>
        <v>-2.4000000000000004</v>
      </c>
      <c r="BO17" s="115">
        <f t="shared" si="11"/>
        <v>0.59999999999999964</v>
      </c>
      <c r="BP17" s="115">
        <f t="shared" si="11"/>
        <v>-1.1999999999999993</v>
      </c>
      <c r="BQ17" s="115">
        <f t="shared" si="11"/>
        <v>0</v>
      </c>
      <c r="BR17" s="115">
        <f t="shared" si="11"/>
        <v>0</v>
      </c>
      <c r="BS17" s="115">
        <f t="shared" si="12"/>
        <v>0</v>
      </c>
      <c r="BT17" s="115">
        <f t="shared" si="12"/>
        <v>0</v>
      </c>
      <c r="BU17" s="115">
        <f t="shared" si="12"/>
        <v>0</v>
      </c>
      <c r="BV17" s="115">
        <f t="shared" si="12"/>
        <v>0</v>
      </c>
      <c r="BW17" s="115">
        <f t="shared" si="12"/>
        <v>0</v>
      </c>
      <c r="BX17" s="115">
        <f t="shared" si="12"/>
        <v>0</v>
      </c>
      <c r="BY17" s="115">
        <f t="shared" si="12"/>
        <v>0</v>
      </c>
      <c r="BZ17" s="115">
        <f t="shared" si="12"/>
        <v>0</v>
      </c>
      <c r="CA17" s="115">
        <f t="shared" si="12"/>
        <v>0</v>
      </c>
      <c r="CB17" s="211">
        <f t="shared" si="12"/>
        <v>0</v>
      </c>
    </row>
    <row r="18" spans="1:80" ht="15" customHeight="1">
      <c r="A18" s="36"/>
      <c r="U18" s="302"/>
      <c r="V18" s="51">
        <v>5500</v>
      </c>
      <c r="W18" s="115">
        <f t="shared" si="1"/>
        <v>4.7999999999999972</v>
      </c>
      <c r="X18" s="115">
        <f t="shared" ref="X18:AO18" si="16">72-0.6*IF(AND($AI$2,X92),MIN($AL$23,MAX($AL$24,-$AC$23+X116)),MIN($AL$23,MAX($AL$24,(-$AC$23+MAX(X116+-$Z$2,MIN(X116+-$AD$2,ROUND(AVERAGE(X116,X116,X116,X116,W115:Y117),0)))))))</f>
        <v>4.7999999999999972</v>
      </c>
      <c r="Y18" s="115">
        <f t="shared" si="16"/>
        <v>4.7999999999999972</v>
      </c>
      <c r="Z18" s="115">
        <f t="shared" si="16"/>
        <v>4.7999999999999972</v>
      </c>
      <c r="AA18" s="115">
        <f t="shared" si="16"/>
        <v>6</v>
      </c>
      <c r="AB18" s="115">
        <f t="shared" si="16"/>
        <v>8.4000000000000057</v>
      </c>
      <c r="AC18" s="115">
        <f t="shared" si="16"/>
        <v>9.6000000000000014</v>
      </c>
      <c r="AD18" s="115">
        <f t="shared" si="16"/>
        <v>9.6000000000000014</v>
      </c>
      <c r="AE18" s="115">
        <f t="shared" si="16"/>
        <v>9.6000000000000014</v>
      </c>
      <c r="AF18" s="115">
        <f t="shared" si="16"/>
        <v>10.200000000000003</v>
      </c>
      <c r="AG18" s="115">
        <f t="shared" si="16"/>
        <v>10.200000000000003</v>
      </c>
      <c r="AH18" s="115">
        <f t="shared" si="16"/>
        <v>10.800000000000004</v>
      </c>
      <c r="AI18" s="115">
        <f t="shared" si="16"/>
        <v>10.800000000000004</v>
      </c>
      <c r="AJ18" s="115">
        <f t="shared" si="16"/>
        <v>13.800000000000004</v>
      </c>
      <c r="AK18" s="115">
        <f t="shared" si="16"/>
        <v>16.800000000000004</v>
      </c>
      <c r="AL18" s="115">
        <f t="shared" si="16"/>
        <v>18</v>
      </c>
      <c r="AM18" s="115">
        <f t="shared" si="16"/>
        <v>18</v>
      </c>
      <c r="AN18" s="115">
        <f t="shared" si="16"/>
        <v>18</v>
      </c>
      <c r="AO18" s="115">
        <f t="shared" si="16"/>
        <v>18</v>
      </c>
      <c r="AP18" s="211">
        <f t="shared" si="3"/>
        <v>18</v>
      </c>
      <c r="BH18" s="223">
        <v>1500</v>
      </c>
      <c r="BI18" s="214">
        <f t="shared" si="11"/>
        <v>0</v>
      </c>
      <c r="BJ18" s="115">
        <f t="shared" si="11"/>
        <v>1.2000000000000002</v>
      </c>
      <c r="BK18" s="115">
        <f t="shared" si="11"/>
        <v>-0.59999999999999964</v>
      </c>
      <c r="BL18" s="115">
        <f t="shared" si="11"/>
        <v>1.2000000000000046</v>
      </c>
      <c r="BM18" s="115">
        <f t="shared" si="11"/>
        <v>2.4000000000000004</v>
      </c>
      <c r="BN18" s="115">
        <f t="shared" si="11"/>
        <v>0.59999999999999964</v>
      </c>
      <c r="BO18" s="115">
        <f t="shared" si="11"/>
        <v>-1.1999999999999993</v>
      </c>
      <c r="BP18" s="115">
        <f t="shared" si="11"/>
        <v>-0.59999999999999787</v>
      </c>
      <c r="BQ18" s="115">
        <f t="shared" si="11"/>
        <v>0</v>
      </c>
      <c r="BR18" s="115">
        <f t="shared" si="11"/>
        <v>-0.59999999999999787</v>
      </c>
      <c r="BS18" s="115">
        <f t="shared" si="12"/>
        <v>-0.59999999999999787</v>
      </c>
      <c r="BT18" s="115">
        <f t="shared" si="12"/>
        <v>-1.1999999999999993</v>
      </c>
      <c r="BU18" s="115">
        <f t="shared" si="12"/>
        <v>-1.1999999999999993</v>
      </c>
      <c r="BV18" s="115">
        <f t="shared" si="12"/>
        <v>-1.1999999999999993</v>
      </c>
      <c r="BW18" s="115">
        <f t="shared" si="12"/>
        <v>-1.1999999999999993</v>
      </c>
      <c r="BX18" s="115">
        <f t="shared" si="12"/>
        <v>-1.1999999999999993</v>
      </c>
      <c r="BY18" s="115">
        <f t="shared" si="12"/>
        <v>-1.1999999999999993</v>
      </c>
      <c r="BZ18" s="115">
        <f t="shared" si="12"/>
        <v>-1.1999999999999993</v>
      </c>
      <c r="CA18" s="115">
        <f t="shared" si="12"/>
        <v>-1.1999999999999993</v>
      </c>
      <c r="CB18" s="211">
        <f t="shared" si="12"/>
        <v>-1.1999999999999993</v>
      </c>
    </row>
    <row r="19" spans="1:80" ht="15" customHeight="1">
      <c r="A19" s="36"/>
      <c r="U19" s="302"/>
      <c r="V19" s="51">
        <v>6000</v>
      </c>
      <c r="W19" s="115">
        <f t="shared" si="1"/>
        <v>3.6000000000000085</v>
      </c>
      <c r="X19" s="115">
        <f t="shared" ref="X19:AO19" si="17">72-0.6*IF(AND($AI$2,X93),MIN($AL$23,MAX($AL$24,-$AC$23+X117)),MIN($AL$23,MAX($AL$24,(-$AC$23+MAX(X117+-$Z$2,MIN(X117+-$AD$2,ROUND(AVERAGE(X117,X117,X117,X117,W116:Y118),0)))))))</f>
        <v>3.6000000000000085</v>
      </c>
      <c r="Y19" s="115">
        <f t="shared" si="17"/>
        <v>3.6000000000000085</v>
      </c>
      <c r="Z19" s="115">
        <f t="shared" si="17"/>
        <v>3.6000000000000085</v>
      </c>
      <c r="AA19" s="115">
        <f t="shared" si="17"/>
        <v>4.2000000000000028</v>
      </c>
      <c r="AB19" s="115">
        <f t="shared" si="17"/>
        <v>4.2000000000000028</v>
      </c>
      <c r="AC19" s="115">
        <f t="shared" si="17"/>
        <v>4.7999999999999972</v>
      </c>
      <c r="AD19" s="115">
        <f t="shared" si="17"/>
        <v>4.7999999999999972</v>
      </c>
      <c r="AE19" s="115">
        <f t="shared" si="17"/>
        <v>4.7999999999999972</v>
      </c>
      <c r="AF19" s="115">
        <f t="shared" si="17"/>
        <v>5.4000000000000057</v>
      </c>
      <c r="AG19" s="115">
        <f t="shared" si="17"/>
        <v>7.2000000000000028</v>
      </c>
      <c r="AH19" s="115">
        <f t="shared" si="17"/>
        <v>7.2000000000000028</v>
      </c>
      <c r="AI19" s="115">
        <f t="shared" si="17"/>
        <v>7.7999999999999972</v>
      </c>
      <c r="AJ19" s="115">
        <f t="shared" si="17"/>
        <v>8.4000000000000057</v>
      </c>
      <c r="AK19" s="115">
        <f t="shared" si="17"/>
        <v>9</v>
      </c>
      <c r="AL19" s="115">
        <f t="shared" si="17"/>
        <v>9.6000000000000014</v>
      </c>
      <c r="AM19" s="115">
        <f t="shared" si="17"/>
        <v>9.6000000000000014</v>
      </c>
      <c r="AN19" s="115">
        <f t="shared" si="17"/>
        <v>9.6000000000000014</v>
      </c>
      <c r="AO19" s="115">
        <f t="shared" si="17"/>
        <v>9.6000000000000014</v>
      </c>
      <c r="AP19" s="211">
        <f t="shared" si="3"/>
        <v>9.6000000000000014</v>
      </c>
      <c r="BH19" s="224">
        <v>2000</v>
      </c>
      <c r="BI19" s="214">
        <f t="shared" si="11"/>
        <v>1.2000000000000002</v>
      </c>
      <c r="BJ19" s="115">
        <f t="shared" si="11"/>
        <v>2.400000000000003</v>
      </c>
      <c r="BK19" s="115">
        <f t="shared" si="11"/>
        <v>-2.4000000000000004</v>
      </c>
      <c r="BL19" s="115">
        <f t="shared" si="11"/>
        <v>-1.1999999999999975</v>
      </c>
      <c r="BM19" s="115">
        <f t="shared" si="11"/>
        <v>0</v>
      </c>
      <c r="BN19" s="115">
        <f t="shared" si="11"/>
        <v>-1.8000000000000007</v>
      </c>
      <c r="BO19" s="115">
        <f t="shared" si="11"/>
        <v>-0.59999999999999787</v>
      </c>
      <c r="BP19" s="115">
        <f t="shared" si="11"/>
        <v>0</v>
      </c>
      <c r="BQ19" s="115">
        <f t="shared" si="11"/>
        <v>0</v>
      </c>
      <c r="BR19" s="115">
        <f t="shared" si="11"/>
        <v>-0.59999999999999787</v>
      </c>
      <c r="BS19" s="115">
        <f t="shared" si="12"/>
        <v>1.8000000000000025</v>
      </c>
      <c r="BT19" s="115">
        <f t="shared" si="12"/>
        <v>1.2000000000000011</v>
      </c>
      <c r="BU19" s="115">
        <f t="shared" si="12"/>
        <v>1.2000000000000011</v>
      </c>
      <c r="BV19" s="115">
        <f t="shared" si="12"/>
        <v>1.2000000000000011</v>
      </c>
      <c r="BW19" s="115">
        <f t="shared" si="12"/>
        <v>1.2000000000000011</v>
      </c>
      <c r="BX19" s="115">
        <f t="shared" si="12"/>
        <v>1.2000000000000011</v>
      </c>
      <c r="BY19" s="115">
        <f t="shared" si="12"/>
        <v>1.2000000000000011</v>
      </c>
      <c r="BZ19" s="115">
        <f t="shared" si="12"/>
        <v>1.2000000000000011</v>
      </c>
      <c r="CA19" s="115">
        <f t="shared" si="12"/>
        <v>1.2000000000000011</v>
      </c>
      <c r="CB19" s="211">
        <f t="shared" si="12"/>
        <v>1.2000000000000011</v>
      </c>
    </row>
    <row r="20" spans="1:80" ht="15" customHeight="1">
      <c r="A20" s="36"/>
      <c r="U20" s="302"/>
      <c r="V20" s="111">
        <v>6500</v>
      </c>
      <c r="W20" s="115">
        <f t="shared" si="1"/>
        <v>1.2000000000000028</v>
      </c>
      <c r="X20" s="115">
        <f t="shared" ref="X20:AO20" si="18">72-0.6*IF(AND($AI$2,X94),MIN($AL$23,MAX($AL$24,-$AC$23+X118)),MIN($AL$23,MAX($AL$24,(-$AC$23+MAX(X118+-$Z$2,MIN(X118+-$AD$2,ROUND(AVERAGE(X118,X118,X118,X118,W117:Y119),0)))))))</f>
        <v>1.2000000000000028</v>
      </c>
      <c r="Y20" s="115">
        <f t="shared" si="18"/>
        <v>1.2000000000000028</v>
      </c>
      <c r="Z20" s="115">
        <f t="shared" si="18"/>
        <v>1.2000000000000028</v>
      </c>
      <c r="AA20" s="115">
        <f t="shared" si="18"/>
        <v>1.2000000000000028</v>
      </c>
      <c r="AB20" s="115">
        <f t="shared" si="18"/>
        <v>1.2000000000000028</v>
      </c>
      <c r="AC20" s="115">
        <f t="shared" si="18"/>
        <v>1.2000000000000028</v>
      </c>
      <c r="AD20" s="115">
        <f t="shared" si="18"/>
        <v>1.2000000000000028</v>
      </c>
      <c r="AE20" s="115">
        <f t="shared" si="18"/>
        <v>1.2000000000000028</v>
      </c>
      <c r="AF20" s="115">
        <f t="shared" si="18"/>
        <v>1.2000000000000028</v>
      </c>
      <c r="AG20" s="115">
        <f t="shared" si="18"/>
        <v>1.7999999999999972</v>
      </c>
      <c r="AH20" s="115">
        <f t="shared" si="18"/>
        <v>2.4000000000000057</v>
      </c>
      <c r="AI20" s="115">
        <f t="shared" si="18"/>
        <v>2.4000000000000057</v>
      </c>
      <c r="AJ20" s="115">
        <f t="shared" si="18"/>
        <v>2.4000000000000057</v>
      </c>
      <c r="AK20" s="115">
        <f t="shared" si="18"/>
        <v>2.4000000000000057</v>
      </c>
      <c r="AL20" s="115">
        <f t="shared" si="18"/>
        <v>2.4000000000000057</v>
      </c>
      <c r="AM20" s="115">
        <f t="shared" si="18"/>
        <v>2.4000000000000057</v>
      </c>
      <c r="AN20" s="115">
        <f t="shared" si="18"/>
        <v>2.4000000000000057</v>
      </c>
      <c r="AO20" s="115">
        <f t="shared" si="18"/>
        <v>2.4000000000000057</v>
      </c>
      <c r="AP20" s="211">
        <f t="shared" si="3"/>
        <v>1.7999999999999972</v>
      </c>
      <c r="BH20" s="224">
        <v>2500</v>
      </c>
      <c r="BI20" s="214">
        <f t="shared" si="11"/>
        <v>-1.199999999999994</v>
      </c>
      <c r="BJ20" s="115">
        <f t="shared" si="11"/>
        <v>0.6000000000000032</v>
      </c>
      <c r="BK20" s="115">
        <f t="shared" si="11"/>
        <v>-1.1999999999999975</v>
      </c>
      <c r="BL20" s="115">
        <f t="shared" si="11"/>
        <v>0</v>
      </c>
      <c r="BM20" s="115">
        <f t="shared" si="11"/>
        <v>1.2000000000000011</v>
      </c>
      <c r="BN20" s="115">
        <f t="shared" si="11"/>
        <v>-1.1999999999999993</v>
      </c>
      <c r="BO20" s="115">
        <f t="shared" si="11"/>
        <v>0</v>
      </c>
      <c r="BP20" s="115">
        <f t="shared" si="11"/>
        <v>0</v>
      </c>
      <c r="BQ20" s="115">
        <f t="shared" si="11"/>
        <v>-0.59999999999999787</v>
      </c>
      <c r="BR20" s="115">
        <f t="shared" si="11"/>
        <v>-1.1999999999999993</v>
      </c>
      <c r="BS20" s="115">
        <f t="shared" si="12"/>
        <v>0.59999999999999964</v>
      </c>
      <c r="BT20" s="115">
        <f t="shared" si="12"/>
        <v>0</v>
      </c>
      <c r="BU20" s="115">
        <f t="shared" si="12"/>
        <v>0</v>
      </c>
      <c r="BV20" s="115">
        <f t="shared" si="12"/>
        <v>0</v>
      </c>
      <c r="BW20" s="115">
        <f t="shared" si="12"/>
        <v>0</v>
      </c>
      <c r="BX20" s="115">
        <f t="shared" si="12"/>
        <v>0</v>
      </c>
      <c r="BY20" s="115">
        <f t="shared" si="12"/>
        <v>0</v>
      </c>
      <c r="BZ20" s="115">
        <f t="shared" si="12"/>
        <v>0</v>
      </c>
      <c r="CA20" s="115">
        <f t="shared" si="12"/>
        <v>0</v>
      </c>
      <c r="CB20" s="211">
        <f t="shared" si="12"/>
        <v>0</v>
      </c>
    </row>
    <row r="21" spans="1:80" ht="15" customHeight="1" thickBot="1">
      <c r="A21" s="36"/>
      <c r="U21" s="303"/>
      <c r="V21" s="57">
        <v>7000</v>
      </c>
      <c r="W21" s="212">
        <f>72-0.6*IF(AND($AI$2,W95),MIN($AL$23,MAX($AL$24,-$AC$23+W119)),MIN($AL$23,MAX($AL$24,(-$AC$23+MAX(W119+-$Z$2,MIN(W119+-$AD$2,ROUND(AVERAGE(W119,W119,W119,W119,W118:X119),0)))))))</f>
        <v>0</v>
      </c>
      <c r="X21" s="212">
        <f t="shared" ref="X21:AO21" si="19">72-0.6*IF(AND($AI$2,X95),MIN($AL$23,MAX($AL$24,-$AC$23+X119)),MIN($AL$23,MAX($AL$24,(-$AC$23+MAX(X119+-$Z$2,MIN(X119+-$AD$2,ROUND(AVERAGE(X119,X119,X119,X119,W118:Y119),0)))))))</f>
        <v>0</v>
      </c>
      <c r="Y21" s="212">
        <f t="shared" si="19"/>
        <v>0</v>
      </c>
      <c r="Z21" s="212">
        <f t="shared" si="19"/>
        <v>0</v>
      </c>
      <c r="AA21" s="212">
        <f t="shared" si="19"/>
        <v>0</v>
      </c>
      <c r="AB21" s="212">
        <f t="shared" si="19"/>
        <v>0</v>
      </c>
      <c r="AC21" s="212">
        <f t="shared" si="19"/>
        <v>0</v>
      </c>
      <c r="AD21" s="212">
        <f t="shared" si="19"/>
        <v>0</v>
      </c>
      <c r="AE21" s="212">
        <f t="shared" si="19"/>
        <v>0</v>
      </c>
      <c r="AF21" s="212">
        <f t="shared" si="19"/>
        <v>0</v>
      </c>
      <c r="AG21" s="212">
        <f t="shared" si="19"/>
        <v>0</v>
      </c>
      <c r="AH21" s="212">
        <f t="shared" si="19"/>
        <v>0</v>
      </c>
      <c r="AI21" s="212">
        <f t="shared" si="19"/>
        <v>0</v>
      </c>
      <c r="AJ21" s="212">
        <f t="shared" si="19"/>
        <v>0</v>
      </c>
      <c r="AK21" s="212">
        <f t="shared" si="19"/>
        <v>0</v>
      </c>
      <c r="AL21" s="212">
        <f t="shared" si="19"/>
        <v>0</v>
      </c>
      <c r="AM21" s="212">
        <f t="shared" si="19"/>
        <v>0</v>
      </c>
      <c r="AN21" s="212">
        <f t="shared" si="19"/>
        <v>0</v>
      </c>
      <c r="AO21" s="212">
        <f t="shared" si="19"/>
        <v>0</v>
      </c>
      <c r="AP21" s="213">
        <f>72-0.6*IF(AND($AI$2,AP95),MIN($AL$23,MAX($AL$24,-$AC$23+AP119)),MIN($AL$23,MAX($AL$24,(-$AC$23+MAX(AP119+-$Z$2,MIN(AP119+-$AD$2,ROUND(AVERAGE(AP119,AP119,AP119,AP119,AO118:AP119),0)))))))</f>
        <v>0</v>
      </c>
      <c r="BH21" s="224">
        <v>3000</v>
      </c>
      <c r="BI21" s="214">
        <f t="shared" ref="BI21:BR28" si="20">W12-W36</f>
        <v>-1.199999999999994</v>
      </c>
      <c r="BJ21" s="115">
        <f t="shared" si="20"/>
        <v>0.6000000000000032</v>
      </c>
      <c r="BK21" s="115">
        <f t="shared" si="20"/>
        <v>-1.1999999999999975</v>
      </c>
      <c r="BL21" s="115">
        <f t="shared" si="20"/>
        <v>0</v>
      </c>
      <c r="BM21" s="115">
        <f t="shared" si="20"/>
        <v>1.2000000000000011</v>
      </c>
      <c r="BN21" s="115">
        <f t="shared" si="20"/>
        <v>-1.1999999999999993</v>
      </c>
      <c r="BO21" s="115">
        <f t="shared" si="20"/>
        <v>0</v>
      </c>
      <c r="BP21" s="115">
        <f t="shared" si="20"/>
        <v>0</v>
      </c>
      <c r="BQ21" s="115">
        <f t="shared" si="20"/>
        <v>-0.59999999999999787</v>
      </c>
      <c r="BR21" s="115">
        <f t="shared" si="20"/>
        <v>-1.1999999999999993</v>
      </c>
      <c r="BS21" s="115">
        <f t="shared" ref="BS21:CB28" si="21">AG12-AG36</f>
        <v>0.59999999999999964</v>
      </c>
      <c r="BT21" s="115">
        <f t="shared" si="21"/>
        <v>0</v>
      </c>
      <c r="BU21" s="115">
        <f t="shared" si="21"/>
        <v>0</v>
      </c>
      <c r="BV21" s="115">
        <f t="shared" si="21"/>
        <v>0</v>
      </c>
      <c r="BW21" s="115">
        <f t="shared" si="21"/>
        <v>0</v>
      </c>
      <c r="BX21" s="115">
        <f t="shared" si="21"/>
        <v>0</v>
      </c>
      <c r="BY21" s="115">
        <f t="shared" si="21"/>
        <v>0</v>
      </c>
      <c r="BZ21" s="115">
        <f t="shared" si="21"/>
        <v>0</v>
      </c>
      <c r="CA21" s="115">
        <f t="shared" si="21"/>
        <v>0</v>
      </c>
      <c r="CB21" s="211">
        <f t="shared" si="21"/>
        <v>0</v>
      </c>
    </row>
    <row r="22" spans="1:80" ht="15" customHeight="1" thickBot="1">
      <c r="BH22" s="224">
        <v>3500</v>
      </c>
      <c r="BI22" s="214">
        <f t="shared" si="20"/>
        <v>0</v>
      </c>
      <c r="BJ22" s="115">
        <f t="shared" si="20"/>
        <v>0.6000000000000032</v>
      </c>
      <c r="BK22" s="115">
        <f t="shared" si="20"/>
        <v>-1.7999999999999989</v>
      </c>
      <c r="BL22" s="115">
        <f t="shared" si="20"/>
        <v>-0.59999999999999609</v>
      </c>
      <c r="BM22" s="115">
        <f t="shared" si="20"/>
        <v>1.2000000000000011</v>
      </c>
      <c r="BN22" s="115">
        <f t="shared" si="20"/>
        <v>-0.59999999999999787</v>
      </c>
      <c r="BO22" s="115">
        <f t="shared" si="20"/>
        <v>0</v>
      </c>
      <c r="BP22" s="115">
        <f t="shared" si="20"/>
        <v>0</v>
      </c>
      <c r="BQ22" s="115">
        <f t="shared" si="20"/>
        <v>-0.59999999999999787</v>
      </c>
      <c r="BR22" s="115">
        <f t="shared" si="20"/>
        <v>2.4000000000000039</v>
      </c>
      <c r="BS22" s="115">
        <f t="shared" si="21"/>
        <v>1.2000000000000011</v>
      </c>
      <c r="BT22" s="115">
        <f t="shared" si="21"/>
        <v>1.2000000000000011</v>
      </c>
      <c r="BU22" s="115">
        <f t="shared" si="21"/>
        <v>1.2000000000000011</v>
      </c>
      <c r="BV22" s="115">
        <f t="shared" si="21"/>
        <v>1.2000000000000011</v>
      </c>
      <c r="BW22" s="115">
        <f t="shared" si="21"/>
        <v>1.2000000000000011</v>
      </c>
      <c r="BX22" s="115">
        <f t="shared" si="21"/>
        <v>1.2000000000000011</v>
      </c>
      <c r="BY22" s="115">
        <f t="shared" si="21"/>
        <v>1.2000000000000011</v>
      </c>
      <c r="BZ22" s="115">
        <f t="shared" si="21"/>
        <v>1.2000000000000011</v>
      </c>
      <c r="CA22" s="115">
        <f t="shared" si="21"/>
        <v>1.2000000000000011</v>
      </c>
      <c r="CB22" s="211">
        <f t="shared" si="21"/>
        <v>1.2000000000000011</v>
      </c>
    </row>
    <row r="23" spans="1:80" s="41" customFormat="1" ht="18" customHeight="1" thickBot="1">
      <c r="W23" s="322" t="s">
        <v>20</v>
      </c>
      <c r="X23" s="323"/>
      <c r="Y23" s="324"/>
      <c r="Z23" s="407" t="s">
        <v>56</v>
      </c>
      <c r="AA23" s="408"/>
      <c r="AB23" s="413">
        <v>120</v>
      </c>
      <c r="AC23" s="392">
        <f>AB23-120</f>
        <v>0</v>
      </c>
      <c r="AG23" s="334" t="s">
        <v>16</v>
      </c>
      <c r="AH23" s="335" t="s">
        <v>16</v>
      </c>
      <c r="AI23" s="329" t="s">
        <v>52</v>
      </c>
      <c r="AJ23" s="330"/>
      <c r="AK23" s="395"/>
      <c r="AL23" s="79">
        <v>122</v>
      </c>
      <c r="AM23" s="396">
        <f>72-0.6*AL23</f>
        <v>-1.2000000000000028</v>
      </c>
      <c r="AN23" s="397"/>
      <c r="AO23" s="102"/>
      <c r="AP23" s="102"/>
      <c r="AR23" s="58"/>
      <c r="AS23" s="58"/>
      <c r="BH23" s="224">
        <v>4000</v>
      </c>
      <c r="BI23" s="214">
        <f t="shared" si="20"/>
        <v>0</v>
      </c>
      <c r="BJ23" s="115">
        <f t="shared" si="20"/>
        <v>0.6000000000000032</v>
      </c>
      <c r="BK23" s="115">
        <f t="shared" si="20"/>
        <v>0.6000000000000032</v>
      </c>
      <c r="BL23" s="115">
        <f t="shared" si="20"/>
        <v>2.4000000000000004</v>
      </c>
      <c r="BM23" s="115">
        <f t="shared" si="20"/>
        <v>-2.399999999999995</v>
      </c>
      <c r="BN23" s="115">
        <f t="shared" si="20"/>
        <v>-0.59999999999999787</v>
      </c>
      <c r="BO23" s="115">
        <f t="shared" si="20"/>
        <v>0</v>
      </c>
      <c r="BP23" s="115">
        <f t="shared" si="20"/>
        <v>0</v>
      </c>
      <c r="BQ23" s="115">
        <f t="shared" si="20"/>
        <v>-0.59999999999999787</v>
      </c>
      <c r="BR23" s="115">
        <f t="shared" si="20"/>
        <v>-1.1999999999999993</v>
      </c>
      <c r="BS23" s="115">
        <f t="shared" si="21"/>
        <v>-2.399999999999995</v>
      </c>
      <c r="BT23" s="115">
        <f t="shared" si="21"/>
        <v>-2.399999999999995</v>
      </c>
      <c r="BU23" s="115">
        <f t="shared" si="21"/>
        <v>-2.399999999999995</v>
      </c>
      <c r="BV23" s="115">
        <f t="shared" si="21"/>
        <v>-1.1999999999999993</v>
      </c>
      <c r="BW23" s="115">
        <f t="shared" si="21"/>
        <v>-0.59999999999999787</v>
      </c>
      <c r="BX23" s="115">
        <f t="shared" si="21"/>
        <v>0</v>
      </c>
      <c r="BY23" s="115">
        <f t="shared" si="21"/>
        <v>0</v>
      </c>
      <c r="BZ23" s="115">
        <f t="shared" si="21"/>
        <v>0</v>
      </c>
      <c r="CA23" s="115">
        <f t="shared" si="21"/>
        <v>0</v>
      </c>
      <c r="CB23" s="211">
        <f t="shared" si="21"/>
        <v>0</v>
      </c>
    </row>
    <row r="24" spans="1:80" s="41" customFormat="1" ht="18" customHeight="1" thickBot="1">
      <c r="V24" s="112"/>
      <c r="W24" s="310"/>
      <c r="X24" s="311"/>
      <c r="Y24" s="312"/>
      <c r="Z24" s="400" t="s">
        <v>55</v>
      </c>
      <c r="AA24" s="401"/>
      <c r="AB24" s="414"/>
      <c r="AC24" s="393"/>
      <c r="AG24" s="341" t="s">
        <v>15</v>
      </c>
      <c r="AH24" s="398"/>
      <c r="AI24" s="329" t="s">
        <v>51</v>
      </c>
      <c r="AJ24" s="330"/>
      <c r="AK24" s="395"/>
      <c r="AL24" s="79">
        <v>72</v>
      </c>
      <c r="AM24" s="396">
        <f>72-0.6*AL24</f>
        <v>28.800000000000004</v>
      </c>
      <c r="AN24" s="397"/>
      <c r="AO24" s="102"/>
      <c r="AP24" s="102"/>
      <c r="AR24" s="59"/>
      <c r="AS24" s="59"/>
      <c r="BH24" s="224">
        <v>4500</v>
      </c>
      <c r="BI24" s="214">
        <f t="shared" si="20"/>
        <v>0</v>
      </c>
      <c r="BJ24" s="115">
        <f t="shared" si="20"/>
        <v>0</v>
      </c>
      <c r="BK24" s="115">
        <f t="shared" si="20"/>
        <v>0</v>
      </c>
      <c r="BL24" s="115">
        <f t="shared" si="20"/>
        <v>1.800000000000006</v>
      </c>
      <c r="BM24" s="115">
        <f t="shared" si="20"/>
        <v>-2.9999999999999964</v>
      </c>
      <c r="BN24" s="115">
        <f t="shared" si="20"/>
        <v>-0.59999999999999787</v>
      </c>
      <c r="BO24" s="115">
        <f t="shared" si="20"/>
        <v>-0.59999999999999787</v>
      </c>
      <c r="BP24" s="115">
        <f t="shared" si="20"/>
        <v>0</v>
      </c>
      <c r="BQ24" s="115">
        <f t="shared" si="20"/>
        <v>-0.59999999999999787</v>
      </c>
      <c r="BR24" s="115">
        <f t="shared" si="20"/>
        <v>1.8000000000000025</v>
      </c>
      <c r="BS24" s="115">
        <f t="shared" si="21"/>
        <v>1.2000000000000011</v>
      </c>
      <c r="BT24" s="115">
        <f t="shared" si="21"/>
        <v>1.2000000000000011</v>
      </c>
      <c r="BU24" s="115">
        <f t="shared" si="21"/>
        <v>1.2000000000000011</v>
      </c>
      <c r="BV24" s="115">
        <f t="shared" si="21"/>
        <v>2.4000000000000039</v>
      </c>
      <c r="BW24" s="115">
        <f t="shared" si="21"/>
        <v>-2.3999999999999986</v>
      </c>
      <c r="BX24" s="115">
        <f t="shared" si="21"/>
        <v>-1.1999999999999957</v>
      </c>
      <c r="BY24" s="115">
        <f t="shared" si="21"/>
        <v>-1.1999999999999957</v>
      </c>
      <c r="BZ24" s="115">
        <f t="shared" si="21"/>
        <v>-1.1999999999999957</v>
      </c>
      <c r="CA24" s="115">
        <f t="shared" si="21"/>
        <v>-1.1999999999999957</v>
      </c>
      <c r="CB24" s="211">
        <f t="shared" si="21"/>
        <v>-1.1999999999999957</v>
      </c>
    </row>
    <row r="25" spans="1:80" s="41" customFormat="1" ht="18" customHeight="1">
      <c r="V25" s="112"/>
      <c r="W25" s="112"/>
      <c r="X25" s="112"/>
      <c r="Y25" s="113"/>
      <c r="Z25" s="113"/>
      <c r="AA25" s="114"/>
      <c r="AB25" s="59"/>
      <c r="AC25" s="59"/>
      <c r="AQ25" s="59"/>
      <c r="AR25" s="59"/>
      <c r="AS25" s="59"/>
      <c r="BH25" s="224">
        <v>5000</v>
      </c>
      <c r="BI25" s="214">
        <f t="shared" si="20"/>
        <v>-1.199999999999994</v>
      </c>
      <c r="BJ25" s="115">
        <f t="shared" si="20"/>
        <v>-1.199999999999994</v>
      </c>
      <c r="BK25" s="115">
        <f t="shared" si="20"/>
        <v>-1.199999999999994</v>
      </c>
      <c r="BL25" s="115">
        <f t="shared" si="20"/>
        <v>0</v>
      </c>
      <c r="BM25" s="115">
        <f t="shared" si="20"/>
        <v>-1.1999999999999975</v>
      </c>
      <c r="BN25" s="115">
        <f t="shared" si="20"/>
        <v>0.59999999999999964</v>
      </c>
      <c r="BO25" s="115">
        <f t="shared" si="20"/>
        <v>-1.1999999999999993</v>
      </c>
      <c r="BP25" s="115">
        <f t="shared" si="20"/>
        <v>-1.1999999999999993</v>
      </c>
      <c r="BQ25" s="115">
        <f t="shared" si="20"/>
        <v>-1.8000000000000007</v>
      </c>
      <c r="BR25" s="115">
        <f t="shared" si="20"/>
        <v>0.59999999999999964</v>
      </c>
      <c r="BS25" s="115">
        <f t="shared" si="21"/>
        <v>0</v>
      </c>
      <c r="BT25" s="115">
        <f t="shared" si="21"/>
        <v>0</v>
      </c>
      <c r="BU25" s="115">
        <f t="shared" si="21"/>
        <v>0</v>
      </c>
      <c r="BV25" s="115">
        <f t="shared" si="21"/>
        <v>2.4000000000000039</v>
      </c>
      <c r="BW25" s="115">
        <f t="shared" si="21"/>
        <v>-2.3999999999999986</v>
      </c>
      <c r="BX25" s="115">
        <f t="shared" si="21"/>
        <v>0</v>
      </c>
      <c r="BY25" s="115">
        <f t="shared" si="21"/>
        <v>0</v>
      </c>
      <c r="BZ25" s="115">
        <f t="shared" si="21"/>
        <v>0</v>
      </c>
      <c r="CA25" s="115">
        <f t="shared" si="21"/>
        <v>0</v>
      </c>
      <c r="CB25" s="211">
        <f t="shared" si="21"/>
        <v>0</v>
      </c>
    </row>
    <row r="26" spans="1:80" s="41" customFormat="1" ht="15" customHeight="1" thickBot="1">
      <c r="U26" s="404"/>
      <c r="V26" s="404"/>
      <c r="W26" s="404"/>
      <c r="X26" s="404"/>
      <c r="Y26" s="404"/>
      <c r="Z26" s="404"/>
      <c r="AA26" s="404"/>
      <c r="AQ26" s="60"/>
      <c r="AR26" s="60"/>
      <c r="AS26" s="60"/>
      <c r="BH26" s="224">
        <v>5500</v>
      </c>
      <c r="BI26" s="214">
        <f t="shared" si="20"/>
        <v>1.2000000000000002</v>
      </c>
      <c r="BJ26" s="115">
        <f t="shared" si="20"/>
        <v>1.2000000000000002</v>
      </c>
      <c r="BK26" s="115">
        <f t="shared" si="20"/>
        <v>1.2000000000000002</v>
      </c>
      <c r="BL26" s="115">
        <f t="shared" si="20"/>
        <v>1.2000000000000002</v>
      </c>
      <c r="BM26" s="115">
        <f t="shared" si="20"/>
        <v>2.9999999999999973</v>
      </c>
      <c r="BN26" s="115">
        <f t="shared" si="20"/>
        <v>-1.7999999999999989</v>
      </c>
      <c r="BO26" s="115">
        <f t="shared" si="20"/>
        <v>-0.59999999999999609</v>
      </c>
      <c r="BP26" s="115">
        <f t="shared" si="20"/>
        <v>0</v>
      </c>
      <c r="BQ26" s="115">
        <f t="shared" si="20"/>
        <v>-0.59999999999999609</v>
      </c>
      <c r="BR26" s="115">
        <f t="shared" si="20"/>
        <v>-0.59999999999999609</v>
      </c>
      <c r="BS26" s="115">
        <f t="shared" si="21"/>
        <v>-1.1999999999999975</v>
      </c>
      <c r="BT26" s="115">
        <f t="shared" si="21"/>
        <v>-1.1999999999999975</v>
      </c>
      <c r="BU26" s="115">
        <f t="shared" si="21"/>
        <v>-0.59999999999999609</v>
      </c>
      <c r="BV26" s="115">
        <f t="shared" si="21"/>
        <v>1.2000000000000011</v>
      </c>
      <c r="BW26" s="115">
        <f t="shared" si="21"/>
        <v>-3</v>
      </c>
      <c r="BX26" s="115">
        <f t="shared" si="21"/>
        <v>-1.1999999999999957</v>
      </c>
      <c r="BY26" s="115">
        <f t="shared" si="21"/>
        <v>-1.1999999999999957</v>
      </c>
      <c r="BZ26" s="115">
        <f t="shared" si="21"/>
        <v>-1.1999999999999957</v>
      </c>
      <c r="CA26" s="115">
        <f t="shared" si="21"/>
        <v>-1.1999999999999957</v>
      </c>
      <c r="CB26" s="211">
        <f t="shared" si="21"/>
        <v>-1.1999999999999957</v>
      </c>
    </row>
    <row r="27" spans="1:80" s="41" customFormat="1" ht="15" customHeight="1" thickBot="1">
      <c r="U27" s="278">
        <v>2</v>
      </c>
      <c r="V27" s="279"/>
      <c r="W27" s="304" t="s">
        <v>58</v>
      </c>
      <c r="X27" s="305"/>
      <c r="Y27" s="305"/>
      <c r="Z27" s="305"/>
      <c r="AA27" s="305"/>
      <c r="AB27" s="305"/>
      <c r="AC27" s="305"/>
      <c r="AD27" s="305"/>
      <c r="AE27" s="305"/>
      <c r="AF27" s="305"/>
      <c r="AG27" s="305"/>
      <c r="AH27" s="305"/>
      <c r="AI27" s="305"/>
      <c r="AJ27" s="305"/>
      <c r="AK27" s="305"/>
      <c r="AL27" s="305"/>
      <c r="AM27" s="305"/>
      <c r="AN27" s="305"/>
      <c r="AO27" s="305"/>
      <c r="AP27" s="306"/>
      <c r="AQ27" s="60"/>
      <c r="AR27" s="60"/>
      <c r="AS27" s="60"/>
      <c r="BH27" s="224">
        <v>6000</v>
      </c>
      <c r="BI27" s="214">
        <f t="shared" si="20"/>
        <v>0</v>
      </c>
      <c r="BJ27" s="115">
        <f t="shared" si="20"/>
        <v>0</v>
      </c>
      <c r="BK27" s="115">
        <f t="shared" si="20"/>
        <v>0</v>
      </c>
      <c r="BL27" s="115">
        <f t="shared" si="20"/>
        <v>0</v>
      </c>
      <c r="BM27" s="115">
        <f t="shared" si="20"/>
        <v>1.2000000000000002</v>
      </c>
      <c r="BN27" s="115">
        <f t="shared" si="20"/>
        <v>-1.199999999999994</v>
      </c>
      <c r="BO27" s="115">
        <f t="shared" si="20"/>
        <v>0</v>
      </c>
      <c r="BP27" s="115">
        <f t="shared" si="20"/>
        <v>0</v>
      </c>
      <c r="BQ27" s="115">
        <f t="shared" si="20"/>
        <v>0</v>
      </c>
      <c r="BR27" s="115">
        <f t="shared" si="20"/>
        <v>0.6000000000000032</v>
      </c>
      <c r="BS27" s="115">
        <f t="shared" si="21"/>
        <v>0.6000000000000032</v>
      </c>
      <c r="BT27" s="115">
        <f t="shared" si="21"/>
        <v>1.2000000000000046</v>
      </c>
      <c r="BU27" s="115">
        <f t="shared" si="21"/>
        <v>1.2000000000000046</v>
      </c>
      <c r="BV27" s="115">
        <f t="shared" si="21"/>
        <v>-0.59999999999999609</v>
      </c>
      <c r="BW27" s="115">
        <f t="shared" si="21"/>
        <v>-2.399999999999995</v>
      </c>
      <c r="BX27" s="115">
        <f t="shared" si="21"/>
        <v>-1.1999999999999993</v>
      </c>
      <c r="BY27" s="115">
        <f t="shared" si="21"/>
        <v>-1.1999999999999993</v>
      </c>
      <c r="BZ27" s="115">
        <f t="shared" si="21"/>
        <v>-1.1999999999999993</v>
      </c>
      <c r="CA27" s="115">
        <f t="shared" si="21"/>
        <v>-1.1999999999999993</v>
      </c>
      <c r="CB27" s="211">
        <f t="shared" si="21"/>
        <v>-1.1999999999999993</v>
      </c>
    </row>
    <row r="28" spans="1:80" s="41" customFormat="1" ht="15" customHeight="1" thickBot="1">
      <c r="U28" s="280"/>
      <c r="V28" s="281"/>
      <c r="W28" s="284" t="s">
        <v>0</v>
      </c>
      <c r="X28" s="360"/>
      <c r="Y28" s="360"/>
      <c r="Z28" s="360"/>
      <c r="AA28" s="360"/>
      <c r="AB28" s="360"/>
      <c r="AC28" s="360"/>
      <c r="AD28" s="360"/>
      <c r="AE28" s="360"/>
      <c r="AF28" s="360"/>
      <c r="AG28" s="360"/>
      <c r="AH28" s="360"/>
      <c r="AI28" s="360"/>
      <c r="AJ28" s="360"/>
      <c r="AK28" s="360"/>
      <c r="AL28" s="360"/>
      <c r="AM28" s="360"/>
      <c r="AN28" s="360"/>
      <c r="AO28" s="360"/>
      <c r="AP28" s="361"/>
      <c r="AQ28" s="60"/>
      <c r="AR28" s="60"/>
      <c r="AS28" s="60"/>
      <c r="BH28" s="225">
        <v>6500</v>
      </c>
      <c r="BI28" s="214">
        <f t="shared" si="20"/>
        <v>-1.1999999999999913</v>
      </c>
      <c r="BJ28" s="115">
        <f t="shared" si="20"/>
        <v>-1.1999999999999913</v>
      </c>
      <c r="BK28" s="115">
        <f t="shared" si="20"/>
        <v>-1.1999999999999913</v>
      </c>
      <c r="BL28" s="115">
        <f t="shared" si="20"/>
        <v>-1.1999999999999913</v>
      </c>
      <c r="BM28" s="115">
        <f t="shared" si="20"/>
        <v>-0.59999999999999698</v>
      </c>
      <c r="BN28" s="115">
        <f t="shared" si="20"/>
        <v>-0.59999999999999698</v>
      </c>
      <c r="BO28" s="115">
        <f t="shared" si="20"/>
        <v>0</v>
      </c>
      <c r="BP28" s="115">
        <f t="shared" si="20"/>
        <v>0</v>
      </c>
      <c r="BQ28" s="115">
        <f t="shared" si="20"/>
        <v>0</v>
      </c>
      <c r="BR28" s="115">
        <f t="shared" si="20"/>
        <v>0.60000000000000586</v>
      </c>
      <c r="BS28" s="115">
        <f t="shared" si="21"/>
        <v>-2.3999999999999968</v>
      </c>
      <c r="BT28" s="115">
        <f t="shared" si="21"/>
        <v>-2.3999999999999968</v>
      </c>
      <c r="BU28" s="115">
        <f t="shared" si="21"/>
        <v>-1.8000000000000025</v>
      </c>
      <c r="BV28" s="115">
        <f t="shared" si="21"/>
        <v>-1.199999999999994</v>
      </c>
      <c r="BW28" s="115">
        <f t="shared" si="21"/>
        <v>-0.59999999999999964</v>
      </c>
      <c r="BX28" s="115">
        <f t="shared" si="21"/>
        <v>0</v>
      </c>
      <c r="BY28" s="115">
        <f t="shared" si="21"/>
        <v>0</v>
      </c>
      <c r="BZ28" s="115">
        <f t="shared" si="21"/>
        <v>0</v>
      </c>
      <c r="CA28" s="115">
        <f t="shared" si="21"/>
        <v>0</v>
      </c>
      <c r="CB28" s="211">
        <f t="shared" si="21"/>
        <v>0</v>
      </c>
    </row>
    <row r="29" spans="1:80" s="41" customFormat="1" ht="15" customHeight="1" thickBot="1">
      <c r="U29" s="282"/>
      <c r="V29" s="283"/>
      <c r="W29" s="103">
        <v>10</v>
      </c>
      <c r="X29" s="104">
        <v>20</v>
      </c>
      <c r="Y29" s="104">
        <v>30</v>
      </c>
      <c r="Z29" s="104">
        <v>40</v>
      </c>
      <c r="AA29" s="105">
        <v>50</v>
      </c>
      <c r="AB29" s="105">
        <v>60</v>
      </c>
      <c r="AC29" s="105">
        <v>70</v>
      </c>
      <c r="AD29" s="105">
        <v>80</v>
      </c>
      <c r="AE29" s="105">
        <v>90</v>
      </c>
      <c r="AF29" s="105">
        <v>100</v>
      </c>
      <c r="AG29" s="105">
        <v>120</v>
      </c>
      <c r="AH29" s="105">
        <v>140</v>
      </c>
      <c r="AI29" s="106">
        <v>160</v>
      </c>
      <c r="AJ29" s="106">
        <v>180</v>
      </c>
      <c r="AK29" s="106">
        <v>200</v>
      </c>
      <c r="AL29" s="106">
        <v>220</v>
      </c>
      <c r="AM29" s="106">
        <v>240</v>
      </c>
      <c r="AN29" s="107">
        <v>260</v>
      </c>
      <c r="AO29" s="101">
        <v>280</v>
      </c>
      <c r="AP29" s="192">
        <v>300</v>
      </c>
      <c r="AQ29" s="60"/>
      <c r="AR29" s="60"/>
      <c r="AS29" s="60"/>
      <c r="BH29" s="226">
        <v>7000</v>
      </c>
      <c r="BI29" s="215">
        <f t="shared" ref="BI29:CB29" si="22">W21-W45</f>
        <v>0</v>
      </c>
      <c r="BJ29" s="212">
        <f t="shared" si="22"/>
        <v>0</v>
      </c>
      <c r="BK29" s="212">
        <f t="shared" si="22"/>
        <v>0</v>
      </c>
      <c r="BL29" s="212">
        <f t="shared" si="22"/>
        <v>0</v>
      </c>
      <c r="BM29" s="212">
        <f t="shared" si="22"/>
        <v>0</v>
      </c>
      <c r="BN29" s="212">
        <f t="shared" si="22"/>
        <v>0</v>
      </c>
      <c r="BO29" s="212">
        <f t="shared" si="22"/>
        <v>0</v>
      </c>
      <c r="BP29" s="212">
        <f t="shared" si="22"/>
        <v>0</v>
      </c>
      <c r="BQ29" s="212">
        <f t="shared" si="22"/>
        <v>0</v>
      </c>
      <c r="BR29" s="212">
        <f t="shared" si="22"/>
        <v>0</v>
      </c>
      <c r="BS29" s="212">
        <f t="shared" si="22"/>
        <v>0</v>
      </c>
      <c r="BT29" s="212">
        <f t="shared" si="22"/>
        <v>0</v>
      </c>
      <c r="BU29" s="212">
        <f t="shared" si="22"/>
        <v>0</v>
      </c>
      <c r="BV29" s="212">
        <f t="shared" si="22"/>
        <v>0</v>
      </c>
      <c r="BW29" s="212">
        <f t="shared" si="22"/>
        <v>0</v>
      </c>
      <c r="BX29" s="212">
        <f t="shared" si="22"/>
        <v>0</v>
      </c>
      <c r="BY29" s="212">
        <f t="shared" si="22"/>
        <v>0</v>
      </c>
      <c r="BZ29" s="212">
        <f t="shared" si="22"/>
        <v>0</v>
      </c>
      <c r="CA29" s="212">
        <f t="shared" si="22"/>
        <v>0</v>
      </c>
      <c r="CB29" s="213">
        <f t="shared" si="22"/>
        <v>0</v>
      </c>
    </row>
    <row r="30" spans="1:80" s="41" customFormat="1" ht="15" customHeight="1">
      <c r="U30" s="301" t="s">
        <v>1</v>
      </c>
      <c r="V30" s="47">
        <v>500</v>
      </c>
      <c r="W30" s="115">
        <v>0</v>
      </c>
      <c r="X30" s="115">
        <v>0</v>
      </c>
      <c r="Y30" s="115">
        <v>0</v>
      </c>
      <c r="Z30" s="115">
        <v>0</v>
      </c>
      <c r="AA30" s="115">
        <v>0</v>
      </c>
      <c r="AB30" s="115">
        <v>0</v>
      </c>
      <c r="AC30" s="115">
        <v>0</v>
      </c>
      <c r="AD30" s="115">
        <v>0</v>
      </c>
      <c r="AE30" s="115">
        <v>0</v>
      </c>
      <c r="AF30" s="115">
        <v>0</v>
      </c>
      <c r="AG30" s="115">
        <v>0</v>
      </c>
      <c r="AH30" s="115">
        <v>0</v>
      </c>
      <c r="AI30" s="115">
        <v>0</v>
      </c>
      <c r="AJ30" s="115">
        <v>0</v>
      </c>
      <c r="AK30" s="115">
        <v>0</v>
      </c>
      <c r="AL30" s="115">
        <v>0</v>
      </c>
      <c r="AM30" s="115">
        <v>0</v>
      </c>
      <c r="AN30" s="115">
        <v>0</v>
      </c>
      <c r="AO30" s="115">
        <v>0</v>
      </c>
      <c r="AP30" s="211">
        <v>0</v>
      </c>
      <c r="AQ30" s="60"/>
      <c r="AR30" s="60"/>
      <c r="AS30" s="60"/>
    </row>
    <row r="31" spans="1:80" s="41" customFormat="1" ht="15" customHeight="1">
      <c r="U31" s="302"/>
      <c r="V31" s="49">
        <v>750</v>
      </c>
      <c r="W31" s="115">
        <v>0</v>
      </c>
      <c r="X31" s="115">
        <v>0</v>
      </c>
      <c r="Y31" s="115">
        <v>0</v>
      </c>
      <c r="Z31" s="115">
        <v>0</v>
      </c>
      <c r="AA31" s="115">
        <v>0</v>
      </c>
      <c r="AB31" s="115">
        <v>0</v>
      </c>
      <c r="AC31" s="115">
        <v>9.6</v>
      </c>
      <c r="AD31" s="115">
        <v>9.6</v>
      </c>
      <c r="AE31" s="115">
        <v>9.6</v>
      </c>
      <c r="AF31" s="115">
        <v>9.6</v>
      </c>
      <c r="AG31" s="115">
        <v>9.6</v>
      </c>
      <c r="AH31" s="115">
        <v>9.6</v>
      </c>
      <c r="AI31" s="115">
        <v>9.6</v>
      </c>
      <c r="AJ31" s="115">
        <v>9.6</v>
      </c>
      <c r="AK31" s="115">
        <v>9.6</v>
      </c>
      <c r="AL31" s="115">
        <v>9.6</v>
      </c>
      <c r="AM31" s="115">
        <v>9.6</v>
      </c>
      <c r="AN31" s="115">
        <v>9.6</v>
      </c>
      <c r="AO31" s="115">
        <v>9.6</v>
      </c>
      <c r="AP31" s="211">
        <v>9.6</v>
      </c>
      <c r="AQ31" s="60"/>
      <c r="AR31" s="60"/>
      <c r="AS31" s="60"/>
    </row>
    <row r="32" spans="1:80" s="41" customFormat="1" ht="15" customHeight="1">
      <c r="U32" s="302"/>
      <c r="V32" s="50">
        <v>1000</v>
      </c>
      <c r="W32" s="115">
        <v>0</v>
      </c>
      <c r="X32" s="115">
        <v>0</v>
      </c>
      <c r="Y32" s="115">
        <v>0</v>
      </c>
      <c r="Z32" s="115">
        <v>0</v>
      </c>
      <c r="AA32" s="115">
        <v>4.8</v>
      </c>
      <c r="AB32" s="115">
        <v>4.8</v>
      </c>
      <c r="AC32" s="115">
        <v>9.6</v>
      </c>
      <c r="AD32" s="115">
        <v>19.2</v>
      </c>
      <c r="AE32" s="115">
        <v>19.2</v>
      </c>
      <c r="AF32" s="115">
        <v>19.2</v>
      </c>
      <c r="AG32" s="115">
        <v>19.2</v>
      </c>
      <c r="AH32" s="115">
        <v>19.2</v>
      </c>
      <c r="AI32" s="115">
        <v>19.2</v>
      </c>
      <c r="AJ32" s="115">
        <v>19.2</v>
      </c>
      <c r="AK32" s="115">
        <v>19.2</v>
      </c>
      <c r="AL32" s="115">
        <v>19.2</v>
      </c>
      <c r="AM32" s="115">
        <v>19.2</v>
      </c>
      <c r="AN32" s="115">
        <v>19.2</v>
      </c>
      <c r="AO32" s="115">
        <v>19.2</v>
      </c>
      <c r="AP32" s="211">
        <v>19.2</v>
      </c>
      <c r="AQ32" s="60"/>
      <c r="AR32" s="60"/>
      <c r="AS32" s="60"/>
    </row>
    <row r="33" spans="21:80" s="41" customFormat="1" ht="15" customHeight="1">
      <c r="U33" s="302"/>
      <c r="V33" s="50">
        <v>1250</v>
      </c>
      <c r="W33" s="115">
        <v>4.8</v>
      </c>
      <c r="X33" s="115">
        <v>4.8</v>
      </c>
      <c r="Y33" s="115">
        <v>9.6</v>
      </c>
      <c r="Z33" s="115">
        <v>9.6</v>
      </c>
      <c r="AA33" s="115">
        <v>9.6</v>
      </c>
      <c r="AB33" s="115">
        <v>14.4</v>
      </c>
      <c r="AC33" s="115">
        <v>14.4</v>
      </c>
      <c r="AD33" s="115">
        <v>19.2</v>
      </c>
      <c r="AE33" s="115">
        <v>19.2</v>
      </c>
      <c r="AF33" s="115">
        <v>19.2</v>
      </c>
      <c r="AG33" s="115">
        <v>19.2</v>
      </c>
      <c r="AH33" s="115">
        <v>19.2</v>
      </c>
      <c r="AI33" s="115">
        <v>19.2</v>
      </c>
      <c r="AJ33" s="115">
        <v>19.2</v>
      </c>
      <c r="AK33" s="115">
        <v>19.2</v>
      </c>
      <c r="AL33" s="115">
        <v>19.2</v>
      </c>
      <c r="AM33" s="115">
        <v>19.2</v>
      </c>
      <c r="AN33" s="115">
        <v>19.2</v>
      </c>
      <c r="AO33" s="115">
        <v>19.2</v>
      </c>
      <c r="AP33" s="211">
        <v>19.2</v>
      </c>
      <c r="AQ33" s="60"/>
      <c r="BG33" s="116"/>
    </row>
    <row r="34" spans="21:80" s="41" customFormat="1" ht="15" customHeight="1">
      <c r="U34" s="302"/>
      <c r="V34" s="50">
        <v>1500</v>
      </c>
      <c r="W34" s="115">
        <v>4.8</v>
      </c>
      <c r="X34" s="115">
        <v>4.8</v>
      </c>
      <c r="Y34" s="115">
        <v>9.6</v>
      </c>
      <c r="Z34" s="115">
        <v>9.6</v>
      </c>
      <c r="AA34" s="115">
        <v>9.6</v>
      </c>
      <c r="AB34" s="115">
        <v>14.4</v>
      </c>
      <c r="AC34" s="115">
        <v>19.2</v>
      </c>
      <c r="AD34" s="115">
        <v>19.2</v>
      </c>
      <c r="AE34" s="115">
        <v>19.2</v>
      </c>
      <c r="AF34" s="115">
        <v>19.2</v>
      </c>
      <c r="AG34" s="115">
        <v>19.2</v>
      </c>
      <c r="AH34" s="115">
        <v>19.2</v>
      </c>
      <c r="AI34" s="115">
        <v>19.2</v>
      </c>
      <c r="AJ34" s="115">
        <v>19.2</v>
      </c>
      <c r="AK34" s="115">
        <v>19.2</v>
      </c>
      <c r="AL34" s="115">
        <v>19.2</v>
      </c>
      <c r="AM34" s="115">
        <v>19.2</v>
      </c>
      <c r="AN34" s="115">
        <v>19.2</v>
      </c>
      <c r="AO34" s="115">
        <v>19.2</v>
      </c>
      <c r="AP34" s="211">
        <v>19.2</v>
      </c>
      <c r="AQ34" s="60"/>
      <c r="AR34" s="60"/>
      <c r="AS34" s="60"/>
    </row>
    <row r="35" spans="21:80" s="41" customFormat="1" ht="15" customHeight="1">
      <c r="U35" s="302"/>
      <c r="V35" s="51">
        <v>2000</v>
      </c>
      <c r="W35" s="115">
        <v>4.8</v>
      </c>
      <c r="X35" s="115">
        <v>4.8</v>
      </c>
      <c r="Y35" s="115">
        <v>14.4</v>
      </c>
      <c r="Z35" s="115">
        <v>14.4</v>
      </c>
      <c r="AA35" s="115">
        <v>14.4</v>
      </c>
      <c r="AB35" s="115">
        <v>19.2</v>
      </c>
      <c r="AC35" s="115">
        <v>19.2</v>
      </c>
      <c r="AD35" s="115">
        <v>19.2</v>
      </c>
      <c r="AE35" s="115">
        <v>19.2</v>
      </c>
      <c r="AF35" s="115">
        <v>19.2</v>
      </c>
      <c r="AG35" s="115">
        <v>14.4</v>
      </c>
      <c r="AH35" s="115">
        <v>14.4</v>
      </c>
      <c r="AI35" s="115">
        <v>14.4</v>
      </c>
      <c r="AJ35" s="115">
        <v>14.4</v>
      </c>
      <c r="AK35" s="115">
        <v>14.4</v>
      </c>
      <c r="AL35" s="115">
        <v>14.4</v>
      </c>
      <c r="AM35" s="115">
        <v>14.4</v>
      </c>
      <c r="AN35" s="115">
        <v>14.4</v>
      </c>
      <c r="AO35" s="115">
        <v>14.4</v>
      </c>
      <c r="AP35" s="211">
        <v>14.4</v>
      </c>
      <c r="AQ35" s="60"/>
      <c r="AR35" s="60"/>
      <c r="AS35" s="60"/>
    </row>
    <row r="36" spans="21:80" s="41" customFormat="1" ht="15" customHeight="1">
      <c r="U36" s="302"/>
      <c r="V36" s="51">
        <v>2500</v>
      </c>
      <c r="W36" s="115">
        <v>9.6</v>
      </c>
      <c r="X36" s="115">
        <v>9.6</v>
      </c>
      <c r="Y36" s="115">
        <v>14.4</v>
      </c>
      <c r="Z36" s="115">
        <v>14.4</v>
      </c>
      <c r="AA36" s="115">
        <v>14.4</v>
      </c>
      <c r="AB36" s="115">
        <v>19.2</v>
      </c>
      <c r="AC36" s="115">
        <v>19.2</v>
      </c>
      <c r="AD36" s="115">
        <v>19.2</v>
      </c>
      <c r="AE36" s="115">
        <v>19.2</v>
      </c>
      <c r="AF36" s="115">
        <v>19.2</v>
      </c>
      <c r="AG36" s="115">
        <v>14.4</v>
      </c>
      <c r="AH36" s="115">
        <v>14.4</v>
      </c>
      <c r="AI36" s="115">
        <v>14.4</v>
      </c>
      <c r="AJ36" s="115">
        <v>14.4</v>
      </c>
      <c r="AK36" s="115">
        <v>14.4</v>
      </c>
      <c r="AL36" s="115">
        <v>14.4</v>
      </c>
      <c r="AM36" s="115">
        <v>14.4</v>
      </c>
      <c r="AN36" s="115">
        <v>14.4</v>
      </c>
      <c r="AO36" s="115">
        <v>14.4</v>
      </c>
      <c r="AP36" s="211">
        <v>14.4</v>
      </c>
      <c r="AQ36" s="60"/>
      <c r="AR36" s="60"/>
      <c r="AS36" s="60"/>
    </row>
    <row r="37" spans="21:80" s="41" customFormat="1" ht="15" customHeight="1">
      <c r="U37" s="302"/>
      <c r="V37" s="51">
        <v>3000</v>
      </c>
      <c r="W37" s="115">
        <v>9.6</v>
      </c>
      <c r="X37" s="115">
        <v>9.6</v>
      </c>
      <c r="Y37" s="115">
        <v>14.4</v>
      </c>
      <c r="Z37" s="115">
        <v>14.4</v>
      </c>
      <c r="AA37" s="115">
        <v>14.4</v>
      </c>
      <c r="AB37" s="115">
        <v>19.2</v>
      </c>
      <c r="AC37" s="115">
        <v>19.2</v>
      </c>
      <c r="AD37" s="115">
        <v>19.2</v>
      </c>
      <c r="AE37" s="115">
        <v>19.2</v>
      </c>
      <c r="AF37" s="115">
        <v>14.4</v>
      </c>
      <c r="AG37" s="115">
        <v>14.4</v>
      </c>
      <c r="AH37" s="115">
        <v>14.4</v>
      </c>
      <c r="AI37" s="115">
        <v>14.4</v>
      </c>
      <c r="AJ37" s="115">
        <v>14.4</v>
      </c>
      <c r="AK37" s="115">
        <v>14.4</v>
      </c>
      <c r="AL37" s="115">
        <v>14.4</v>
      </c>
      <c r="AM37" s="115">
        <v>14.4</v>
      </c>
      <c r="AN37" s="115">
        <v>14.4</v>
      </c>
      <c r="AO37" s="115">
        <v>14.4</v>
      </c>
      <c r="AP37" s="211">
        <v>14.4</v>
      </c>
      <c r="AQ37" s="60"/>
    </row>
    <row r="38" spans="21:80" s="41" customFormat="1" ht="15" customHeight="1" thickBot="1">
      <c r="U38" s="302"/>
      <c r="V38" s="51">
        <v>3500</v>
      </c>
      <c r="W38" s="115">
        <v>9.6</v>
      </c>
      <c r="X38" s="115">
        <v>9.6</v>
      </c>
      <c r="Y38" s="115">
        <v>9.6</v>
      </c>
      <c r="Z38" s="115">
        <v>9.6</v>
      </c>
      <c r="AA38" s="115">
        <v>19.2</v>
      </c>
      <c r="AB38" s="115">
        <v>19.2</v>
      </c>
      <c r="AC38" s="115">
        <v>19.2</v>
      </c>
      <c r="AD38" s="115">
        <v>19.2</v>
      </c>
      <c r="AE38" s="115">
        <v>19.2</v>
      </c>
      <c r="AF38" s="115">
        <v>19.2</v>
      </c>
      <c r="AG38" s="115">
        <v>19.2</v>
      </c>
      <c r="AH38" s="115">
        <v>19.2</v>
      </c>
      <c r="AI38" s="115">
        <v>19.2</v>
      </c>
      <c r="AJ38" s="115">
        <v>19.2</v>
      </c>
      <c r="AK38" s="115">
        <v>19.2</v>
      </c>
      <c r="AL38" s="115">
        <v>19.2</v>
      </c>
      <c r="AM38" s="115">
        <v>19.2</v>
      </c>
      <c r="AN38" s="115">
        <v>19.2</v>
      </c>
      <c r="AO38" s="115">
        <v>19.2</v>
      </c>
      <c r="AP38" s="211">
        <v>19.2</v>
      </c>
      <c r="AQ38" s="60"/>
      <c r="AR38" s="60"/>
      <c r="AS38" s="60"/>
    </row>
    <row r="39" spans="21:80" s="41" customFormat="1" ht="15" customHeight="1" thickBot="1">
      <c r="U39" s="302"/>
      <c r="V39" s="51">
        <v>4000</v>
      </c>
      <c r="W39" s="115">
        <v>9.6</v>
      </c>
      <c r="X39" s="115">
        <v>9.6</v>
      </c>
      <c r="Y39" s="115">
        <v>9.6</v>
      </c>
      <c r="Z39" s="115">
        <v>9.6</v>
      </c>
      <c r="AA39" s="115">
        <v>19.2</v>
      </c>
      <c r="AB39" s="115">
        <v>19.2</v>
      </c>
      <c r="AC39" s="115">
        <v>19.2</v>
      </c>
      <c r="AD39" s="115">
        <v>19.2</v>
      </c>
      <c r="AE39" s="115">
        <v>19.2</v>
      </c>
      <c r="AF39" s="115">
        <v>14.4</v>
      </c>
      <c r="AG39" s="115">
        <v>14.4</v>
      </c>
      <c r="AH39" s="115">
        <v>14.4</v>
      </c>
      <c r="AI39" s="115">
        <v>14.4</v>
      </c>
      <c r="AJ39" s="115">
        <v>14.4</v>
      </c>
      <c r="AK39" s="115">
        <v>24</v>
      </c>
      <c r="AL39" s="115">
        <v>24</v>
      </c>
      <c r="AM39" s="115">
        <v>24</v>
      </c>
      <c r="AN39" s="115">
        <v>24</v>
      </c>
      <c r="AO39" s="115">
        <v>24</v>
      </c>
      <c r="AP39" s="211">
        <v>24</v>
      </c>
      <c r="AQ39" s="60"/>
      <c r="AR39" s="304" t="s">
        <v>58</v>
      </c>
      <c r="AS39" s="305"/>
      <c r="AT39" s="305"/>
      <c r="AU39" s="305"/>
      <c r="AV39" s="305"/>
      <c r="AW39" s="305"/>
      <c r="AX39" s="305"/>
      <c r="AY39" s="305"/>
      <c r="AZ39" s="305"/>
      <c r="BA39" s="305"/>
      <c r="BB39" s="305"/>
      <c r="BC39" s="305"/>
      <c r="BD39" s="305"/>
      <c r="BE39" s="305"/>
      <c r="BF39" s="306"/>
    </row>
    <row r="40" spans="21:80" s="41" customFormat="1" ht="15" customHeight="1" thickBot="1">
      <c r="U40" s="302"/>
      <c r="V40" s="51">
        <v>4500</v>
      </c>
      <c r="W40" s="115">
        <v>9.6</v>
      </c>
      <c r="X40" s="115">
        <v>9.6</v>
      </c>
      <c r="Y40" s="115">
        <v>9.6</v>
      </c>
      <c r="Z40" s="115">
        <v>9.6</v>
      </c>
      <c r="AA40" s="115">
        <v>14.4</v>
      </c>
      <c r="AB40" s="115">
        <v>14.4</v>
      </c>
      <c r="AC40" s="115">
        <v>19.2</v>
      </c>
      <c r="AD40" s="115">
        <v>19.2</v>
      </c>
      <c r="AE40" s="115">
        <v>19.2</v>
      </c>
      <c r="AF40" s="115">
        <v>14.4</v>
      </c>
      <c r="AG40" s="115">
        <v>14.4</v>
      </c>
      <c r="AH40" s="115">
        <v>14.4</v>
      </c>
      <c r="AI40" s="115">
        <v>14.4</v>
      </c>
      <c r="AJ40" s="115">
        <v>14.4</v>
      </c>
      <c r="AK40" s="115">
        <v>24</v>
      </c>
      <c r="AL40" s="115">
        <v>24</v>
      </c>
      <c r="AM40" s="115">
        <v>24</v>
      </c>
      <c r="AN40" s="115">
        <v>24</v>
      </c>
      <c r="AO40" s="115">
        <v>24</v>
      </c>
      <c r="AP40" s="211">
        <v>24</v>
      </c>
      <c r="AQ40" s="60"/>
      <c r="AR40" s="60"/>
      <c r="AS40" s="60"/>
      <c r="BH40" s="338" t="s">
        <v>6</v>
      </c>
      <c r="BI40" s="339"/>
      <c r="BJ40" s="339"/>
      <c r="BK40" s="339"/>
      <c r="BL40" s="339"/>
      <c r="BM40" s="339"/>
      <c r="BN40" s="339"/>
      <c r="BO40" s="339"/>
      <c r="BP40" s="339"/>
      <c r="BQ40" s="339"/>
      <c r="BR40" s="339"/>
      <c r="BS40" s="339"/>
      <c r="BT40" s="339"/>
      <c r="BU40" s="339"/>
      <c r="BV40" s="339"/>
      <c r="BW40" s="339"/>
      <c r="BX40" s="339"/>
      <c r="BY40" s="339"/>
      <c r="BZ40" s="339"/>
      <c r="CA40" s="339"/>
      <c r="CB40" s="340"/>
    </row>
    <row r="41" spans="21:80" s="41" customFormat="1" ht="15" customHeight="1" thickBot="1">
      <c r="U41" s="302"/>
      <c r="V41" s="51">
        <v>5000</v>
      </c>
      <c r="W41" s="115">
        <v>4.8</v>
      </c>
      <c r="X41" s="115">
        <v>4.8</v>
      </c>
      <c r="Y41" s="115">
        <v>4.8</v>
      </c>
      <c r="Z41" s="115">
        <v>4.8</v>
      </c>
      <c r="AA41" s="115">
        <v>4.8</v>
      </c>
      <c r="AB41" s="115">
        <v>14.4</v>
      </c>
      <c r="AC41" s="115">
        <v>14.4</v>
      </c>
      <c r="AD41" s="115">
        <v>14.4</v>
      </c>
      <c r="AE41" s="115">
        <v>14.4</v>
      </c>
      <c r="AF41" s="115">
        <v>14.4</v>
      </c>
      <c r="AG41" s="115">
        <v>14.4</v>
      </c>
      <c r="AH41" s="115">
        <v>14.4</v>
      </c>
      <c r="AI41" s="115">
        <v>14.4</v>
      </c>
      <c r="AJ41" s="115">
        <v>14.4</v>
      </c>
      <c r="AK41" s="115">
        <v>24</v>
      </c>
      <c r="AL41" s="115">
        <v>24</v>
      </c>
      <c r="AM41" s="115">
        <v>24</v>
      </c>
      <c r="AN41" s="115">
        <v>24</v>
      </c>
      <c r="AO41" s="115">
        <v>24</v>
      </c>
      <c r="AP41" s="211">
        <v>24</v>
      </c>
      <c r="BH41" s="206"/>
      <c r="BI41" s="193">
        <v>10</v>
      </c>
      <c r="BJ41" s="194">
        <v>20</v>
      </c>
      <c r="BK41" s="194">
        <v>30</v>
      </c>
      <c r="BL41" s="194">
        <v>40</v>
      </c>
      <c r="BM41" s="195">
        <v>50</v>
      </c>
      <c r="BN41" s="195">
        <v>60</v>
      </c>
      <c r="BO41" s="195">
        <v>70</v>
      </c>
      <c r="BP41" s="195">
        <v>80</v>
      </c>
      <c r="BQ41" s="195">
        <v>90</v>
      </c>
      <c r="BR41" s="195">
        <v>100</v>
      </c>
      <c r="BS41" s="195">
        <v>120</v>
      </c>
      <c r="BT41" s="195">
        <v>140</v>
      </c>
      <c r="BU41" s="196">
        <v>160</v>
      </c>
      <c r="BV41" s="196">
        <v>180</v>
      </c>
      <c r="BW41" s="196">
        <v>200</v>
      </c>
      <c r="BX41" s="196">
        <v>220</v>
      </c>
      <c r="BY41" s="196">
        <v>240</v>
      </c>
      <c r="BZ41" s="197">
        <v>260</v>
      </c>
      <c r="CA41" s="196">
        <v>280</v>
      </c>
      <c r="CB41" s="197">
        <v>300</v>
      </c>
    </row>
    <row r="42" spans="21:80" s="41" customFormat="1" ht="15" customHeight="1">
      <c r="U42" s="302"/>
      <c r="V42" s="51">
        <v>5500</v>
      </c>
      <c r="W42" s="115">
        <v>4.8</v>
      </c>
      <c r="X42" s="115">
        <v>4.8</v>
      </c>
      <c r="Y42" s="115">
        <v>4.8</v>
      </c>
      <c r="Z42" s="115">
        <v>4.8</v>
      </c>
      <c r="AA42" s="115">
        <v>4.8</v>
      </c>
      <c r="AB42" s="115">
        <v>9.6</v>
      </c>
      <c r="AC42" s="115">
        <v>9.6</v>
      </c>
      <c r="AD42" s="115">
        <v>9.6</v>
      </c>
      <c r="AE42" s="115">
        <v>9.6</v>
      </c>
      <c r="AF42" s="115">
        <v>9.6</v>
      </c>
      <c r="AG42" s="115">
        <v>9.6</v>
      </c>
      <c r="AH42" s="115">
        <v>9.6</v>
      </c>
      <c r="AI42" s="115">
        <v>9.6</v>
      </c>
      <c r="AJ42" s="115">
        <v>14.4</v>
      </c>
      <c r="AK42" s="115">
        <v>19.2</v>
      </c>
      <c r="AL42" s="115">
        <v>19.2</v>
      </c>
      <c r="AM42" s="115">
        <v>19.2</v>
      </c>
      <c r="AN42" s="115">
        <v>19.2</v>
      </c>
      <c r="AO42" s="115">
        <v>19.2</v>
      </c>
      <c r="AP42" s="211">
        <v>19.2</v>
      </c>
      <c r="AQ42" s="58"/>
      <c r="BH42" s="193">
        <v>500</v>
      </c>
      <c r="BI42" s="216">
        <f t="shared" ref="BI42:BR47" si="23">W30-W55</f>
        <v>0</v>
      </c>
      <c r="BJ42" s="217">
        <f t="shared" si="23"/>
        <v>0</v>
      </c>
      <c r="BK42" s="217">
        <f t="shared" si="23"/>
        <v>0</v>
      </c>
      <c r="BL42" s="217">
        <f t="shared" si="23"/>
        <v>0</v>
      </c>
      <c r="BM42" s="217">
        <f t="shared" si="23"/>
        <v>0</v>
      </c>
      <c r="BN42" s="217">
        <f t="shared" si="23"/>
        <v>0</v>
      </c>
      <c r="BO42" s="217">
        <f t="shared" si="23"/>
        <v>0</v>
      </c>
      <c r="BP42" s="217">
        <f t="shared" si="23"/>
        <v>0</v>
      </c>
      <c r="BQ42" s="217">
        <f t="shared" si="23"/>
        <v>0</v>
      </c>
      <c r="BR42" s="217">
        <f t="shared" si="23"/>
        <v>0</v>
      </c>
      <c r="BS42" s="217">
        <f t="shared" ref="BS42:CB47" si="24">AG30-AG55</f>
        <v>0</v>
      </c>
      <c r="BT42" s="217">
        <f t="shared" si="24"/>
        <v>0</v>
      </c>
      <c r="BU42" s="217">
        <f t="shared" si="24"/>
        <v>0</v>
      </c>
      <c r="BV42" s="217">
        <f t="shared" si="24"/>
        <v>0</v>
      </c>
      <c r="BW42" s="217">
        <f t="shared" si="24"/>
        <v>0</v>
      </c>
      <c r="BX42" s="217">
        <f t="shared" si="24"/>
        <v>0</v>
      </c>
      <c r="BY42" s="217">
        <f t="shared" si="24"/>
        <v>0</v>
      </c>
      <c r="BZ42" s="217">
        <f t="shared" si="24"/>
        <v>0</v>
      </c>
      <c r="CA42" s="217">
        <f t="shared" si="24"/>
        <v>0</v>
      </c>
      <c r="CB42" s="218">
        <f t="shared" si="24"/>
        <v>0</v>
      </c>
    </row>
    <row r="43" spans="21:80" s="41" customFormat="1" ht="15" customHeight="1">
      <c r="U43" s="302"/>
      <c r="V43" s="51">
        <v>6000</v>
      </c>
      <c r="W43" s="115">
        <v>4.8</v>
      </c>
      <c r="X43" s="115">
        <v>4.8</v>
      </c>
      <c r="Y43" s="115">
        <v>4.8</v>
      </c>
      <c r="Z43" s="115">
        <v>4.8</v>
      </c>
      <c r="AA43" s="115">
        <v>4.8</v>
      </c>
      <c r="AB43" s="115">
        <v>4.8</v>
      </c>
      <c r="AC43" s="115">
        <v>4.8</v>
      </c>
      <c r="AD43" s="115">
        <v>4.8</v>
      </c>
      <c r="AE43" s="115">
        <v>4.8</v>
      </c>
      <c r="AF43" s="115">
        <v>4.8</v>
      </c>
      <c r="AG43" s="115">
        <v>9.6</v>
      </c>
      <c r="AH43" s="115">
        <v>9.6</v>
      </c>
      <c r="AI43" s="115">
        <v>9.6</v>
      </c>
      <c r="AJ43" s="115">
        <v>9.6</v>
      </c>
      <c r="AK43" s="115">
        <v>9.6</v>
      </c>
      <c r="AL43" s="115">
        <v>9.6</v>
      </c>
      <c r="AM43" s="115">
        <v>9.6</v>
      </c>
      <c r="AN43" s="115">
        <v>9.6</v>
      </c>
      <c r="AO43" s="115">
        <v>9.6</v>
      </c>
      <c r="AP43" s="211">
        <v>9.6</v>
      </c>
      <c r="AQ43" s="59"/>
      <c r="AR43" s="59"/>
      <c r="AS43" s="59"/>
      <c r="BH43" s="222">
        <v>750</v>
      </c>
      <c r="BI43" s="214">
        <f t="shared" si="23"/>
        <v>0</v>
      </c>
      <c r="BJ43" s="115">
        <f t="shared" si="23"/>
        <v>0</v>
      </c>
      <c r="BK43" s="115">
        <f t="shared" si="23"/>
        <v>0</v>
      </c>
      <c r="BL43" s="115">
        <f t="shared" si="23"/>
        <v>0</v>
      </c>
      <c r="BM43" s="115">
        <f t="shared" si="23"/>
        <v>0</v>
      </c>
      <c r="BN43" s="115">
        <f t="shared" si="23"/>
        <v>0</v>
      </c>
      <c r="BO43" s="115">
        <f t="shared" si="23"/>
        <v>0</v>
      </c>
      <c r="BP43" s="115">
        <f t="shared" si="23"/>
        <v>0</v>
      </c>
      <c r="BQ43" s="115">
        <f t="shared" si="23"/>
        <v>0</v>
      </c>
      <c r="BR43" s="115">
        <f t="shared" si="23"/>
        <v>0</v>
      </c>
      <c r="BS43" s="115">
        <f t="shared" si="24"/>
        <v>0</v>
      </c>
      <c r="BT43" s="115">
        <f t="shared" si="24"/>
        <v>0</v>
      </c>
      <c r="BU43" s="115">
        <f t="shared" si="24"/>
        <v>0</v>
      </c>
      <c r="BV43" s="115">
        <f t="shared" si="24"/>
        <v>0</v>
      </c>
      <c r="BW43" s="115">
        <f t="shared" si="24"/>
        <v>0</v>
      </c>
      <c r="BX43" s="115">
        <f t="shared" si="24"/>
        <v>0</v>
      </c>
      <c r="BY43" s="115">
        <f t="shared" si="24"/>
        <v>0</v>
      </c>
      <c r="BZ43" s="115">
        <f t="shared" si="24"/>
        <v>0</v>
      </c>
      <c r="CA43" s="115">
        <f t="shared" si="24"/>
        <v>0</v>
      </c>
      <c r="CB43" s="211">
        <f t="shared" si="24"/>
        <v>0</v>
      </c>
    </row>
    <row r="44" spans="21:80" s="41" customFormat="1" ht="15" customHeight="1">
      <c r="U44" s="302"/>
      <c r="V44" s="111">
        <v>6500</v>
      </c>
      <c r="W44" s="115">
        <v>0</v>
      </c>
      <c r="X44" s="115">
        <v>0</v>
      </c>
      <c r="Y44" s="115">
        <v>0</v>
      </c>
      <c r="Z44" s="115">
        <v>0</v>
      </c>
      <c r="AA44" s="115">
        <v>0</v>
      </c>
      <c r="AB44" s="115">
        <v>0</v>
      </c>
      <c r="AC44" s="115">
        <v>0</v>
      </c>
      <c r="AD44" s="115">
        <v>0</v>
      </c>
      <c r="AE44" s="115">
        <v>0</v>
      </c>
      <c r="AF44" s="115">
        <v>0</v>
      </c>
      <c r="AG44" s="115">
        <v>0</v>
      </c>
      <c r="AH44" s="115">
        <v>0</v>
      </c>
      <c r="AI44" s="115">
        <v>0</v>
      </c>
      <c r="AJ44" s="115">
        <v>0</v>
      </c>
      <c r="AK44" s="115">
        <v>0</v>
      </c>
      <c r="AL44" s="115">
        <v>0</v>
      </c>
      <c r="AM44" s="115">
        <v>0</v>
      </c>
      <c r="AN44" s="115">
        <v>0</v>
      </c>
      <c r="AO44" s="115">
        <v>0</v>
      </c>
      <c r="AP44" s="211">
        <v>0</v>
      </c>
      <c r="AQ44" s="59"/>
      <c r="AR44" s="59"/>
      <c r="AS44" s="59"/>
      <c r="BH44" s="223">
        <v>1000</v>
      </c>
      <c r="BI44" s="214">
        <f t="shared" si="23"/>
        <v>0</v>
      </c>
      <c r="BJ44" s="115">
        <f t="shared" si="23"/>
        <v>0</v>
      </c>
      <c r="BK44" s="115">
        <f t="shared" si="23"/>
        <v>0</v>
      </c>
      <c r="BL44" s="115">
        <f t="shared" si="23"/>
        <v>0</v>
      </c>
      <c r="BM44" s="115">
        <f t="shared" si="23"/>
        <v>0</v>
      </c>
      <c r="BN44" s="115">
        <f t="shared" si="23"/>
        <v>0</v>
      </c>
      <c r="BO44" s="115">
        <f t="shared" si="23"/>
        <v>0</v>
      </c>
      <c r="BP44" s="115">
        <f t="shared" si="23"/>
        <v>0</v>
      </c>
      <c r="BQ44" s="115">
        <f t="shared" si="23"/>
        <v>0</v>
      </c>
      <c r="BR44" s="115">
        <f t="shared" si="23"/>
        <v>0</v>
      </c>
      <c r="BS44" s="115">
        <f t="shared" si="24"/>
        <v>0</v>
      </c>
      <c r="BT44" s="115">
        <f t="shared" si="24"/>
        <v>0</v>
      </c>
      <c r="BU44" s="115">
        <f t="shared" si="24"/>
        <v>0</v>
      </c>
      <c r="BV44" s="115">
        <f t="shared" si="24"/>
        <v>0</v>
      </c>
      <c r="BW44" s="115">
        <f t="shared" si="24"/>
        <v>0</v>
      </c>
      <c r="BX44" s="115">
        <f t="shared" si="24"/>
        <v>0</v>
      </c>
      <c r="BY44" s="115">
        <f t="shared" si="24"/>
        <v>0</v>
      </c>
      <c r="BZ44" s="115">
        <f t="shared" si="24"/>
        <v>0</v>
      </c>
      <c r="CA44" s="115">
        <f t="shared" si="24"/>
        <v>0</v>
      </c>
      <c r="CB44" s="211">
        <f t="shared" si="24"/>
        <v>0</v>
      </c>
    </row>
    <row r="45" spans="21:80" s="41" customFormat="1" ht="15" customHeight="1" thickBot="1">
      <c r="U45" s="303"/>
      <c r="V45" s="57">
        <v>7000</v>
      </c>
      <c r="W45" s="212">
        <v>0</v>
      </c>
      <c r="X45" s="212">
        <v>0</v>
      </c>
      <c r="Y45" s="212">
        <v>0</v>
      </c>
      <c r="Z45" s="212">
        <v>0</v>
      </c>
      <c r="AA45" s="212">
        <v>0</v>
      </c>
      <c r="AB45" s="212">
        <v>0</v>
      </c>
      <c r="AC45" s="212">
        <v>0</v>
      </c>
      <c r="AD45" s="212">
        <v>0</v>
      </c>
      <c r="AE45" s="212">
        <v>0</v>
      </c>
      <c r="AF45" s="212">
        <v>0</v>
      </c>
      <c r="AG45" s="212">
        <v>0</v>
      </c>
      <c r="AH45" s="212">
        <v>0</v>
      </c>
      <c r="AI45" s="212">
        <v>0</v>
      </c>
      <c r="AJ45" s="212">
        <v>0</v>
      </c>
      <c r="AK45" s="212">
        <v>0</v>
      </c>
      <c r="AL45" s="212">
        <v>0</v>
      </c>
      <c r="AM45" s="212">
        <v>0</v>
      </c>
      <c r="AN45" s="212">
        <v>0</v>
      </c>
      <c r="AO45" s="212">
        <v>0</v>
      </c>
      <c r="AP45" s="213">
        <v>0</v>
      </c>
      <c r="AQ45" s="59"/>
      <c r="AR45" s="59"/>
      <c r="AS45" s="59"/>
      <c r="BH45" s="223">
        <v>1250</v>
      </c>
      <c r="BI45" s="214">
        <f t="shared" si="23"/>
        <v>0</v>
      </c>
      <c r="BJ45" s="115">
        <f t="shared" si="23"/>
        <v>0</v>
      </c>
      <c r="BK45" s="115">
        <f t="shared" si="23"/>
        <v>0</v>
      </c>
      <c r="BL45" s="115">
        <f t="shared" si="23"/>
        <v>0</v>
      </c>
      <c r="BM45" s="115">
        <f t="shared" si="23"/>
        <v>0</v>
      </c>
      <c r="BN45" s="115">
        <f t="shared" si="23"/>
        <v>0</v>
      </c>
      <c r="BO45" s="115">
        <f t="shared" si="23"/>
        <v>0</v>
      </c>
      <c r="BP45" s="115">
        <f t="shared" si="23"/>
        <v>0</v>
      </c>
      <c r="BQ45" s="115">
        <f t="shared" si="23"/>
        <v>0</v>
      </c>
      <c r="BR45" s="115">
        <f t="shared" si="23"/>
        <v>0</v>
      </c>
      <c r="BS45" s="115">
        <f t="shared" si="24"/>
        <v>0</v>
      </c>
      <c r="BT45" s="115">
        <f t="shared" si="24"/>
        <v>0</v>
      </c>
      <c r="BU45" s="115">
        <f t="shared" si="24"/>
        <v>0</v>
      </c>
      <c r="BV45" s="115">
        <f t="shared" si="24"/>
        <v>0</v>
      </c>
      <c r="BW45" s="115">
        <f t="shared" si="24"/>
        <v>0</v>
      </c>
      <c r="BX45" s="115">
        <f t="shared" si="24"/>
        <v>0</v>
      </c>
      <c r="BY45" s="115">
        <f t="shared" si="24"/>
        <v>0</v>
      </c>
      <c r="BZ45" s="115">
        <f t="shared" si="24"/>
        <v>0</v>
      </c>
      <c r="CA45" s="115">
        <f t="shared" si="24"/>
        <v>0</v>
      </c>
      <c r="CB45" s="211">
        <f t="shared" si="24"/>
        <v>0</v>
      </c>
    </row>
    <row r="46" spans="21:80" s="41" customFormat="1" ht="15" customHeight="1">
      <c r="AQ46" s="60"/>
      <c r="AR46" s="60"/>
      <c r="AS46" s="60"/>
      <c r="BH46" s="223">
        <v>1500</v>
      </c>
      <c r="BI46" s="214">
        <f t="shared" si="23"/>
        <v>0</v>
      </c>
      <c r="BJ46" s="115">
        <f t="shared" si="23"/>
        <v>0</v>
      </c>
      <c r="BK46" s="115">
        <f t="shared" si="23"/>
        <v>0</v>
      </c>
      <c r="BL46" s="115">
        <f t="shared" si="23"/>
        <v>0</v>
      </c>
      <c r="BM46" s="115">
        <f t="shared" si="23"/>
        <v>0</v>
      </c>
      <c r="BN46" s="115">
        <f t="shared" si="23"/>
        <v>0</v>
      </c>
      <c r="BO46" s="115">
        <f t="shared" si="23"/>
        <v>0</v>
      </c>
      <c r="BP46" s="115">
        <f t="shared" si="23"/>
        <v>0</v>
      </c>
      <c r="BQ46" s="115">
        <f t="shared" si="23"/>
        <v>0</v>
      </c>
      <c r="BR46" s="115">
        <f t="shared" si="23"/>
        <v>0</v>
      </c>
      <c r="BS46" s="115">
        <f t="shared" si="24"/>
        <v>0</v>
      </c>
      <c r="BT46" s="115">
        <f t="shared" si="24"/>
        <v>0</v>
      </c>
      <c r="BU46" s="115">
        <f t="shared" si="24"/>
        <v>0</v>
      </c>
      <c r="BV46" s="115">
        <f t="shared" si="24"/>
        <v>0</v>
      </c>
      <c r="BW46" s="115">
        <f t="shared" si="24"/>
        <v>0</v>
      </c>
      <c r="BX46" s="115">
        <f t="shared" si="24"/>
        <v>0</v>
      </c>
      <c r="BY46" s="115">
        <f t="shared" si="24"/>
        <v>0</v>
      </c>
      <c r="BZ46" s="115">
        <f t="shared" si="24"/>
        <v>0</v>
      </c>
      <c r="CA46" s="115">
        <f t="shared" si="24"/>
        <v>0</v>
      </c>
      <c r="CB46" s="211">
        <f t="shared" si="24"/>
        <v>0</v>
      </c>
    </row>
    <row r="47" spans="21:80" s="41" customFormat="1" ht="15" customHeight="1">
      <c r="AQ47" s="60"/>
      <c r="AR47" s="60"/>
      <c r="AS47" s="60"/>
      <c r="BH47" s="224">
        <v>2000</v>
      </c>
      <c r="BI47" s="214">
        <f t="shared" si="23"/>
        <v>0</v>
      </c>
      <c r="BJ47" s="115">
        <f t="shared" si="23"/>
        <v>0</v>
      </c>
      <c r="BK47" s="115">
        <f t="shared" si="23"/>
        <v>0</v>
      </c>
      <c r="BL47" s="115">
        <f t="shared" si="23"/>
        <v>0</v>
      </c>
      <c r="BM47" s="115">
        <f t="shared" si="23"/>
        <v>0</v>
      </c>
      <c r="BN47" s="115">
        <f t="shared" si="23"/>
        <v>0</v>
      </c>
      <c r="BO47" s="115">
        <f t="shared" si="23"/>
        <v>0</v>
      </c>
      <c r="BP47" s="115">
        <f t="shared" si="23"/>
        <v>0</v>
      </c>
      <c r="BQ47" s="115">
        <f t="shared" si="23"/>
        <v>0</v>
      </c>
      <c r="BR47" s="115">
        <f t="shared" si="23"/>
        <v>0</v>
      </c>
      <c r="BS47" s="115">
        <f t="shared" si="24"/>
        <v>0</v>
      </c>
      <c r="BT47" s="115">
        <f t="shared" si="24"/>
        <v>0</v>
      </c>
      <c r="BU47" s="115">
        <f t="shared" si="24"/>
        <v>0</v>
      </c>
      <c r="BV47" s="115">
        <f t="shared" si="24"/>
        <v>0</v>
      </c>
      <c r="BW47" s="115">
        <f t="shared" si="24"/>
        <v>0</v>
      </c>
      <c r="BX47" s="115">
        <f t="shared" si="24"/>
        <v>0</v>
      </c>
      <c r="BY47" s="115">
        <f t="shared" si="24"/>
        <v>0</v>
      </c>
      <c r="BZ47" s="115">
        <f t="shared" si="24"/>
        <v>0</v>
      </c>
      <c r="CA47" s="115">
        <f t="shared" si="24"/>
        <v>0</v>
      </c>
      <c r="CB47" s="211">
        <f t="shared" si="24"/>
        <v>0</v>
      </c>
    </row>
    <row r="48" spans="21:80" s="41" customFormat="1" ht="15" customHeight="1">
      <c r="AQ48" s="60"/>
      <c r="AR48" s="60"/>
      <c r="AS48" s="60"/>
      <c r="BH48" s="224">
        <v>2500</v>
      </c>
      <c r="BI48" s="214">
        <f t="shared" ref="BI48:BI56" si="25">W35-W60</f>
        <v>0</v>
      </c>
      <c r="BJ48" s="115">
        <f t="shared" ref="BJ48:BJ56" si="26">X35-X60</f>
        <v>0</v>
      </c>
      <c r="BK48" s="115">
        <f t="shared" ref="BK48:BK56" si="27">Y35-Y60</f>
        <v>0</v>
      </c>
      <c r="BL48" s="115">
        <f t="shared" ref="BL48:BL56" si="28">Z35-Z60</f>
        <v>0</v>
      </c>
      <c r="BM48" s="115">
        <f t="shared" ref="BM48:BM56" si="29">AA35-AA60</f>
        <v>0</v>
      </c>
      <c r="BN48" s="115">
        <f t="shared" ref="BN48:BN56" si="30">AB35-AB60</f>
        <v>0</v>
      </c>
      <c r="BO48" s="115">
        <f t="shared" ref="BO48:BO56" si="31">AC35-AC60</f>
        <v>0</v>
      </c>
      <c r="BP48" s="115">
        <f t="shared" ref="BP48:BP56" si="32">AD35-AD60</f>
        <v>0</v>
      </c>
      <c r="BQ48" s="115">
        <f t="shared" ref="BQ48:BQ56" si="33">AE35-AE60</f>
        <v>0</v>
      </c>
      <c r="BR48" s="115">
        <f t="shared" ref="BR48:BR56" si="34">AF35-AF60</f>
        <v>0</v>
      </c>
      <c r="BS48" s="115">
        <f t="shared" ref="BS48:BS56" si="35">AG35-AG60</f>
        <v>0</v>
      </c>
      <c r="BT48" s="115">
        <f t="shared" ref="BT48:BT56" si="36">AH35-AH60</f>
        <v>0</v>
      </c>
      <c r="BU48" s="115">
        <f t="shared" ref="BU48:BU56" si="37">AI35-AI60</f>
        <v>0</v>
      </c>
      <c r="BV48" s="115">
        <f t="shared" ref="BV48:BV56" si="38">AJ35-AJ60</f>
        <v>0</v>
      </c>
      <c r="BW48" s="115">
        <f t="shared" ref="BW48:BW56" si="39">AK35-AK60</f>
        <v>0</v>
      </c>
      <c r="BX48" s="115">
        <f t="shared" ref="BX48:BX56" si="40">AL35-AL60</f>
        <v>0</v>
      </c>
      <c r="BY48" s="115">
        <f t="shared" ref="BY48:BY56" si="41">AM35-AM60</f>
        <v>0</v>
      </c>
      <c r="BZ48" s="115">
        <f t="shared" ref="BZ48:BZ56" si="42">AN35-AN60</f>
        <v>0</v>
      </c>
      <c r="CA48" s="115">
        <f t="shared" ref="CA48:CA56" si="43">AO35-AO60</f>
        <v>0</v>
      </c>
      <c r="CB48" s="211">
        <f t="shared" ref="CB48:CB56" si="44">AP35-AP60</f>
        <v>0</v>
      </c>
    </row>
    <row r="49" spans="21:80" s="41" customFormat="1" ht="15" customHeight="1">
      <c r="AQ49" s="60"/>
      <c r="AR49" s="60"/>
      <c r="AS49" s="60"/>
      <c r="BH49" s="224">
        <v>3000</v>
      </c>
      <c r="BI49" s="214">
        <f t="shared" si="25"/>
        <v>0</v>
      </c>
      <c r="BJ49" s="115">
        <f t="shared" si="26"/>
        <v>0</v>
      </c>
      <c r="BK49" s="115">
        <f t="shared" si="27"/>
        <v>0</v>
      </c>
      <c r="BL49" s="115">
        <f t="shared" si="28"/>
        <v>0</v>
      </c>
      <c r="BM49" s="115">
        <f t="shared" si="29"/>
        <v>0</v>
      </c>
      <c r="BN49" s="115">
        <f t="shared" si="30"/>
        <v>0</v>
      </c>
      <c r="BO49" s="115">
        <f t="shared" si="31"/>
        <v>0</v>
      </c>
      <c r="BP49" s="115">
        <f t="shared" si="32"/>
        <v>0</v>
      </c>
      <c r="BQ49" s="115">
        <f t="shared" si="33"/>
        <v>0</v>
      </c>
      <c r="BR49" s="115">
        <f t="shared" si="34"/>
        <v>0</v>
      </c>
      <c r="BS49" s="115">
        <f t="shared" si="35"/>
        <v>0</v>
      </c>
      <c r="BT49" s="115">
        <f t="shared" si="36"/>
        <v>0</v>
      </c>
      <c r="BU49" s="115">
        <f t="shared" si="37"/>
        <v>0</v>
      </c>
      <c r="BV49" s="115">
        <f t="shared" si="38"/>
        <v>0</v>
      </c>
      <c r="BW49" s="115">
        <f t="shared" si="39"/>
        <v>0</v>
      </c>
      <c r="BX49" s="115">
        <f t="shared" si="40"/>
        <v>0</v>
      </c>
      <c r="BY49" s="115">
        <f t="shared" si="41"/>
        <v>0</v>
      </c>
      <c r="BZ49" s="115">
        <f t="shared" si="42"/>
        <v>0</v>
      </c>
      <c r="CA49" s="115">
        <f t="shared" si="43"/>
        <v>0</v>
      </c>
      <c r="CB49" s="211">
        <f t="shared" si="44"/>
        <v>0</v>
      </c>
    </row>
    <row r="50" spans="21:80" s="41" customFormat="1" ht="15" customHeight="1">
      <c r="AQ50" s="60"/>
      <c r="AR50" s="60"/>
      <c r="AS50" s="60"/>
      <c r="BH50" s="224">
        <v>3500</v>
      </c>
      <c r="BI50" s="214">
        <f t="shared" si="25"/>
        <v>0</v>
      </c>
      <c r="BJ50" s="115">
        <f t="shared" si="26"/>
        <v>0</v>
      </c>
      <c r="BK50" s="115">
        <f t="shared" si="27"/>
        <v>0</v>
      </c>
      <c r="BL50" s="115">
        <f t="shared" si="28"/>
        <v>0</v>
      </c>
      <c r="BM50" s="115">
        <f t="shared" si="29"/>
        <v>0</v>
      </c>
      <c r="BN50" s="115">
        <f t="shared" si="30"/>
        <v>0</v>
      </c>
      <c r="BO50" s="115">
        <f t="shared" si="31"/>
        <v>0</v>
      </c>
      <c r="BP50" s="115">
        <f t="shared" si="32"/>
        <v>0</v>
      </c>
      <c r="BQ50" s="115">
        <f t="shared" si="33"/>
        <v>0</v>
      </c>
      <c r="BR50" s="115">
        <f t="shared" si="34"/>
        <v>0</v>
      </c>
      <c r="BS50" s="115">
        <f t="shared" si="35"/>
        <v>0</v>
      </c>
      <c r="BT50" s="115">
        <f t="shared" si="36"/>
        <v>0</v>
      </c>
      <c r="BU50" s="115">
        <f t="shared" si="37"/>
        <v>0</v>
      </c>
      <c r="BV50" s="115">
        <f t="shared" si="38"/>
        <v>0</v>
      </c>
      <c r="BW50" s="115">
        <f t="shared" si="39"/>
        <v>0</v>
      </c>
      <c r="BX50" s="115">
        <f t="shared" si="40"/>
        <v>0</v>
      </c>
      <c r="BY50" s="115">
        <f t="shared" si="41"/>
        <v>0</v>
      </c>
      <c r="BZ50" s="115">
        <f t="shared" si="42"/>
        <v>0</v>
      </c>
      <c r="CA50" s="115">
        <f t="shared" si="43"/>
        <v>0</v>
      </c>
      <c r="CB50" s="211">
        <f t="shared" si="44"/>
        <v>0</v>
      </c>
    </row>
    <row r="51" spans="21:80" s="41" customFormat="1" ht="15" customHeight="1" thickBot="1">
      <c r="AQ51" s="60"/>
      <c r="AR51" s="60"/>
      <c r="AS51" s="60"/>
      <c r="BH51" s="224">
        <v>4000</v>
      </c>
      <c r="BI51" s="214">
        <f t="shared" si="25"/>
        <v>0</v>
      </c>
      <c r="BJ51" s="115">
        <f t="shared" si="26"/>
        <v>0</v>
      </c>
      <c r="BK51" s="115">
        <f t="shared" si="27"/>
        <v>0</v>
      </c>
      <c r="BL51" s="115">
        <f t="shared" si="28"/>
        <v>0</v>
      </c>
      <c r="BM51" s="115">
        <f t="shared" si="29"/>
        <v>0</v>
      </c>
      <c r="BN51" s="115">
        <f t="shared" si="30"/>
        <v>0</v>
      </c>
      <c r="BO51" s="115">
        <f t="shared" si="31"/>
        <v>0</v>
      </c>
      <c r="BP51" s="115">
        <f t="shared" si="32"/>
        <v>0</v>
      </c>
      <c r="BQ51" s="115">
        <f t="shared" si="33"/>
        <v>0</v>
      </c>
      <c r="BR51" s="115">
        <f t="shared" si="34"/>
        <v>0</v>
      </c>
      <c r="BS51" s="115">
        <f t="shared" si="35"/>
        <v>0</v>
      </c>
      <c r="BT51" s="115">
        <f t="shared" si="36"/>
        <v>0</v>
      </c>
      <c r="BU51" s="115">
        <f t="shared" si="37"/>
        <v>0</v>
      </c>
      <c r="BV51" s="115">
        <f t="shared" si="38"/>
        <v>0</v>
      </c>
      <c r="BW51" s="115">
        <f t="shared" si="39"/>
        <v>0</v>
      </c>
      <c r="BX51" s="115">
        <f t="shared" si="40"/>
        <v>0</v>
      </c>
      <c r="BY51" s="115">
        <f t="shared" si="41"/>
        <v>0</v>
      </c>
      <c r="BZ51" s="115">
        <f t="shared" si="42"/>
        <v>0</v>
      </c>
      <c r="CA51" s="115">
        <f t="shared" si="43"/>
        <v>0</v>
      </c>
      <c r="CB51" s="211">
        <f t="shared" si="44"/>
        <v>0</v>
      </c>
    </row>
    <row r="52" spans="21:80" s="41" customFormat="1" ht="15" customHeight="1" thickBot="1">
      <c r="U52" s="278">
        <v>3</v>
      </c>
      <c r="V52" s="279"/>
      <c r="W52" s="304" t="s">
        <v>48</v>
      </c>
      <c r="X52" s="305"/>
      <c r="Y52" s="305"/>
      <c r="Z52" s="305"/>
      <c r="AA52" s="305"/>
      <c r="AB52" s="305"/>
      <c r="AC52" s="305"/>
      <c r="AD52" s="305"/>
      <c r="AE52" s="305"/>
      <c r="AF52" s="305"/>
      <c r="AG52" s="305"/>
      <c r="AH52" s="305"/>
      <c r="AI52" s="305"/>
      <c r="AJ52" s="305"/>
      <c r="AK52" s="305"/>
      <c r="AL52" s="305"/>
      <c r="AM52" s="305"/>
      <c r="AN52" s="305"/>
      <c r="AO52" s="305"/>
      <c r="AP52" s="306"/>
      <c r="AQ52" s="60"/>
      <c r="AR52" s="60"/>
      <c r="AS52" s="60"/>
      <c r="BH52" s="224">
        <v>4500</v>
      </c>
      <c r="BI52" s="214">
        <f t="shared" si="25"/>
        <v>0</v>
      </c>
      <c r="BJ52" s="115">
        <f t="shared" si="26"/>
        <v>0</v>
      </c>
      <c r="BK52" s="115">
        <f t="shared" si="27"/>
        <v>0</v>
      </c>
      <c r="BL52" s="115">
        <f t="shared" si="28"/>
        <v>0</v>
      </c>
      <c r="BM52" s="115">
        <f t="shared" si="29"/>
        <v>0</v>
      </c>
      <c r="BN52" s="115">
        <f t="shared" si="30"/>
        <v>0</v>
      </c>
      <c r="BO52" s="115">
        <f t="shared" si="31"/>
        <v>0</v>
      </c>
      <c r="BP52" s="115">
        <f t="shared" si="32"/>
        <v>0</v>
      </c>
      <c r="BQ52" s="115">
        <f t="shared" si="33"/>
        <v>0</v>
      </c>
      <c r="BR52" s="115">
        <f t="shared" si="34"/>
        <v>0</v>
      </c>
      <c r="BS52" s="115">
        <f t="shared" si="35"/>
        <v>0</v>
      </c>
      <c r="BT52" s="115">
        <f t="shared" si="36"/>
        <v>0</v>
      </c>
      <c r="BU52" s="115">
        <f t="shared" si="37"/>
        <v>0</v>
      </c>
      <c r="BV52" s="115">
        <f t="shared" si="38"/>
        <v>0</v>
      </c>
      <c r="BW52" s="115">
        <f t="shared" si="39"/>
        <v>0</v>
      </c>
      <c r="BX52" s="115">
        <f t="shared" si="40"/>
        <v>0</v>
      </c>
      <c r="BY52" s="115">
        <f t="shared" si="41"/>
        <v>0</v>
      </c>
      <c r="BZ52" s="115">
        <f t="shared" si="42"/>
        <v>0</v>
      </c>
      <c r="CA52" s="115">
        <f t="shared" si="43"/>
        <v>0</v>
      </c>
      <c r="CB52" s="211">
        <f t="shared" si="44"/>
        <v>0</v>
      </c>
    </row>
    <row r="53" spans="21:80" s="41" customFormat="1" ht="15" customHeight="1" thickBot="1">
      <c r="U53" s="280"/>
      <c r="V53" s="281"/>
      <c r="W53" s="284" t="s">
        <v>0</v>
      </c>
      <c r="X53" s="360"/>
      <c r="Y53" s="360"/>
      <c r="Z53" s="360"/>
      <c r="AA53" s="360"/>
      <c r="AB53" s="360"/>
      <c r="AC53" s="360"/>
      <c r="AD53" s="360"/>
      <c r="AE53" s="360"/>
      <c r="AF53" s="360"/>
      <c r="AG53" s="360"/>
      <c r="AH53" s="360"/>
      <c r="AI53" s="360"/>
      <c r="AJ53" s="360"/>
      <c r="AK53" s="360"/>
      <c r="AL53" s="360"/>
      <c r="AM53" s="360"/>
      <c r="AN53" s="360"/>
      <c r="AO53" s="360"/>
      <c r="AP53" s="361"/>
      <c r="AQ53" s="60"/>
      <c r="AR53" s="60"/>
      <c r="BH53" s="224">
        <v>5000</v>
      </c>
      <c r="BI53" s="214">
        <f t="shared" si="25"/>
        <v>0</v>
      </c>
      <c r="BJ53" s="115">
        <f t="shared" si="26"/>
        <v>0</v>
      </c>
      <c r="BK53" s="115">
        <f t="shared" si="27"/>
        <v>0</v>
      </c>
      <c r="BL53" s="115">
        <f t="shared" si="28"/>
        <v>0</v>
      </c>
      <c r="BM53" s="115">
        <f t="shared" si="29"/>
        <v>0</v>
      </c>
      <c r="BN53" s="115">
        <f t="shared" si="30"/>
        <v>0</v>
      </c>
      <c r="BO53" s="115">
        <f t="shared" si="31"/>
        <v>0</v>
      </c>
      <c r="BP53" s="115">
        <f t="shared" si="32"/>
        <v>0</v>
      </c>
      <c r="BQ53" s="115">
        <f t="shared" si="33"/>
        <v>0</v>
      </c>
      <c r="BR53" s="115">
        <f t="shared" si="34"/>
        <v>0</v>
      </c>
      <c r="BS53" s="115">
        <f t="shared" si="35"/>
        <v>0</v>
      </c>
      <c r="BT53" s="115">
        <f t="shared" si="36"/>
        <v>0</v>
      </c>
      <c r="BU53" s="115">
        <f t="shared" si="37"/>
        <v>0</v>
      </c>
      <c r="BV53" s="115">
        <f t="shared" si="38"/>
        <v>0</v>
      </c>
      <c r="BW53" s="115">
        <f t="shared" si="39"/>
        <v>0</v>
      </c>
      <c r="BX53" s="115">
        <f t="shared" si="40"/>
        <v>0</v>
      </c>
      <c r="BY53" s="115">
        <f t="shared" si="41"/>
        <v>0</v>
      </c>
      <c r="BZ53" s="115">
        <f t="shared" si="42"/>
        <v>0</v>
      </c>
      <c r="CA53" s="115">
        <f t="shared" si="43"/>
        <v>0</v>
      </c>
      <c r="CB53" s="211">
        <f t="shared" si="44"/>
        <v>0</v>
      </c>
    </row>
    <row r="54" spans="21:80" s="41" customFormat="1" ht="15" customHeight="1" thickBot="1">
      <c r="U54" s="282"/>
      <c r="V54" s="283"/>
      <c r="W54" s="103">
        <v>10</v>
      </c>
      <c r="X54" s="104">
        <v>20</v>
      </c>
      <c r="Y54" s="104">
        <v>30</v>
      </c>
      <c r="Z54" s="104">
        <v>40</v>
      </c>
      <c r="AA54" s="105">
        <v>50</v>
      </c>
      <c r="AB54" s="105">
        <v>60</v>
      </c>
      <c r="AC54" s="105">
        <v>70</v>
      </c>
      <c r="AD54" s="105">
        <v>80</v>
      </c>
      <c r="AE54" s="105">
        <v>90</v>
      </c>
      <c r="AF54" s="105">
        <v>100</v>
      </c>
      <c r="AG54" s="105">
        <v>120</v>
      </c>
      <c r="AH54" s="105">
        <v>140</v>
      </c>
      <c r="AI54" s="106">
        <v>160</v>
      </c>
      <c r="AJ54" s="106">
        <v>180</v>
      </c>
      <c r="AK54" s="106">
        <v>200</v>
      </c>
      <c r="AL54" s="106">
        <v>220</v>
      </c>
      <c r="AM54" s="106">
        <v>240</v>
      </c>
      <c r="AN54" s="107">
        <v>260</v>
      </c>
      <c r="AO54" s="106">
        <v>280</v>
      </c>
      <c r="AP54" s="107">
        <v>300</v>
      </c>
      <c r="AQ54" s="60"/>
      <c r="AR54" s="60"/>
      <c r="BH54" s="224">
        <v>5500</v>
      </c>
      <c r="BI54" s="214">
        <f t="shared" si="25"/>
        <v>0</v>
      </c>
      <c r="BJ54" s="115">
        <f t="shared" si="26"/>
        <v>0</v>
      </c>
      <c r="BK54" s="115">
        <f t="shared" si="27"/>
        <v>0</v>
      </c>
      <c r="BL54" s="115">
        <f t="shared" si="28"/>
        <v>0</v>
      </c>
      <c r="BM54" s="115">
        <f t="shared" si="29"/>
        <v>0</v>
      </c>
      <c r="BN54" s="115">
        <f t="shared" si="30"/>
        <v>0</v>
      </c>
      <c r="BO54" s="115">
        <f t="shared" si="31"/>
        <v>0</v>
      </c>
      <c r="BP54" s="115">
        <f t="shared" si="32"/>
        <v>0</v>
      </c>
      <c r="BQ54" s="115">
        <f t="shared" si="33"/>
        <v>0</v>
      </c>
      <c r="BR54" s="115">
        <f t="shared" si="34"/>
        <v>0</v>
      </c>
      <c r="BS54" s="115">
        <f t="shared" si="35"/>
        <v>0</v>
      </c>
      <c r="BT54" s="115">
        <f t="shared" si="36"/>
        <v>0</v>
      </c>
      <c r="BU54" s="115">
        <f t="shared" si="37"/>
        <v>0</v>
      </c>
      <c r="BV54" s="115">
        <f t="shared" si="38"/>
        <v>0</v>
      </c>
      <c r="BW54" s="115">
        <f t="shared" si="39"/>
        <v>0</v>
      </c>
      <c r="BX54" s="115">
        <f t="shared" si="40"/>
        <v>0</v>
      </c>
      <c r="BY54" s="115">
        <f t="shared" si="41"/>
        <v>0</v>
      </c>
      <c r="BZ54" s="115">
        <f t="shared" si="42"/>
        <v>0</v>
      </c>
      <c r="CA54" s="115">
        <f t="shared" si="43"/>
        <v>0</v>
      </c>
      <c r="CB54" s="211">
        <f t="shared" si="44"/>
        <v>0</v>
      </c>
    </row>
    <row r="55" spans="21:80" s="41" customFormat="1" ht="15" customHeight="1">
      <c r="U55" s="301" t="s">
        <v>1</v>
      </c>
      <c r="V55" s="47">
        <v>500</v>
      </c>
      <c r="W55" s="115">
        <v>0</v>
      </c>
      <c r="X55" s="115">
        <v>0</v>
      </c>
      <c r="Y55" s="115">
        <v>0</v>
      </c>
      <c r="Z55" s="115">
        <v>0</v>
      </c>
      <c r="AA55" s="115">
        <v>0</v>
      </c>
      <c r="AB55" s="115">
        <v>0</v>
      </c>
      <c r="AC55" s="115">
        <v>0</v>
      </c>
      <c r="AD55" s="115">
        <v>0</v>
      </c>
      <c r="AE55" s="115">
        <v>0</v>
      </c>
      <c r="AF55" s="115">
        <v>0</v>
      </c>
      <c r="AG55" s="115">
        <v>0</v>
      </c>
      <c r="AH55" s="115">
        <v>0</v>
      </c>
      <c r="AI55" s="115">
        <v>0</v>
      </c>
      <c r="AJ55" s="115">
        <v>0</v>
      </c>
      <c r="AK55" s="115">
        <v>0</v>
      </c>
      <c r="AL55" s="115">
        <v>0</v>
      </c>
      <c r="AM55" s="115">
        <v>0</v>
      </c>
      <c r="AN55" s="115">
        <v>0</v>
      </c>
      <c r="AO55" s="115">
        <v>0</v>
      </c>
      <c r="AP55" s="211">
        <v>0</v>
      </c>
      <c r="AQ55" s="60"/>
      <c r="AR55" s="60"/>
      <c r="BH55" s="224">
        <v>6000</v>
      </c>
      <c r="BI55" s="214">
        <f t="shared" si="25"/>
        <v>0</v>
      </c>
      <c r="BJ55" s="115">
        <f t="shared" si="26"/>
        <v>0</v>
      </c>
      <c r="BK55" s="115">
        <f t="shared" si="27"/>
        <v>0</v>
      </c>
      <c r="BL55" s="115">
        <f t="shared" si="28"/>
        <v>0</v>
      </c>
      <c r="BM55" s="115">
        <f t="shared" si="29"/>
        <v>0</v>
      </c>
      <c r="BN55" s="115">
        <f t="shared" si="30"/>
        <v>0</v>
      </c>
      <c r="BO55" s="115">
        <f t="shared" si="31"/>
        <v>0</v>
      </c>
      <c r="BP55" s="115">
        <f t="shared" si="32"/>
        <v>0</v>
      </c>
      <c r="BQ55" s="115">
        <f t="shared" si="33"/>
        <v>0</v>
      </c>
      <c r="BR55" s="115">
        <f t="shared" si="34"/>
        <v>0</v>
      </c>
      <c r="BS55" s="115">
        <f t="shared" si="35"/>
        <v>0</v>
      </c>
      <c r="BT55" s="115">
        <f t="shared" si="36"/>
        <v>0</v>
      </c>
      <c r="BU55" s="115">
        <f t="shared" si="37"/>
        <v>0</v>
      </c>
      <c r="BV55" s="115">
        <f t="shared" si="38"/>
        <v>0</v>
      </c>
      <c r="BW55" s="115">
        <f t="shared" si="39"/>
        <v>0</v>
      </c>
      <c r="BX55" s="115">
        <f t="shared" si="40"/>
        <v>0</v>
      </c>
      <c r="BY55" s="115">
        <f t="shared" si="41"/>
        <v>0</v>
      </c>
      <c r="BZ55" s="115">
        <f t="shared" si="42"/>
        <v>0</v>
      </c>
      <c r="CA55" s="115">
        <f t="shared" si="43"/>
        <v>0</v>
      </c>
      <c r="CB55" s="211">
        <f t="shared" si="44"/>
        <v>0</v>
      </c>
    </row>
    <row r="56" spans="21:80" s="41" customFormat="1" ht="15" customHeight="1">
      <c r="U56" s="302"/>
      <c r="V56" s="49">
        <v>750</v>
      </c>
      <c r="W56" s="115">
        <v>0</v>
      </c>
      <c r="X56" s="115">
        <v>0</v>
      </c>
      <c r="Y56" s="115">
        <v>0</v>
      </c>
      <c r="Z56" s="115">
        <v>0</v>
      </c>
      <c r="AA56" s="115">
        <v>0</v>
      </c>
      <c r="AB56" s="115">
        <v>0</v>
      </c>
      <c r="AC56" s="115">
        <v>9.6</v>
      </c>
      <c r="AD56" s="115">
        <v>9.6</v>
      </c>
      <c r="AE56" s="115">
        <v>9.6</v>
      </c>
      <c r="AF56" s="115">
        <v>9.6</v>
      </c>
      <c r="AG56" s="115">
        <v>9.6</v>
      </c>
      <c r="AH56" s="115">
        <v>9.6</v>
      </c>
      <c r="AI56" s="115">
        <v>9.6</v>
      </c>
      <c r="AJ56" s="115">
        <v>9.6</v>
      </c>
      <c r="AK56" s="115">
        <v>9.6</v>
      </c>
      <c r="AL56" s="115">
        <v>9.6</v>
      </c>
      <c r="AM56" s="115">
        <v>9.6</v>
      </c>
      <c r="AN56" s="115">
        <v>9.6</v>
      </c>
      <c r="AO56" s="115">
        <v>9.6</v>
      </c>
      <c r="AP56" s="211">
        <v>9.6</v>
      </c>
      <c r="AQ56" s="60"/>
      <c r="AR56" s="60"/>
      <c r="BH56" s="225">
        <v>6500</v>
      </c>
      <c r="BI56" s="214">
        <f t="shared" si="25"/>
        <v>0</v>
      </c>
      <c r="BJ56" s="115">
        <f t="shared" si="26"/>
        <v>0</v>
      </c>
      <c r="BK56" s="115">
        <f t="shared" si="27"/>
        <v>0</v>
      </c>
      <c r="BL56" s="115">
        <f t="shared" si="28"/>
        <v>0</v>
      </c>
      <c r="BM56" s="115">
        <f t="shared" si="29"/>
        <v>0</v>
      </c>
      <c r="BN56" s="115">
        <f t="shared" si="30"/>
        <v>0</v>
      </c>
      <c r="BO56" s="115">
        <f t="shared" si="31"/>
        <v>0</v>
      </c>
      <c r="BP56" s="115">
        <f t="shared" si="32"/>
        <v>0</v>
      </c>
      <c r="BQ56" s="115">
        <f t="shared" si="33"/>
        <v>0</v>
      </c>
      <c r="BR56" s="115">
        <f t="shared" si="34"/>
        <v>0</v>
      </c>
      <c r="BS56" s="115">
        <f t="shared" si="35"/>
        <v>0</v>
      </c>
      <c r="BT56" s="115">
        <f t="shared" si="36"/>
        <v>0</v>
      </c>
      <c r="BU56" s="115">
        <f t="shared" si="37"/>
        <v>0</v>
      </c>
      <c r="BV56" s="115">
        <f t="shared" si="38"/>
        <v>0</v>
      </c>
      <c r="BW56" s="115">
        <f t="shared" si="39"/>
        <v>0</v>
      </c>
      <c r="BX56" s="115">
        <f t="shared" si="40"/>
        <v>0</v>
      </c>
      <c r="BY56" s="115">
        <f t="shared" si="41"/>
        <v>0</v>
      </c>
      <c r="BZ56" s="115">
        <f t="shared" si="42"/>
        <v>0</v>
      </c>
      <c r="CA56" s="115">
        <f t="shared" si="43"/>
        <v>0</v>
      </c>
      <c r="CB56" s="211">
        <f t="shared" si="44"/>
        <v>0</v>
      </c>
    </row>
    <row r="57" spans="21:80" s="41" customFormat="1" ht="15" customHeight="1" thickBot="1">
      <c r="U57" s="302"/>
      <c r="V57" s="50">
        <v>1000</v>
      </c>
      <c r="W57" s="115">
        <v>0</v>
      </c>
      <c r="X57" s="115">
        <v>0</v>
      </c>
      <c r="Y57" s="115">
        <v>0</v>
      </c>
      <c r="Z57" s="115">
        <v>0</v>
      </c>
      <c r="AA57" s="115">
        <v>4.8</v>
      </c>
      <c r="AB57" s="115">
        <v>4.8</v>
      </c>
      <c r="AC57" s="115">
        <v>9.6</v>
      </c>
      <c r="AD57" s="115">
        <v>19.2</v>
      </c>
      <c r="AE57" s="115">
        <v>19.2</v>
      </c>
      <c r="AF57" s="115">
        <v>19.2</v>
      </c>
      <c r="AG57" s="115">
        <v>19.2</v>
      </c>
      <c r="AH57" s="115">
        <v>19.2</v>
      </c>
      <c r="AI57" s="115">
        <v>19.2</v>
      </c>
      <c r="AJ57" s="115">
        <v>19.2</v>
      </c>
      <c r="AK57" s="115">
        <v>19.2</v>
      </c>
      <c r="AL57" s="115">
        <v>19.2</v>
      </c>
      <c r="AM57" s="115">
        <v>19.2</v>
      </c>
      <c r="AN57" s="115">
        <v>19.2</v>
      </c>
      <c r="AO57" s="115">
        <v>19.2</v>
      </c>
      <c r="AP57" s="211">
        <v>19.2</v>
      </c>
      <c r="AQ57" s="60"/>
      <c r="AR57" s="60"/>
      <c r="BH57" s="226">
        <v>7000</v>
      </c>
      <c r="BI57" s="215">
        <f t="shared" ref="BI57:CB57" si="45">W45-W70</f>
        <v>0</v>
      </c>
      <c r="BJ57" s="212">
        <f t="shared" si="45"/>
        <v>0</v>
      </c>
      <c r="BK57" s="212">
        <f t="shared" si="45"/>
        <v>0</v>
      </c>
      <c r="BL57" s="212">
        <f t="shared" si="45"/>
        <v>0</v>
      </c>
      <c r="BM57" s="212">
        <f t="shared" si="45"/>
        <v>0</v>
      </c>
      <c r="BN57" s="212">
        <f t="shared" si="45"/>
        <v>0</v>
      </c>
      <c r="BO57" s="212">
        <f t="shared" si="45"/>
        <v>0</v>
      </c>
      <c r="BP57" s="212">
        <f t="shared" si="45"/>
        <v>0</v>
      </c>
      <c r="BQ57" s="212">
        <f t="shared" si="45"/>
        <v>0</v>
      </c>
      <c r="BR57" s="212">
        <f t="shared" si="45"/>
        <v>0</v>
      </c>
      <c r="BS57" s="212">
        <f t="shared" si="45"/>
        <v>0</v>
      </c>
      <c r="BT57" s="212">
        <f t="shared" si="45"/>
        <v>0</v>
      </c>
      <c r="BU57" s="212">
        <f t="shared" si="45"/>
        <v>0</v>
      </c>
      <c r="BV57" s="212">
        <f t="shared" si="45"/>
        <v>0</v>
      </c>
      <c r="BW57" s="212">
        <f t="shared" si="45"/>
        <v>0</v>
      </c>
      <c r="BX57" s="212">
        <f t="shared" si="45"/>
        <v>0</v>
      </c>
      <c r="BY57" s="212">
        <f t="shared" si="45"/>
        <v>0</v>
      </c>
      <c r="BZ57" s="212">
        <f t="shared" si="45"/>
        <v>0</v>
      </c>
      <c r="CA57" s="212">
        <f t="shared" si="45"/>
        <v>0</v>
      </c>
      <c r="CB57" s="213">
        <f t="shared" si="45"/>
        <v>0</v>
      </c>
    </row>
    <row r="58" spans="21:80" s="41" customFormat="1" ht="15" customHeight="1">
      <c r="U58" s="302"/>
      <c r="V58" s="50">
        <v>1250</v>
      </c>
      <c r="W58" s="115">
        <v>4.8</v>
      </c>
      <c r="X58" s="115">
        <v>4.8</v>
      </c>
      <c r="Y58" s="115">
        <v>9.6</v>
      </c>
      <c r="Z58" s="115">
        <v>9.6</v>
      </c>
      <c r="AA58" s="115">
        <v>9.6</v>
      </c>
      <c r="AB58" s="115">
        <v>14.4</v>
      </c>
      <c r="AC58" s="115">
        <v>14.4</v>
      </c>
      <c r="AD58" s="115">
        <v>19.2</v>
      </c>
      <c r="AE58" s="115">
        <v>19.2</v>
      </c>
      <c r="AF58" s="115">
        <v>19.2</v>
      </c>
      <c r="AG58" s="115">
        <v>19.2</v>
      </c>
      <c r="AH58" s="115">
        <v>19.2</v>
      </c>
      <c r="AI58" s="115">
        <v>19.2</v>
      </c>
      <c r="AJ58" s="115">
        <v>19.2</v>
      </c>
      <c r="AK58" s="115">
        <v>19.2</v>
      </c>
      <c r="AL58" s="115">
        <v>19.2</v>
      </c>
      <c r="AM58" s="115">
        <v>19.2</v>
      </c>
      <c r="AN58" s="115">
        <v>19.2</v>
      </c>
      <c r="AO58" s="115">
        <v>19.2</v>
      </c>
      <c r="AP58" s="211">
        <v>19.2</v>
      </c>
      <c r="AQ58" s="60"/>
      <c r="AR58" s="60"/>
    </row>
    <row r="59" spans="21:80" s="41" customFormat="1" ht="15" customHeight="1">
      <c r="U59" s="302"/>
      <c r="V59" s="50">
        <v>1500</v>
      </c>
      <c r="W59" s="115">
        <v>4.8</v>
      </c>
      <c r="X59" s="115">
        <v>4.8</v>
      </c>
      <c r="Y59" s="115">
        <v>9.6</v>
      </c>
      <c r="Z59" s="115">
        <v>9.6</v>
      </c>
      <c r="AA59" s="115">
        <v>9.6</v>
      </c>
      <c r="AB59" s="115">
        <v>14.4</v>
      </c>
      <c r="AC59" s="115">
        <v>19.2</v>
      </c>
      <c r="AD59" s="115">
        <v>19.2</v>
      </c>
      <c r="AE59" s="115">
        <v>19.2</v>
      </c>
      <c r="AF59" s="115">
        <v>19.2</v>
      </c>
      <c r="AG59" s="115">
        <v>19.2</v>
      </c>
      <c r="AH59" s="115">
        <v>19.2</v>
      </c>
      <c r="AI59" s="115">
        <v>19.2</v>
      </c>
      <c r="AJ59" s="115">
        <v>19.2</v>
      </c>
      <c r="AK59" s="115">
        <v>19.2</v>
      </c>
      <c r="AL59" s="115">
        <v>19.2</v>
      </c>
      <c r="AM59" s="115">
        <v>19.2</v>
      </c>
      <c r="AN59" s="115">
        <v>19.2</v>
      </c>
      <c r="AO59" s="115">
        <v>19.2</v>
      </c>
      <c r="AP59" s="211">
        <v>19.2</v>
      </c>
      <c r="AQ59" s="60"/>
      <c r="AR59" s="60"/>
    </row>
    <row r="60" spans="21:80" s="41" customFormat="1" ht="15" customHeight="1">
      <c r="U60" s="302"/>
      <c r="V60" s="51">
        <v>2000</v>
      </c>
      <c r="W60" s="115">
        <v>4.8</v>
      </c>
      <c r="X60" s="115">
        <v>4.8</v>
      </c>
      <c r="Y60" s="115">
        <v>14.4</v>
      </c>
      <c r="Z60" s="115">
        <v>14.4</v>
      </c>
      <c r="AA60" s="115">
        <v>14.4</v>
      </c>
      <c r="AB60" s="115">
        <v>19.2</v>
      </c>
      <c r="AC60" s="115">
        <v>19.2</v>
      </c>
      <c r="AD60" s="115">
        <v>19.2</v>
      </c>
      <c r="AE60" s="115">
        <v>19.2</v>
      </c>
      <c r="AF60" s="115">
        <v>19.2</v>
      </c>
      <c r="AG60" s="115">
        <v>14.4</v>
      </c>
      <c r="AH60" s="115">
        <v>14.4</v>
      </c>
      <c r="AI60" s="115">
        <v>14.4</v>
      </c>
      <c r="AJ60" s="115">
        <v>14.4</v>
      </c>
      <c r="AK60" s="115">
        <v>14.4</v>
      </c>
      <c r="AL60" s="115">
        <v>14.4</v>
      </c>
      <c r="AM60" s="115">
        <v>14.4</v>
      </c>
      <c r="AN60" s="115">
        <v>14.4</v>
      </c>
      <c r="AO60" s="115">
        <v>14.4</v>
      </c>
      <c r="AP60" s="211">
        <v>14.4</v>
      </c>
      <c r="AQ60" s="60"/>
      <c r="AR60" s="60"/>
    </row>
    <row r="61" spans="21:80">
      <c r="U61" s="302"/>
      <c r="V61" s="51">
        <v>2500</v>
      </c>
      <c r="W61" s="115">
        <v>9.6</v>
      </c>
      <c r="X61" s="115">
        <v>9.6</v>
      </c>
      <c r="Y61" s="115">
        <v>14.4</v>
      </c>
      <c r="Z61" s="115">
        <v>14.4</v>
      </c>
      <c r="AA61" s="115">
        <v>14.4</v>
      </c>
      <c r="AB61" s="115">
        <v>19.2</v>
      </c>
      <c r="AC61" s="115">
        <v>19.2</v>
      </c>
      <c r="AD61" s="115">
        <v>19.2</v>
      </c>
      <c r="AE61" s="115">
        <v>19.2</v>
      </c>
      <c r="AF61" s="115">
        <v>19.2</v>
      </c>
      <c r="AG61" s="115">
        <v>14.4</v>
      </c>
      <c r="AH61" s="115">
        <v>14.4</v>
      </c>
      <c r="AI61" s="115">
        <v>14.4</v>
      </c>
      <c r="AJ61" s="115">
        <v>14.4</v>
      </c>
      <c r="AK61" s="115">
        <v>14.4</v>
      </c>
      <c r="AL61" s="115">
        <v>14.4</v>
      </c>
      <c r="AM61" s="115">
        <v>14.4</v>
      </c>
      <c r="AN61" s="115">
        <v>14.4</v>
      </c>
      <c r="AO61" s="115">
        <v>14.4</v>
      </c>
      <c r="AP61" s="211">
        <v>14.4</v>
      </c>
      <c r="AU61" s="37"/>
      <c r="AV61" s="37"/>
      <c r="AW61" s="37"/>
      <c r="AX61" s="37"/>
      <c r="AY61" s="37"/>
      <c r="AZ61" s="37"/>
      <c r="BA61" s="37"/>
      <c r="BB61" s="37"/>
      <c r="BC61" s="37"/>
      <c r="BD61" s="37"/>
      <c r="BE61" s="37"/>
      <c r="BF61" s="37"/>
      <c r="BG61" s="37"/>
    </row>
    <row r="62" spans="21:80">
      <c r="U62" s="302"/>
      <c r="V62" s="51">
        <v>3000</v>
      </c>
      <c r="W62" s="115">
        <v>9.6</v>
      </c>
      <c r="X62" s="115">
        <v>9.6</v>
      </c>
      <c r="Y62" s="115">
        <v>14.4</v>
      </c>
      <c r="Z62" s="115">
        <v>14.4</v>
      </c>
      <c r="AA62" s="115">
        <v>14.4</v>
      </c>
      <c r="AB62" s="115">
        <v>19.2</v>
      </c>
      <c r="AC62" s="115">
        <v>19.2</v>
      </c>
      <c r="AD62" s="115">
        <v>19.2</v>
      </c>
      <c r="AE62" s="115">
        <v>19.2</v>
      </c>
      <c r="AF62" s="115">
        <v>14.4</v>
      </c>
      <c r="AG62" s="115">
        <v>14.4</v>
      </c>
      <c r="AH62" s="115">
        <v>14.4</v>
      </c>
      <c r="AI62" s="115">
        <v>14.4</v>
      </c>
      <c r="AJ62" s="115">
        <v>14.4</v>
      </c>
      <c r="AK62" s="115">
        <v>14.4</v>
      </c>
      <c r="AL62" s="115">
        <v>14.4</v>
      </c>
      <c r="AM62" s="115">
        <v>14.4</v>
      </c>
      <c r="AN62" s="115">
        <v>14.4</v>
      </c>
      <c r="AO62" s="115">
        <v>14.4</v>
      </c>
      <c r="AP62" s="211">
        <v>14.4</v>
      </c>
      <c r="AU62" s="37"/>
      <c r="AV62" s="37"/>
      <c r="AW62" s="37"/>
      <c r="AX62" s="37"/>
      <c r="AY62" s="37"/>
      <c r="AZ62" s="37"/>
      <c r="BA62" s="37"/>
      <c r="BB62" s="37"/>
      <c r="BC62" s="37"/>
      <c r="BD62" s="37"/>
      <c r="BE62" s="37"/>
      <c r="BF62" s="37"/>
      <c r="BG62" s="37"/>
      <c r="BH62" s="37"/>
    </row>
    <row r="63" spans="21:80">
      <c r="U63" s="302"/>
      <c r="V63" s="51">
        <v>3500</v>
      </c>
      <c r="W63" s="115">
        <v>9.6</v>
      </c>
      <c r="X63" s="115">
        <v>9.6</v>
      </c>
      <c r="Y63" s="115">
        <v>9.6</v>
      </c>
      <c r="Z63" s="115">
        <v>9.6</v>
      </c>
      <c r="AA63" s="115">
        <v>19.2</v>
      </c>
      <c r="AB63" s="115">
        <v>19.2</v>
      </c>
      <c r="AC63" s="115">
        <v>19.2</v>
      </c>
      <c r="AD63" s="115">
        <v>19.2</v>
      </c>
      <c r="AE63" s="115">
        <v>19.2</v>
      </c>
      <c r="AF63" s="115">
        <v>19.2</v>
      </c>
      <c r="AG63" s="115">
        <v>19.2</v>
      </c>
      <c r="AH63" s="115">
        <v>19.2</v>
      </c>
      <c r="AI63" s="115">
        <v>19.2</v>
      </c>
      <c r="AJ63" s="115">
        <v>19.2</v>
      </c>
      <c r="AK63" s="115">
        <v>19.2</v>
      </c>
      <c r="AL63" s="115">
        <v>19.2</v>
      </c>
      <c r="AM63" s="115">
        <v>19.2</v>
      </c>
      <c r="AN63" s="115">
        <v>19.2</v>
      </c>
      <c r="AO63" s="115">
        <v>19.2</v>
      </c>
      <c r="AP63" s="211">
        <v>19.2</v>
      </c>
      <c r="AU63" s="37"/>
      <c r="AV63" s="37"/>
      <c r="AW63" s="37"/>
      <c r="AX63" s="37"/>
      <c r="AY63" s="37"/>
      <c r="AZ63" s="37"/>
      <c r="BA63" s="37"/>
      <c r="BB63" s="37"/>
      <c r="BC63" s="37"/>
      <c r="BD63" s="37"/>
      <c r="BE63" s="37"/>
      <c r="BF63" s="37"/>
      <c r="BG63" s="37"/>
      <c r="BH63" s="37"/>
    </row>
    <row r="64" spans="21:80">
      <c r="U64" s="302"/>
      <c r="V64" s="51">
        <v>4000</v>
      </c>
      <c r="W64" s="115">
        <v>9.6</v>
      </c>
      <c r="X64" s="115">
        <v>9.6</v>
      </c>
      <c r="Y64" s="115">
        <v>9.6</v>
      </c>
      <c r="Z64" s="115">
        <v>9.6</v>
      </c>
      <c r="AA64" s="115">
        <v>19.2</v>
      </c>
      <c r="AB64" s="115">
        <v>19.2</v>
      </c>
      <c r="AC64" s="115">
        <v>19.2</v>
      </c>
      <c r="AD64" s="115">
        <v>19.2</v>
      </c>
      <c r="AE64" s="115">
        <v>19.2</v>
      </c>
      <c r="AF64" s="115">
        <v>14.4</v>
      </c>
      <c r="AG64" s="115">
        <v>14.4</v>
      </c>
      <c r="AH64" s="115">
        <v>14.4</v>
      </c>
      <c r="AI64" s="115">
        <v>14.4</v>
      </c>
      <c r="AJ64" s="115">
        <v>14.4</v>
      </c>
      <c r="AK64" s="115">
        <v>24</v>
      </c>
      <c r="AL64" s="115">
        <v>24</v>
      </c>
      <c r="AM64" s="115">
        <v>24</v>
      </c>
      <c r="AN64" s="115">
        <v>24</v>
      </c>
      <c r="AO64" s="115">
        <v>24</v>
      </c>
      <c r="AP64" s="211">
        <v>24</v>
      </c>
      <c r="AU64" s="37"/>
      <c r="AV64" s="37"/>
      <c r="AW64" s="37"/>
      <c r="AX64" s="37"/>
      <c r="AY64" s="37"/>
      <c r="AZ64" s="37"/>
      <c r="BA64" s="37"/>
      <c r="BB64" s="37"/>
      <c r="BC64" s="37"/>
      <c r="BD64" s="37"/>
      <c r="BE64" s="37"/>
      <c r="BF64" s="37"/>
      <c r="BG64" s="37"/>
      <c r="BH64" s="37"/>
    </row>
    <row r="65" spans="20:60">
      <c r="U65" s="302"/>
      <c r="V65" s="51">
        <v>4500</v>
      </c>
      <c r="W65" s="115">
        <v>9.6</v>
      </c>
      <c r="X65" s="115">
        <v>9.6</v>
      </c>
      <c r="Y65" s="115">
        <v>9.6</v>
      </c>
      <c r="Z65" s="115">
        <v>9.6</v>
      </c>
      <c r="AA65" s="115">
        <v>14.4</v>
      </c>
      <c r="AB65" s="115">
        <v>14.4</v>
      </c>
      <c r="AC65" s="115">
        <v>19.2</v>
      </c>
      <c r="AD65" s="115">
        <v>19.2</v>
      </c>
      <c r="AE65" s="115">
        <v>19.2</v>
      </c>
      <c r="AF65" s="115">
        <v>14.4</v>
      </c>
      <c r="AG65" s="115">
        <v>14.4</v>
      </c>
      <c r="AH65" s="115">
        <v>14.4</v>
      </c>
      <c r="AI65" s="115">
        <v>14.4</v>
      </c>
      <c r="AJ65" s="115">
        <v>14.4</v>
      </c>
      <c r="AK65" s="115">
        <v>24</v>
      </c>
      <c r="AL65" s="115">
        <v>24</v>
      </c>
      <c r="AM65" s="115">
        <v>24</v>
      </c>
      <c r="AN65" s="115">
        <v>24</v>
      </c>
      <c r="AO65" s="115">
        <v>24</v>
      </c>
      <c r="AP65" s="211">
        <v>24</v>
      </c>
      <c r="AU65" s="37"/>
      <c r="AV65" s="37"/>
      <c r="AW65" s="37"/>
      <c r="AX65" s="37"/>
      <c r="AY65" s="37"/>
      <c r="AZ65" s="37"/>
      <c r="BA65" s="37"/>
      <c r="BB65" s="37"/>
      <c r="BC65" s="37"/>
      <c r="BD65" s="37"/>
      <c r="BE65" s="37"/>
      <c r="BF65" s="37"/>
      <c r="BG65" s="37"/>
      <c r="BH65" s="37"/>
    </row>
    <row r="66" spans="20:60">
      <c r="U66" s="302"/>
      <c r="V66" s="51">
        <v>5000</v>
      </c>
      <c r="W66" s="115">
        <v>4.8</v>
      </c>
      <c r="X66" s="115">
        <v>4.8</v>
      </c>
      <c r="Y66" s="115">
        <v>4.8</v>
      </c>
      <c r="Z66" s="115">
        <v>4.8</v>
      </c>
      <c r="AA66" s="115">
        <v>4.8</v>
      </c>
      <c r="AB66" s="115">
        <v>14.4</v>
      </c>
      <c r="AC66" s="115">
        <v>14.4</v>
      </c>
      <c r="AD66" s="115">
        <v>14.4</v>
      </c>
      <c r="AE66" s="115">
        <v>14.4</v>
      </c>
      <c r="AF66" s="115">
        <v>14.4</v>
      </c>
      <c r="AG66" s="115">
        <v>14.4</v>
      </c>
      <c r="AH66" s="115">
        <v>14.4</v>
      </c>
      <c r="AI66" s="115">
        <v>14.4</v>
      </c>
      <c r="AJ66" s="115">
        <v>14.4</v>
      </c>
      <c r="AK66" s="115">
        <v>24</v>
      </c>
      <c r="AL66" s="115">
        <v>24</v>
      </c>
      <c r="AM66" s="115">
        <v>24</v>
      </c>
      <c r="AN66" s="115">
        <v>24</v>
      </c>
      <c r="AO66" s="115">
        <v>24</v>
      </c>
      <c r="AP66" s="211">
        <v>24</v>
      </c>
      <c r="AU66" s="37"/>
      <c r="AV66" s="37"/>
      <c r="AW66" s="37"/>
      <c r="AX66" s="37"/>
      <c r="AY66" s="37"/>
      <c r="AZ66" s="37"/>
      <c r="BA66" s="37"/>
      <c r="BB66" s="37"/>
      <c r="BC66" s="37"/>
      <c r="BD66" s="37"/>
      <c r="BE66" s="37"/>
      <c r="BF66" s="37"/>
      <c r="BG66" s="37"/>
      <c r="BH66" s="37"/>
    </row>
    <row r="67" spans="20:60">
      <c r="U67" s="302"/>
      <c r="V67" s="51">
        <v>5500</v>
      </c>
      <c r="W67" s="115">
        <v>4.8</v>
      </c>
      <c r="X67" s="115">
        <v>4.8</v>
      </c>
      <c r="Y67" s="115">
        <v>4.8</v>
      </c>
      <c r="Z67" s="115">
        <v>4.8</v>
      </c>
      <c r="AA67" s="115">
        <v>4.8</v>
      </c>
      <c r="AB67" s="115">
        <v>9.6</v>
      </c>
      <c r="AC67" s="115">
        <v>9.6</v>
      </c>
      <c r="AD67" s="115">
        <v>9.6</v>
      </c>
      <c r="AE67" s="115">
        <v>9.6</v>
      </c>
      <c r="AF67" s="115">
        <v>9.6</v>
      </c>
      <c r="AG67" s="115">
        <v>9.6</v>
      </c>
      <c r="AH67" s="115">
        <v>9.6</v>
      </c>
      <c r="AI67" s="115">
        <v>9.6</v>
      </c>
      <c r="AJ67" s="115">
        <v>14.4</v>
      </c>
      <c r="AK67" s="115">
        <v>19.2</v>
      </c>
      <c r="AL67" s="115">
        <v>19.2</v>
      </c>
      <c r="AM67" s="115">
        <v>19.2</v>
      </c>
      <c r="AN67" s="115">
        <v>19.2</v>
      </c>
      <c r="AO67" s="115">
        <v>19.2</v>
      </c>
      <c r="AP67" s="211">
        <v>19.2</v>
      </c>
      <c r="AU67" s="37"/>
      <c r="AV67" s="37"/>
      <c r="AW67" s="37"/>
      <c r="AX67" s="37"/>
      <c r="AY67" s="37"/>
      <c r="AZ67" s="37"/>
      <c r="BA67" s="37"/>
      <c r="BB67" s="37"/>
      <c r="BC67" s="37"/>
      <c r="BD67" s="37"/>
      <c r="BE67" s="37"/>
      <c r="BF67" s="37"/>
      <c r="BG67" s="37"/>
      <c r="BH67" s="37"/>
    </row>
    <row r="68" spans="20:60">
      <c r="U68" s="302"/>
      <c r="V68" s="51">
        <v>6000</v>
      </c>
      <c r="W68" s="115">
        <v>4.8</v>
      </c>
      <c r="X68" s="115">
        <v>4.8</v>
      </c>
      <c r="Y68" s="115">
        <v>4.8</v>
      </c>
      <c r="Z68" s="115">
        <v>4.8</v>
      </c>
      <c r="AA68" s="115">
        <v>4.8</v>
      </c>
      <c r="AB68" s="115">
        <v>4.8</v>
      </c>
      <c r="AC68" s="115">
        <v>4.8</v>
      </c>
      <c r="AD68" s="115">
        <v>4.8</v>
      </c>
      <c r="AE68" s="115">
        <v>4.8</v>
      </c>
      <c r="AF68" s="115">
        <v>4.8</v>
      </c>
      <c r="AG68" s="115">
        <v>9.6</v>
      </c>
      <c r="AH68" s="115">
        <v>9.6</v>
      </c>
      <c r="AI68" s="115">
        <v>9.6</v>
      </c>
      <c r="AJ68" s="115">
        <v>9.6</v>
      </c>
      <c r="AK68" s="115">
        <v>9.6</v>
      </c>
      <c r="AL68" s="115">
        <v>9.6</v>
      </c>
      <c r="AM68" s="115">
        <v>9.6</v>
      </c>
      <c r="AN68" s="115">
        <v>9.6</v>
      </c>
      <c r="AO68" s="115">
        <v>9.6</v>
      </c>
      <c r="AP68" s="211">
        <v>9.6</v>
      </c>
      <c r="AU68" s="37"/>
      <c r="AV68" s="37"/>
      <c r="AW68" s="37"/>
      <c r="AX68" s="37"/>
      <c r="AY68" s="37"/>
      <c r="AZ68" s="37"/>
      <c r="BA68" s="37"/>
      <c r="BB68" s="37"/>
      <c r="BC68" s="37"/>
      <c r="BD68" s="37"/>
      <c r="BE68" s="37"/>
      <c r="BF68" s="37"/>
      <c r="BG68" s="37"/>
      <c r="BH68" s="37"/>
    </row>
    <row r="69" spans="20:60">
      <c r="U69" s="302"/>
      <c r="V69" s="111">
        <v>6500</v>
      </c>
      <c r="W69" s="115">
        <v>0</v>
      </c>
      <c r="X69" s="115">
        <v>0</v>
      </c>
      <c r="Y69" s="115">
        <v>0</v>
      </c>
      <c r="Z69" s="115">
        <v>0</v>
      </c>
      <c r="AA69" s="115">
        <v>0</v>
      </c>
      <c r="AB69" s="115">
        <v>0</v>
      </c>
      <c r="AC69" s="115">
        <v>0</v>
      </c>
      <c r="AD69" s="115">
        <v>0</v>
      </c>
      <c r="AE69" s="115">
        <v>0</v>
      </c>
      <c r="AF69" s="115">
        <v>0</v>
      </c>
      <c r="AG69" s="115">
        <v>0</v>
      </c>
      <c r="AH69" s="115">
        <v>0</v>
      </c>
      <c r="AI69" s="115">
        <v>0</v>
      </c>
      <c r="AJ69" s="115">
        <v>0</v>
      </c>
      <c r="AK69" s="115">
        <v>0</v>
      </c>
      <c r="AL69" s="115">
        <v>0</v>
      </c>
      <c r="AM69" s="115">
        <v>0</v>
      </c>
      <c r="AN69" s="115">
        <v>0</v>
      </c>
      <c r="AO69" s="115">
        <v>0</v>
      </c>
      <c r="AP69" s="211">
        <v>0</v>
      </c>
      <c r="AU69" s="37"/>
      <c r="AV69" s="37"/>
      <c r="AW69" s="37"/>
      <c r="AX69" s="37"/>
      <c r="AY69" s="37"/>
      <c r="AZ69" s="37"/>
      <c r="BA69" s="37"/>
      <c r="BB69" s="37"/>
      <c r="BC69" s="37"/>
      <c r="BD69" s="37"/>
      <c r="BE69" s="37"/>
      <c r="BF69" s="37"/>
      <c r="BG69" s="37"/>
      <c r="BH69" s="37"/>
    </row>
    <row r="70" spans="20:60" ht="13.5" thickBot="1">
      <c r="U70" s="303"/>
      <c r="V70" s="57">
        <v>7000</v>
      </c>
      <c r="W70" s="212">
        <v>0</v>
      </c>
      <c r="X70" s="212">
        <v>0</v>
      </c>
      <c r="Y70" s="212">
        <v>0</v>
      </c>
      <c r="Z70" s="212">
        <v>0</v>
      </c>
      <c r="AA70" s="212">
        <v>0</v>
      </c>
      <c r="AB70" s="212">
        <v>0</v>
      </c>
      <c r="AC70" s="212">
        <v>0</v>
      </c>
      <c r="AD70" s="212">
        <v>0</v>
      </c>
      <c r="AE70" s="212">
        <v>0</v>
      </c>
      <c r="AF70" s="212">
        <v>0</v>
      </c>
      <c r="AG70" s="212">
        <v>0</v>
      </c>
      <c r="AH70" s="212">
        <v>0</v>
      </c>
      <c r="AI70" s="212">
        <v>0</v>
      </c>
      <c r="AJ70" s="212">
        <v>0</v>
      </c>
      <c r="AK70" s="212">
        <v>0</v>
      </c>
      <c r="AL70" s="212">
        <v>0</v>
      </c>
      <c r="AM70" s="212">
        <v>0</v>
      </c>
      <c r="AN70" s="212">
        <v>0</v>
      </c>
      <c r="AO70" s="212">
        <v>0</v>
      </c>
      <c r="AP70" s="213">
        <v>0</v>
      </c>
      <c r="AU70" s="37"/>
      <c r="AV70" s="37"/>
      <c r="AW70" s="37"/>
      <c r="AX70" s="37"/>
      <c r="AY70" s="37"/>
      <c r="AZ70" s="37"/>
      <c r="BA70" s="37"/>
      <c r="BB70" s="37"/>
      <c r="BC70" s="37"/>
      <c r="BD70" s="37"/>
      <c r="BE70" s="37"/>
      <c r="BF70" s="37"/>
      <c r="BG70" s="37"/>
      <c r="BH70" s="37"/>
    </row>
    <row r="71" spans="20:60">
      <c r="AD71" s="9"/>
      <c r="AE71" s="9"/>
      <c r="AU71" s="37"/>
      <c r="AV71" s="37"/>
      <c r="AW71" s="37"/>
      <c r="AX71" s="37"/>
      <c r="AY71" s="37"/>
      <c r="AZ71" s="37"/>
      <c r="BA71" s="37"/>
      <c r="BB71" s="37"/>
      <c r="BC71" s="37"/>
      <c r="BD71" s="37"/>
      <c r="BE71" s="37"/>
      <c r="BF71" s="37"/>
      <c r="BG71" s="37"/>
      <c r="BH71" s="37"/>
    </row>
    <row r="72" spans="20:60">
      <c r="AD72" s="9"/>
      <c r="AE72" s="9"/>
      <c r="AU72" s="37"/>
      <c r="AV72" s="37"/>
      <c r="AW72" s="37"/>
      <c r="AX72" s="37"/>
      <c r="AY72" s="37"/>
      <c r="AZ72" s="37"/>
      <c r="BA72" s="37"/>
      <c r="BB72" s="37"/>
      <c r="BC72" s="37"/>
      <c r="BD72" s="37"/>
      <c r="BE72" s="37"/>
      <c r="BF72" s="37"/>
      <c r="BG72" s="37"/>
      <c r="BH72" s="37"/>
    </row>
    <row r="73" spans="20:60">
      <c r="AD73" s="9"/>
      <c r="AE73" s="9"/>
      <c r="AU73" s="37"/>
      <c r="AV73" s="37"/>
      <c r="AW73" s="37"/>
      <c r="AX73" s="37"/>
      <c r="AY73" s="37"/>
      <c r="AZ73" s="37"/>
      <c r="BA73" s="37"/>
      <c r="BB73" s="37"/>
      <c r="BC73" s="37"/>
      <c r="BD73" s="37"/>
      <c r="BE73" s="37"/>
      <c r="BF73" s="37"/>
      <c r="BG73" s="37"/>
      <c r="BH73" s="37"/>
    </row>
    <row r="74" spans="20:60">
      <c r="AD74" s="9"/>
      <c r="AE74" s="9"/>
      <c r="AU74" s="37"/>
      <c r="AV74" s="37"/>
      <c r="AW74" s="37"/>
      <c r="AX74" s="37"/>
      <c r="AY74" s="37"/>
      <c r="AZ74" s="37"/>
      <c r="BA74" s="37"/>
      <c r="BB74" s="37"/>
      <c r="BC74" s="37"/>
      <c r="BD74" s="37"/>
      <c r="BE74" s="37"/>
      <c r="BF74" s="37"/>
      <c r="BG74" s="37"/>
      <c r="BH74" s="37"/>
    </row>
    <row r="75" spans="20:60">
      <c r="AD75" s="9"/>
      <c r="AE75" s="9"/>
      <c r="AU75" s="37"/>
      <c r="AV75" s="37"/>
      <c r="AW75" s="37"/>
      <c r="AX75" s="37"/>
      <c r="AY75" s="37"/>
      <c r="AZ75" s="37"/>
      <c r="BA75" s="37"/>
      <c r="BB75" s="37"/>
      <c r="BC75" s="37"/>
      <c r="BD75" s="37"/>
      <c r="BE75" s="37"/>
      <c r="BF75" s="37"/>
      <c r="BG75" s="37"/>
      <c r="BH75" s="37"/>
    </row>
    <row r="76" spans="20:60" ht="18.75" thickBot="1">
      <c r="T76" s="287"/>
      <c r="U76" s="287"/>
      <c r="V76" s="287"/>
      <c r="W76" s="287"/>
      <c r="X76" s="287"/>
      <c r="Y76" s="287"/>
      <c r="Z76" s="287"/>
      <c r="AA76" s="287"/>
      <c r="AB76" s="287"/>
      <c r="AC76" s="287"/>
      <c r="AD76" s="287"/>
      <c r="AE76" s="287"/>
      <c r="AF76" s="287"/>
      <c r="AG76" s="287"/>
      <c r="AH76" s="287"/>
      <c r="AI76" s="287"/>
      <c r="AJ76" s="287"/>
      <c r="AK76" s="287"/>
      <c r="AL76" s="287"/>
      <c r="AM76" s="287"/>
      <c r="AN76" s="287"/>
      <c r="AO76" s="287"/>
      <c r="AP76" s="287"/>
      <c r="AQ76" s="287"/>
      <c r="BD76" s="37"/>
      <c r="BE76" s="37"/>
      <c r="BF76" s="37"/>
      <c r="BG76" s="37"/>
      <c r="BH76" s="37"/>
    </row>
    <row r="77" spans="20:60" ht="18.75" customHeight="1" thickBot="1">
      <c r="T77" s="99"/>
      <c r="U77" s="278">
        <v>4</v>
      </c>
      <c r="V77" s="279"/>
      <c r="W77" s="304" t="s">
        <v>49</v>
      </c>
      <c r="X77" s="305"/>
      <c r="Y77" s="305"/>
      <c r="Z77" s="305"/>
      <c r="AA77" s="305"/>
      <c r="AB77" s="305"/>
      <c r="AC77" s="305"/>
      <c r="AD77" s="305"/>
      <c r="AE77" s="305"/>
      <c r="AF77" s="305"/>
      <c r="AG77" s="305"/>
      <c r="AH77" s="305"/>
      <c r="AI77" s="305"/>
      <c r="AJ77" s="305"/>
      <c r="AK77" s="305"/>
      <c r="AL77" s="305"/>
      <c r="AM77" s="305"/>
      <c r="AN77" s="305"/>
      <c r="AO77" s="305"/>
      <c r="AP77" s="306"/>
      <c r="AQ77" s="99"/>
      <c r="AU77" s="37"/>
      <c r="AV77" s="37"/>
      <c r="AW77" s="37"/>
      <c r="BD77" s="37"/>
      <c r="BE77" s="37"/>
      <c r="BF77" s="37"/>
      <c r="BG77" s="37"/>
      <c r="BH77" s="37"/>
    </row>
    <row r="78" spans="20:60" ht="16.5" customHeight="1" thickBot="1">
      <c r="T78" s="99"/>
      <c r="U78" s="280"/>
      <c r="V78" s="281"/>
      <c r="W78" s="284" t="str">
        <f>W28</f>
        <v>Load Value</v>
      </c>
      <c r="X78" s="360"/>
      <c r="Y78" s="360"/>
      <c r="Z78" s="360"/>
      <c r="AA78" s="360"/>
      <c r="AB78" s="360"/>
      <c r="AC78" s="360"/>
      <c r="AD78" s="360"/>
      <c r="AE78" s="360"/>
      <c r="AF78" s="360"/>
      <c r="AG78" s="360"/>
      <c r="AH78" s="360"/>
      <c r="AI78" s="360"/>
      <c r="AJ78" s="360"/>
      <c r="AK78" s="360"/>
      <c r="AL78" s="360"/>
      <c r="AM78" s="360"/>
      <c r="AN78" s="360"/>
      <c r="AO78" s="360"/>
      <c r="AP78" s="361"/>
      <c r="AQ78" s="99"/>
    </row>
    <row r="79" spans="20:60" ht="13.5" customHeight="1" thickBot="1">
      <c r="T79" s="99"/>
      <c r="U79" s="282"/>
      <c r="V79" s="283"/>
      <c r="W79" s="42">
        <v>10</v>
      </c>
      <c r="X79" s="43">
        <v>20</v>
      </c>
      <c r="Y79" s="43">
        <v>30</v>
      </c>
      <c r="Z79" s="43">
        <v>40</v>
      </c>
      <c r="AA79" s="44">
        <v>50</v>
      </c>
      <c r="AB79" s="44">
        <v>60</v>
      </c>
      <c r="AC79" s="44">
        <v>70</v>
      </c>
      <c r="AD79" s="44">
        <v>80</v>
      </c>
      <c r="AE79" s="44">
        <v>90</v>
      </c>
      <c r="AF79" s="44">
        <v>100</v>
      </c>
      <c r="AG79" s="44">
        <v>120</v>
      </c>
      <c r="AH79" s="44">
        <v>140</v>
      </c>
      <c r="AI79" s="45">
        <v>160</v>
      </c>
      <c r="AJ79" s="45">
        <v>180</v>
      </c>
      <c r="AK79" s="45">
        <v>200</v>
      </c>
      <c r="AL79" s="45">
        <v>220</v>
      </c>
      <c r="AM79" s="45">
        <v>240</v>
      </c>
      <c r="AN79" s="46">
        <v>260</v>
      </c>
      <c r="AO79" s="45">
        <v>280</v>
      </c>
      <c r="AP79" s="46">
        <v>300</v>
      </c>
      <c r="AQ79" s="99"/>
    </row>
    <row r="80" spans="20:60">
      <c r="T80" s="99"/>
      <c r="U80" s="301" t="str">
        <f>U30</f>
        <v>RPM</v>
      </c>
      <c r="V80" s="47">
        <v>500</v>
      </c>
      <c r="W80" s="94">
        <v>0</v>
      </c>
      <c r="X80" s="94">
        <v>0</v>
      </c>
      <c r="Y80" s="94">
        <v>0</v>
      </c>
      <c r="Z80" s="94">
        <v>0</v>
      </c>
      <c r="AA80" s="94">
        <v>0</v>
      </c>
      <c r="AB80" s="94">
        <v>0</v>
      </c>
      <c r="AC80" s="94">
        <v>0</v>
      </c>
      <c r="AD80" s="94">
        <v>0</v>
      </c>
      <c r="AE80" s="94">
        <v>0</v>
      </c>
      <c r="AF80" s="94">
        <v>0</v>
      </c>
      <c r="AG80" s="94">
        <v>0</v>
      </c>
      <c r="AH80" s="94">
        <v>0</v>
      </c>
      <c r="AI80" s="94">
        <v>0</v>
      </c>
      <c r="AJ80" s="94">
        <v>0</v>
      </c>
      <c r="AK80" s="94">
        <v>0</v>
      </c>
      <c r="AL80" s="94">
        <v>0</v>
      </c>
      <c r="AM80" s="94">
        <v>0</v>
      </c>
      <c r="AN80" s="94">
        <v>0</v>
      </c>
      <c r="AO80" s="94">
        <v>0</v>
      </c>
      <c r="AP80" s="95">
        <v>0</v>
      </c>
      <c r="AQ80" s="99"/>
    </row>
    <row r="81" spans="20:60">
      <c r="T81" s="99"/>
      <c r="U81" s="302"/>
      <c r="V81" s="49">
        <v>750</v>
      </c>
      <c r="W81" s="94">
        <v>0</v>
      </c>
      <c r="X81" s="94">
        <v>0</v>
      </c>
      <c r="Y81" s="94">
        <v>0</v>
      </c>
      <c r="Z81" s="94">
        <v>0</v>
      </c>
      <c r="AA81" s="94">
        <v>0</v>
      </c>
      <c r="AB81" s="94">
        <v>0</v>
      </c>
      <c r="AC81" s="94">
        <v>0</v>
      </c>
      <c r="AD81" s="94">
        <v>0</v>
      </c>
      <c r="AE81" s="94">
        <v>0</v>
      </c>
      <c r="AF81" s="94">
        <v>0</v>
      </c>
      <c r="AG81" s="94">
        <v>0</v>
      </c>
      <c r="AH81" s="94">
        <v>0</v>
      </c>
      <c r="AI81" s="94">
        <v>0</v>
      </c>
      <c r="AJ81" s="94">
        <v>0</v>
      </c>
      <c r="AK81" s="94">
        <v>0</v>
      </c>
      <c r="AL81" s="94">
        <v>0</v>
      </c>
      <c r="AM81" s="94">
        <v>0</v>
      </c>
      <c r="AN81" s="94">
        <v>0</v>
      </c>
      <c r="AO81" s="94">
        <v>0</v>
      </c>
      <c r="AP81" s="95">
        <v>0</v>
      </c>
      <c r="AQ81" s="99"/>
    </row>
    <row r="82" spans="20:60">
      <c r="T82" s="99"/>
      <c r="U82" s="302"/>
      <c r="V82" s="50">
        <v>1000</v>
      </c>
      <c r="W82" s="94">
        <v>0</v>
      </c>
      <c r="X82" s="94">
        <v>0</v>
      </c>
      <c r="Y82" s="94">
        <v>0</v>
      </c>
      <c r="Z82" s="94">
        <v>0</v>
      </c>
      <c r="AA82" s="94">
        <v>0</v>
      </c>
      <c r="AB82" s="94">
        <v>0</v>
      </c>
      <c r="AC82" s="94">
        <v>0</v>
      </c>
      <c r="AD82" s="94">
        <v>0</v>
      </c>
      <c r="AE82" s="94">
        <v>0</v>
      </c>
      <c r="AF82" s="94">
        <v>0</v>
      </c>
      <c r="AG82" s="94">
        <v>0</v>
      </c>
      <c r="AH82" s="94">
        <v>0</v>
      </c>
      <c r="AI82" s="94">
        <v>0</v>
      </c>
      <c r="AJ82" s="94">
        <v>0</v>
      </c>
      <c r="AK82" s="94">
        <v>0</v>
      </c>
      <c r="AL82" s="94">
        <v>0</v>
      </c>
      <c r="AM82" s="94">
        <v>0</v>
      </c>
      <c r="AN82" s="94">
        <v>0</v>
      </c>
      <c r="AO82" s="94">
        <v>0</v>
      </c>
      <c r="AP82" s="95">
        <v>0</v>
      </c>
      <c r="AQ82" s="99"/>
    </row>
    <row r="83" spans="20:60">
      <c r="T83" s="99"/>
      <c r="U83" s="302"/>
      <c r="V83" s="50">
        <v>1250</v>
      </c>
      <c r="W83" s="94">
        <v>0</v>
      </c>
      <c r="X83" s="94">
        <v>0</v>
      </c>
      <c r="Y83" s="94">
        <v>0</v>
      </c>
      <c r="Z83" s="94">
        <v>0</v>
      </c>
      <c r="AA83" s="94">
        <v>0</v>
      </c>
      <c r="AB83" s="94">
        <v>0</v>
      </c>
      <c r="AC83" s="94">
        <v>0</v>
      </c>
      <c r="AD83" s="94">
        <v>0</v>
      </c>
      <c r="AE83" s="94">
        <v>0</v>
      </c>
      <c r="AF83" s="94">
        <v>0</v>
      </c>
      <c r="AG83" s="94">
        <v>0</v>
      </c>
      <c r="AH83" s="94">
        <v>0</v>
      </c>
      <c r="AI83" s="94">
        <v>0</v>
      </c>
      <c r="AJ83" s="94">
        <v>0</v>
      </c>
      <c r="AK83" s="94">
        <v>0</v>
      </c>
      <c r="AL83" s="94">
        <v>0</v>
      </c>
      <c r="AM83" s="94">
        <v>0</v>
      </c>
      <c r="AN83" s="94">
        <v>0</v>
      </c>
      <c r="AO83" s="94">
        <v>0</v>
      </c>
      <c r="AP83" s="95">
        <v>0</v>
      </c>
      <c r="AQ83" s="99"/>
    </row>
    <row r="84" spans="20:60">
      <c r="T84" s="99"/>
      <c r="U84" s="302"/>
      <c r="V84" s="50">
        <v>1500</v>
      </c>
      <c r="W84" s="94">
        <v>0</v>
      </c>
      <c r="X84" s="94">
        <v>0</v>
      </c>
      <c r="Y84" s="94">
        <v>0</v>
      </c>
      <c r="Z84" s="94">
        <v>0</v>
      </c>
      <c r="AA84" s="94">
        <v>0</v>
      </c>
      <c r="AB84" s="94">
        <v>0</v>
      </c>
      <c r="AC84" s="94">
        <v>0</v>
      </c>
      <c r="AD84" s="94">
        <v>0</v>
      </c>
      <c r="AE84" s="94">
        <v>0</v>
      </c>
      <c r="AF84" s="94">
        <v>0</v>
      </c>
      <c r="AG84" s="94">
        <v>0</v>
      </c>
      <c r="AH84" s="94">
        <v>0</v>
      </c>
      <c r="AI84" s="94">
        <v>0</v>
      </c>
      <c r="AJ84" s="94">
        <v>0</v>
      </c>
      <c r="AK84" s="94">
        <v>0</v>
      </c>
      <c r="AL84" s="94">
        <v>0</v>
      </c>
      <c r="AM84" s="94">
        <v>0</v>
      </c>
      <c r="AN84" s="94">
        <v>0</v>
      </c>
      <c r="AO84" s="94">
        <v>0</v>
      </c>
      <c r="AP84" s="95">
        <v>0</v>
      </c>
      <c r="AQ84" s="99"/>
    </row>
    <row r="85" spans="20:60" ht="15" customHeight="1">
      <c r="T85" s="99"/>
      <c r="U85" s="302"/>
      <c r="V85" s="51">
        <v>2000</v>
      </c>
      <c r="W85" s="94">
        <v>0</v>
      </c>
      <c r="X85" s="94">
        <v>0</v>
      </c>
      <c r="Y85" s="94">
        <v>0</v>
      </c>
      <c r="Z85" s="94">
        <v>0</v>
      </c>
      <c r="AA85" s="94">
        <v>0</v>
      </c>
      <c r="AB85" s="94">
        <v>0</v>
      </c>
      <c r="AC85" s="94">
        <v>0</v>
      </c>
      <c r="AD85" s="94">
        <v>0</v>
      </c>
      <c r="AE85" s="94">
        <v>0</v>
      </c>
      <c r="AF85" s="94">
        <v>0</v>
      </c>
      <c r="AG85" s="94">
        <v>0</v>
      </c>
      <c r="AH85" s="94">
        <v>0</v>
      </c>
      <c r="AI85" s="94">
        <v>0</v>
      </c>
      <c r="AJ85" s="94">
        <v>0</v>
      </c>
      <c r="AK85" s="94">
        <v>0</v>
      </c>
      <c r="AL85" s="94">
        <v>0</v>
      </c>
      <c r="AM85" s="94">
        <v>0</v>
      </c>
      <c r="AN85" s="94">
        <v>0</v>
      </c>
      <c r="AO85" s="94">
        <v>0</v>
      </c>
      <c r="AP85" s="95">
        <v>0</v>
      </c>
      <c r="AQ85" s="99"/>
    </row>
    <row r="86" spans="20:60">
      <c r="T86" s="99"/>
      <c r="U86" s="302"/>
      <c r="V86" s="51">
        <v>2500</v>
      </c>
      <c r="W86" s="94">
        <v>0</v>
      </c>
      <c r="X86" s="94">
        <v>0</v>
      </c>
      <c r="Y86" s="94">
        <v>0</v>
      </c>
      <c r="Z86" s="94">
        <v>0</v>
      </c>
      <c r="AA86" s="94">
        <v>0</v>
      </c>
      <c r="AB86" s="94">
        <v>0</v>
      </c>
      <c r="AC86" s="94">
        <v>0</v>
      </c>
      <c r="AD86" s="94">
        <v>0</v>
      </c>
      <c r="AE86" s="94">
        <v>0</v>
      </c>
      <c r="AF86" s="94">
        <v>0</v>
      </c>
      <c r="AG86" s="94">
        <v>0</v>
      </c>
      <c r="AH86" s="94">
        <v>0</v>
      </c>
      <c r="AI86" s="94">
        <v>0</v>
      </c>
      <c r="AJ86" s="94">
        <v>0</v>
      </c>
      <c r="AK86" s="94">
        <v>0</v>
      </c>
      <c r="AL86" s="94">
        <v>0</v>
      </c>
      <c r="AM86" s="94">
        <v>0</v>
      </c>
      <c r="AN86" s="94">
        <v>0</v>
      </c>
      <c r="AO86" s="94">
        <v>0</v>
      </c>
      <c r="AP86" s="95">
        <v>0</v>
      </c>
      <c r="AQ86" s="99"/>
    </row>
    <row r="87" spans="20:60">
      <c r="T87" s="99"/>
      <c r="U87" s="302"/>
      <c r="V87" s="51">
        <v>3000</v>
      </c>
      <c r="W87" s="94">
        <v>0</v>
      </c>
      <c r="X87" s="94">
        <v>0</v>
      </c>
      <c r="Y87" s="94">
        <v>0</v>
      </c>
      <c r="Z87" s="94">
        <v>0</v>
      </c>
      <c r="AA87" s="94">
        <v>0</v>
      </c>
      <c r="AB87" s="94">
        <v>0</v>
      </c>
      <c r="AC87" s="94">
        <v>0</v>
      </c>
      <c r="AD87" s="94">
        <v>0</v>
      </c>
      <c r="AE87" s="94">
        <v>0</v>
      </c>
      <c r="AF87" s="94">
        <v>0</v>
      </c>
      <c r="AG87" s="94">
        <v>0</v>
      </c>
      <c r="AH87" s="94">
        <v>0</v>
      </c>
      <c r="AI87" s="94">
        <v>0</v>
      </c>
      <c r="AJ87" s="94">
        <v>0</v>
      </c>
      <c r="AK87" s="94">
        <v>0</v>
      </c>
      <c r="AL87" s="94">
        <v>0</v>
      </c>
      <c r="AM87" s="94">
        <v>0</v>
      </c>
      <c r="AN87" s="94">
        <v>0</v>
      </c>
      <c r="AO87" s="94">
        <v>0</v>
      </c>
      <c r="AP87" s="95">
        <v>0</v>
      </c>
      <c r="AQ87" s="99"/>
    </row>
    <row r="88" spans="20:60">
      <c r="T88" s="99"/>
      <c r="U88" s="302"/>
      <c r="V88" s="51">
        <v>3500</v>
      </c>
      <c r="W88" s="94">
        <v>0</v>
      </c>
      <c r="X88" s="94">
        <v>0</v>
      </c>
      <c r="Y88" s="94">
        <v>0</v>
      </c>
      <c r="Z88" s="94">
        <v>0</v>
      </c>
      <c r="AA88" s="94">
        <v>0</v>
      </c>
      <c r="AB88" s="94">
        <v>0</v>
      </c>
      <c r="AC88" s="94">
        <v>0</v>
      </c>
      <c r="AD88" s="94">
        <v>0</v>
      </c>
      <c r="AE88" s="94">
        <v>0</v>
      </c>
      <c r="AF88" s="94">
        <v>0</v>
      </c>
      <c r="AG88" s="94">
        <v>0</v>
      </c>
      <c r="AH88" s="94">
        <v>0</v>
      </c>
      <c r="AI88" s="94">
        <v>0</v>
      </c>
      <c r="AJ88" s="94">
        <v>0</v>
      </c>
      <c r="AK88" s="94">
        <v>0</v>
      </c>
      <c r="AL88" s="94">
        <v>0</v>
      </c>
      <c r="AM88" s="94">
        <v>0</v>
      </c>
      <c r="AN88" s="94">
        <v>0</v>
      </c>
      <c r="AO88" s="94">
        <v>0</v>
      </c>
      <c r="AP88" s="95">
        <v>0</v>
      </c>
      <c r="AQ88" s="99"/>
    </row>
    <row r="89" spans="20:60">
      <c r="T89" s="99"/>
      <c r="U89" s="302"/>
      <c r="V89" s="51">
        <v>4000</v>
      </c>
      <c r="W89" s="94">
        <v>0</v>
      </c>
      <c r="X89" s="94">
        <v>0</v>
      </c>
      <c r="Y89" s="94">
        <v>0</v>
      </c>
      <c r="Z89" s="94">
        <v>0</v>
      </c>
      <c r="AA89" s="94">
        <v>0</v>
      </c>
      <c r="AB89" s="94">
        <v>0</v>
      </c>
      <c r="AC89" s="94">
        <v>0</v>
      </c>
      <c r="AD89" s="94">
        <v>0</v>
      </c>
      <c r="AE89" s="94">
        <v>0</v>
      </c>
      <c r="AF89" s="94">
        <v>0</v>
      </c>
      <c r="AG89" s="94">
        <v>0</v>
      </c>
      <c r="AH89" s="94">
        <v>0</v>
      </c>
      <c r="AI89" s="94">
        <v>0</v>
      </c>
      <c r="AJ89" s="94">
        <v>0</v>
      </c>
      <c r="AK89" s="94">
        <v>0</v>
      </c>
      <c r="AL89" s="94">
        <v>0</v>
      </c>
      <c r="AM89" s="94">
        <v>0</v>
      </c>
      <c r="AN89" s="94">
        <v>0</v>
      </c>
      <c r="AO89" s="94">
        <v>0</v>
      </c>
      <c r="AP89" s="95">
        <v>0</v>
      </c>
      <c r="AQ89" s="99"/>
    </row>
    <row r="90" spans="20:60">
      <c r="T90" s="99"/>
      <c r="U90" s="302"/>
      <c r="V90" s="51">
        <v>4500</v>
      </c>
      <c r="W90" s="94">
        <v>0</v>
      </c>
      <c r="X90" s="94">
        <v>0</v>
      </c>
      <c r="Y90" s="94">
        <v>0</v>
      </c>
      <c r="Z90" s="94">
        <v>0</v>
      </c>
      <c r="AA90" s="94">
        <v>0</v>
      </c>
      <c r="AB90" s="94">
        <v>0</v>
      </c>
      <c r="AC90" s="94">
        <v>0</v>
      </c>
      <c r="AD90" s="94">
        <v>0</v>
      </c>
      <c r="AE90" s="94">
        <v>0</v>
      </c>
      <c r="AF90" s="94">
        <v>0</v>
      </c>
      <c r="AG90" s="94">
        <v>0</v>
      </c>
      <c r="AH90" s="94">
        <v>0</v>
      </c>
      <c r="AI90" s="94">
        <v>0</v>
      </c>
      <c r="AJ90" s="94">
        <v>0</v>
      </c>
      <c r="AK90" s="94">
        <v>0</v>
      </c>
      <c r="AL90" s="94">
        <v>0</v>
      </c>
      <c r="AM90" s="94">
        <v>0</v>
      </c>
      <c r="AN90" s="94">
        <v>0</v>
      </c>
      <c r="AO90" s="94">
        <v>0</v>
      </c>
      <c r="AP90" s="95">
        <v>0</v>
      </c>
      <c r="AQ90" s="99"/>
      <c r="AT90" s="38"/>
      <c r="AU90" s="39"/>
      <c r="BH90" s="37"/>
    </row>
    <row r="91" spans="20:60" ht="13.5" customHeight="1">
      <c r="T91" s="99"/>
      <c r="U91" s="302"/>
      <c r="V91" s="51">
        <v>5000</v>
      </c>
      <c r="W91" s="94">
        <v>0</v>
      </c>
      <c r="X91" s="94">
        <v>0</v>
      </c>
      <c r="Y91" s="94">
        <v>0</v>
      </c>
      <c r="Z91" s="94">
        <v>0</v>
      </c>
      <c r="AA91" s="94">
        <v>0</v>
      </c>
      <c r="AB91" s="94">
        <v>0</v>
      </c>
      <c r="AC91" s="94">
        <v>0</v>
      </c>
      <c r="AD91" s="94">
        <v>0</v>
      </c>
      <c r="AE91" s="94">
        <v>0</v>
      </c>
      <c r="AF91" s="94">
        <v>0</v>
      </c>
      <c r="AG91" s="94">
        <v>0</v>
      </c>
      <c r="AH91" s="94">
        <v>0</v>
      </c>
      <c r="AI91" s="94">
        <v>0</v>
      </c>
      <c r="AJ91" s="94">
        <v>0</v>
      </c>
      <c r="AK91" s="94">
        <v>0</v>
      </c>
      <c r="AL91" s="94">
        <v>0</v>
      </c>
      <c r="AM91" s="94">
        <v>0</v>
      </c>
      <c r="AN91" s="94">
        <v>0</v>
      </c>
      <c r="AO91" s="94">
        <v>0</v>
      </c>
      <c r="AP91" s="95">
        <v>0</v>
      </c>
      <c r="AQ91" s="99"/>
      <c r="AT91" s="38"/>
      <c r="AU91" s="39"/>
      <c r="BH91" s="37"/>
    </row>
    <row r="92" spans="20:60" ht="12.75" customHeight="1">
      <c r="T92" s="99"/>
      <c r="U92" s="302"/>
      <c r="V92" s="51">
        <v>5500</v>
      </c>
      <c r="W92" s="94">
        <v>0</v>
      </c>
      <c r="X92" s="94">
        <v>0</v>
      </c>
      <c r="Y92" s="94">
        <v>0</v>
      </c>
      <c r="Z92" s="94">
        <v>0</v>
      </c>
      <c r="AA92" s="94">
        <v>0</v>
      </c>
      <c r="AB92" s="94">
        <v>0</v>
      </c>
      <c r="AC92" s="94">
        <v>0</v>
      </c>
      <c r="AD92" s="94">
        <v>0</v>
      </c>
      <c r="AE92" s="94">
        <v>0</v>
      </c>
      <c r="AF92" s="94">
        <v>0</v>
      </c>
      <c r="AG92" s="94">
        <v>0</v>
      </c>
      <c r="AH92" s="94">
        <v>0</v>
      </c>
      <c r="AI92" s="94">
        <v>0</v>
      </c>
      <c r="AJ92" s="94">
        <v>0</v>
      </c>
      <c r="AK92" s="94">
        <v>0</v>
      </c>
      <c r="AL92" s="94">
        <v>0</v>
      </c>
      <c r="AM92" s="94">
        <v>0</v>
      </c>
      <c r="AN92" s="94">
        <v>0</v>
      </c>
      <c r="AO92" s="94">
        <v>0</v>
      </c>
      <c r="AP92" s="95">
        <v>0</v>
      </c>
      <c r="AQ92" s="99"/>
      <c r="AT92" s="38"/>
      <c r="AU92" s="39"/>
      <c r="BH92" s="37"/>
    </row>
    <row r="93" spans="20:60" ht="12.75" customHeight="1">
      <c r="T93" s="99"/>
      <c r="U93" s="302"/>
      <c r="V93" s="51">
        <v>6000</v>
      </c>
      <c r="W93" s="94">
        <v>0</v>
      </c>
      <c r="X93" s="94">
        <v>0</v>
      </c>
      <c r="Y93" s="94">
        <v>0</v>
      </c>
      <c r="Z93" s="94">
        <v>0</v>
      </c>
      <c r="AA93" s="94">
        <v>0</v>
      </c>
      <c r="AB93" s="94">
        <v>0</v>
      </c>
      <c r="AC93" s="94">
        <v>0</v>
      </c>
      <c r="AD93" s="94">
        <v>0</v>
      </c>
      <c r="AE93" s="94">
        <v>0</v>
      </c>
      <c r="AF93" s="94">
        <v>0</v>
      </c>
      <c r="AG93" s="94">
        <v>0</v>
      </c>
      <c r="AH93" s="94">
        <v>0</v>
      </c>
      <c r="AI93" s="94">
        <v>0</v>
      </c>
      <c r="AJ93" s="94">
        <v>0</v>
      </c>
      <c r="AK93" s="94">
        <v>0</v>
      </c>
      <c r="AL93" s="94">
        <v>0</v>
      </c>
      <c r="AM93" s="94">
        <v>0</v>
      </c>
      <c r="AN93" s="94">
        <v>0</v>
      </c>
      <c r="AO93" s="94">
        <v>0</v>
      </c>
      <c r="AP93" s="95">
        <v>0</v>
      </c>
      <c r="AQ93" s="99"/>
      <c r="AR93" s="100"/>
      <c r="AT93" s="38"/>
      <c r="AU93" s="39"/>
      <c r="BH93" s="37"/>
    </row>
    <row r="94" spans="20:60" ht="12.75" customHeight="1">
      <c r="T94" s="99"/>
      <c r="U94" s="302"/>
      <c r="V94" s="111">
        <v>6500</v>
      </c>
      <c r="W94" s="94">
        <v>0</v>
      </c>
      <c r="X94" s="94">
        <v>0</v>
      </c>
      <c r="Y94" s="94">
        <v>0</v>
      </c>
      <c r="Z94" s="94">
        <v>0</v>
      </c>
      <c r="AA94" s="94">
        <v>0</v>
      </c>
      <c r="AB94" s="94">
        <v>0</v>
      </c>
      <c r="AC94" s="94">
        <v>0</v>
      </c>
      <c r="AD94" s="94">
        <v>0</v>
      </c>
      <c r="AE94" s="94">
        <v>0</v>
      </c>
      <c r="AF94" s="94">
        <v>0</v>
      </c>
      <c r="AG94" s="94">
        <v>0</v>
      </c>
      <c r="AH94" s="94">
        <v>0</v>
      </c>
      <c r="AI94" s="94">
        <v>0</v>
      </c>
      <c r="AJ94" s="94">
        <v>0</v>
      </c>
      <c r="AK94" s="94">
        <v>0</v>
      </c>
      <c r="AL94" s="94">
        <v>0</v>
      </c>
      <c r="AM94" s="94">
        <v>0</v>
      </c>
      <c r="AN94" s="94">
        <v>0</v>
      </c>
      <c r="AO94" s="94">
        <v>0</v>
      </c>
      <c r="AP94" s="95">
        <v>0</v>
      </c>
      <c r="AQ94" s="99"/>
      <c r="AR94" s="100"/>
      <c r="AT94" s="38"/>
      <c r="AU94" s="39"/>
      <c r="BH94" s="37"/>
    </row>
    <row r="95" spans="20:60" ht="12.75" customHeight="1" thickBot="1">
      <c r="T95" s="99"/>
      <c r="U95" s="303"/>
      <c r="V95" s="57">
        <v>7000</v>
      </c>
      <c r="W95" s="97">
        <v>0</v>
      </c>
      <c r="X95" s="97">
        <v>0</v>
      </c>
      <c r="Y95" s="97">
        <v>0</v>
      </c>
      <c r="Z95" s="97">
        <v>0</v>
      </c>
      <c r="AA95" s="97">
        <v>0</v>
      </c>
      <c r="AB95" s="97">
        <v>0</v>
      </c>
      <c r="AC95" s="97">
        <v>0</v>
      </c>
      <c r="AD95" s="97">
        <v>0</v>
      </c>
      <c r="AE95" s="97">
        <v>0</v>
      </c>
      <c r="AF95" s="97">
        <v>0</v>
      </c>
      <c r="AG95" s="97">
        <v>0</v>
      </c>
      <c r="AH95" s="97">
        <v>0</v>
      </c>
      <c r="AI95" s="97">
        <v>0</v>
      </c>
      <c r="AJ95" s="97">
        <v>0</v>
      </c>
      <c r="AK95" s="97">
        <v>0</v>
      </c>
      <c r="AL95" s="97">
        <v>0</v>
      </c>
      <c r="AM95" s="97">
        <v>0</v>
      </c>
      <c r="AN95" s="97">
        <v>0</v>
      </c>
      <c r="AO95" s="97">
        <v>0</v>
      </c>
      <c r="AP95" s="98">
        <v>0</v>
      </c>
      <c r="AQ95" s="99"/>
      <c r="AR95" s="100"/>
      <c r="AT95" s="38"/>
      <c r="AU95" s="39"/>
      <c r="BH95" s="37"/>
    </row>
    <row r="96" spans="20:60" ht="12.75" customHeight="1">
      <c r="T96" s="99"/>
      <c r="U96" s="99"/>
      <c r="V96" s="99"/>
      <c r="W96" s="99"/>
      <c r="X96" s="99"/>
      <c r="Y96" s="99"/>
      <c r="Z96" s="99"/>
      <c r="AA96" s="99"/>
      <c r="AB96" s="99"/>
      <c r="AC96" s="99"/>
      <c r="AD96" s="99"/>
      <c r="AE96" s="99"/>
      <c r="AF96" s="99"/>
      <c r="AG96" s="99"/>
      <c r="AH96" s="99"/>
      <c r="AI96" s="99"/>
      <c r="AJ96" s="99"/>
      <c r="AK96" s="99"/>
      <c r="AL96" s="99"/>
      <c r="AM96" s="99"/>
      <c r="AN96" s="99"/>
      <c r="AO96" s="99"/>
      <c r="AP96" s="99"/>
      <c r="AQ96" s="99"/>
      <c r="AR96" s="100"/>
      <c r="AT96" s="38"/>
      <c r="AU96" s="39"/>
      <c r="BH96" s="37"/>
    </row>
    <row r="97" spans="20:60" ht="12.75" customHeight="1">
      <c r="AT97" s="38"/>
      <c r="AU97" s="39"/>
      <c r="BH97" s="37"/>
    </row>
    <row r="98" spans="20:60" ht="12.75" customHeight="1">
      <c r="T98" s="325" t="s">
        <v>26</v>
      </c>
      <c r="U98" s="325"/>
      <c r="V98" s="325"/>
      <c r="W98" s="325"/>
      <c r="X98" s="325"/>
      <c r="Y98" s="325"/>
      <c r="Z98" s="325"/>
      <c r="AA98" s="325"/>
      <c r="AB98" s="325"/>
      <c r="AC98" s="325"/>
      <c r="AD98" s="325"/>
      <c r="AE98" s="325"/>
      <c r="AF98" s="325"/>
      <c r="AG98" s="325"/>
      <c r="AH98" s="325"/>
      <c r="AI98" s="325"/>
      <c r="AJ98" s="325"/>
      <c r="AK98" s="325"/>
      <c r="AL98" s="325"/>
      <c r="AM98" s="325"/>
      <c r="AN98" s="325"/>
      <c r="AO98" s="325"/>
      <c r="AP98" s="325"/>
      <c r="AQ98" s="325"/>
      <c r="AT98" s="38"/>
      <c r="AU98" s="39"/>
      <c r="BH98" s="37"/>
    </row>
    <row r="99" spans="20:60" ht="12.75" customHeight="1">
      <c r="T99" s="325"/>
      <c r="U99" s="325"/>
      <c r="V99" s="325"/>
      <c r="W99" s="325"/>
      <c r="X99" s="325"/>
      <c r="Y99" s="325"/>
      <c r="Z99" s="325"/>
      <c r="AA99" s="325"/>
      <c r="AB99" s="325"/>
      <c r="AC99" s="325"/>
      <c r="AD99" s="325"/>
      <c r="AE99" s="325"/>
      <c r="AF99" s="325"/>
      <c r="AG99" s="325"/>
      <c r="AH99" s="325"/>
      <c r="AI99" s="325"/>
      <c r="AJ99" s="325"/>
      <c r="AK99" s="325"/>
      <c r="AL99" s="325"/>
      <c r="AM99" s="325"/>
      <c r="AN99" s="325"/>
      <c r="AO99" s="325"/>
      <c r="AP99" s="325"/>
      <c r="AQ99" s="325"/>
      <c r="AT99" s="38"/>
      <c r="AU99" s="39"/>
      <c r="BH99" s="37"/>
    </row>
    <row r="100" spans="20:60" ht="12.75" customHeight="1" thickBot="1">
      <c r="T100" s="325"/>
      <c r="U100" s="325"/>
      <c r="V100" s="325"/>
      <c r="W100" s="325"/>
      <c r="X100" s="325"/>
      <c r="Y100" s="325"/>
      <c r="Z100" s="325"/>
      <c r="AA100" s="325"/>
      <c r="AB100" s="325"/>
      <c r="AC100" s="325"/>
      <c r="AD100" s="325"/>
      <c r="AE100" s="325"/>
      <c r="AF100" s="325"/>
      <c r="AG100" s="325"/>
      <c r="AH100" s="325"/>
      <c r="AI100" s="325"/>
      <c r="AJ100" s="325"/>
      <c r="AK100" s="325"/>
      <c r="AL100" s="325"/>
      <c r="AM100" s="325"/>
      <c r="AN100" s="325"/>
      <c r="AO100" s="325"/>
      <c r="AP100" s="325"/>
      <c r="AQ100" s="325"/>
      <c r="AT100" s="38"/>
      <c r="AU100" s="39"/>
      <c r="BH100" s="37"/>
    </row>
    <row r="101" spans="20:60" ht="12.75" customHeight="1">
      <c r="T101" s="64"/>
      <c r="U101" s="65"/>
      <c r="V101" s="65"/>
      <c r="W101" s="288" t="s">
        <v>50</v>
      </c>
      <c r="X101" s="289"/>
      <c r="Y101" s="289"/>
      <c r="Z101" s="289"/>
      <c r="AA101" s="289"/>
      <c r="AB101" s="289"/>
      <c r="AC101" s="289"/>
      <c r="AD101" s="289"/>
      <c r="AE101" s="289"/>
      <c r="AF101" s="289"/>
      <c r="AG101" s="289"/>
      <c r="AH101" s="289"/>
      <c r="AI101" s="289"/>
      <c r="AJ101" s="289"/>
      <c r="AK101" s="289"/>
      <c r="AL101" s="289"/>
      <c r="AM101" s="289"/>
      <c r="AN101" s="289"/>
      <c r="AO101" s="289"/>
      <c r="AP101" s="290"/>
      <c r="AQ101" s="64"/>
      <c r="AT101" s="38"/>
      <c r="AU101" s="39"/>
      <c r="BH101" s="37"/>
    </row>
    <row r="102" spans="20:60" ht="12.75" customHeight="1" thickBot="1">
      <c r="T102" s="64"/>
      <c r="U102" s="65"/>
      <c r="V102" s="65"/>
      <c r="W102" s="370" t="s">
        <v>0</v>
      </c>
      <c r="X102" s="371"/>
      <c r="Y102" s="371"/>
      <c r="Z102" s="371"/>
      <c r="AA102" s="371"/>
      <c r="AB102" s="371"/>
      <c r="AC102" s="371"/>
      <c r="AD102" s="371"/>
      <c r="AE102" s="371"/>
      <c r="AF102" s="371"/>
      <c r="AG102" s="371"/>
      <c r="AH102" s="371"/>
      <c r="AI102" s="371"/>
      <c r="AJ102" s="371"/>
      <c r="AK102" s="371"/>
      <c r="AL102" s="371"/>
      <c r="AM102" s="371"/>
      <c r="AN102" s="371"/>
      <c r="AO102" s="371"/>
      <c r="AP102" s="372"/>
      <c r="AQ102" s="64"/>
      <c r="AT102" s="38"/>
      <c r="AU102" s="39"/>
      <c r="BH102" s="37"/>
    </row>
    <row r="103" spans="20:60" ht="13.5" thickBot="1">
      <c r="T103" s="64"/>
      <c r="U103" s="65"/>
      <c r="V103" s="65"/>
      <c r="W103" s="42">
        <v>10</v>
      </c>
      <c r="X103" s="43">
        <v>20</v>
      </c>
      <c r="Y103" s="43">
        <v>30</v>
      </c>
      <c r="Z103" s="43">
        <v>40</v>
      </c>
      <c r="AA103" s="44">
        <v>50</v>
      </c>
      <c r="AB103" s="44">
        <v>60</v>
      </c>
      <c r="AC103" s="44">
        <v>70</v>
      </c>
      <c r="AD103" s="44">
        <v>80</v>
      </c>
      <c r="AE103" s="44">
        <v>90</v>
      </c>
      <c r="AF103" s="44">
        <v>100</v>
      </c>
      <c r="AG103" s="44">
        <v>120</v>
      </c>
      <c r="AH103" s="44">
        <v>140</v>
      </c>
      <c r="AI103" s="45">
        <v>160</v>
      </c>
      <c r="AJ103" s="45">
        <v>180</v>
      </c>
      <c r="AK103" s="45">
        <v>200</v>
      </c>
      <c r="AL103" s="45">
        <v>220</v>
      </c>
      <c r="AM103" s="45">
        <v>240</v>
      </c>
      <c r="AN103" s="46">
        <v>260</v>
      </c>
      <c r="AO103" s="46">
        <v>280</v>
      </c>
      <c r="AP103" s="46">
        <v>300</v>
      </c>
      <c r="AQ103" s="64"/>
      <c r="AT103" s="38"/>
      <c r="AU103" s="39"/>
      <c r="BH103" s="37"/>
    </row>
    <row r="104" spans="20:60">
      <c r="T104" s="64"/>
      <c r="U104" s="301" t="s">
        <v>1</v>
      </c>
      <c r="V104" s="193">
        <v>500</v>
      </c>
      <c r="W104" s="220">
        <f t="shared" ref="W104:W119" si="46">ROUND((72-W30)/0.6,0)</f>
        <v>120</v>
      </c>
      <c r="X104" s="94">
        <f t="shared" ref="X104:AP118" si="47">ROUND((72-X30)/0.6,0)</f>
        <v>120</v>
      </c>
      <c r="Y104" s="94">
        <f t="shared" si="47"/>
        <v>120</v>
      </c>
      <c r="Z104" s="94">
        <f t="shared" si="47"/>
        <v>120</v>
      </c>
      <c r="AA104" s="94">
        <f t="shared" si="47"/>
        <v>120</v>
      </c>
      <c r="AB104" s="94">
        <f t="shared" si="47"/>
        <v>120</v>
      </c>
      <c r="AC104" s="94">
        <f t="shared" si="47"/>
        <v>120</v>
      </c>
      <c r="AD104" s="94">
        <f t="shared" si="47"/>
        <v>120</v>
      </c>
      <c r="AE104" s="94">
        <f t="shared" si="47"/>
        <v>120</v>
      </c>
      <c r="AF104" s="94">
        <f t="shared" si="47"/>
        <v>120</v>
      </c>
      <c r="AG104" s="94">
        <f t="shared" si="47"/>
        <v>120</v>
      </c>
      <c r="AH104" s="94">
        <f t="shared" si="47"/>
        <v>120</v>
      </c>
      <c r="AI104" s="94">
        <f t="shared" si="47"/>
        <v>120</v>
      </c>
      <c r="AJ104" s="94">
        <f t="shared" si="47"/>
        <v>120</v>
      </c>
      <c r="AK104" s="94">
        <f t="shared" si="47"/>
        <v>120</v>
      </c>
      <c r="AL104" s="94">
        <f t="shared" si="47"/>
        <v>120</v>
      </c>
      <c r="AM104" s="94">
        <f t="shared" si="47"/>
        <v>120</v>
      </c>
      <c r="AN104" s="94">
        <f t="shared" si="47"/>
        <v>120</v>
      </c>
      <c r="AO104" s="94">
        <f t="shared" si="47"/>
        <v>120</v>
      </c>
      <c r="AP104" s="95">
        <f t="shared" si="47"/>
        <v>120</v>
      </c>
      <c r="AQ104" s="64"/>
      <c r="AT104" s="38"/>
      <c r="AU104" s="39"/>
      <c r="BH104" s="37"/>
    </row>
    <row r="105" spans="20:60">
      <c r="T105" s="64"/>
      <c r="U105" s="302">
        <v>0</v>
      </c>
      <c r="V105" s="222">
        <v>750</v>
      </c>
      <c r="W105" s="220">
        <f t="shared" si="46"/>
        <v>120</v>
      </c>
      <c r="X105" s="94">
        <f t="shared" ref="X105:AL105" si="48">ROUND((72-X31)/0.6,0)</f>
        <v>120</v>
      </c>
      <c r="Y105" s="94">
        <f t="shared" si="48"/>
        <v>120</v>
      </c>
      <c r="Z105" s="94">
        <f t="shared" si="48"/>
        <v>120</v>
      </c>
      <c r="AA105" s="94">
        <f t="shared" si="48"/>
        <v>120</v>
      </c>
      <c r="AB105" s="94">
        <f t="shared" si="48"/>
        <v>120</v>
      </c>
      <c r="AC105" s="94">
        <f t="shared" si="48"/>
        <v>104</v>
      </c>
      <c r="AD105" s="94">
        <f t="shared" si="48"/>
        <v>104</v>
      </c>
      <c r="AE105" s="94">
        <f t="shared" si="48"/>
        <v>104</v>
      </c>
      <c r="AF105" s="94">
        <f t="shared" si="48"/>
        <v>104</v>
      </c>
      <c r="AG105" s="94">
        <f t="shared" si="48"/>
        <v>104</v>
      </c>
      <c r="AH105" s="94">
        <f t="shared" si="48"/>
        <v>104</v>
      </c>
      <c r="AI105" s="94">
        <f t="shared" si="48"/>
        <v>104</v>
      </c>
      <c r="AJ105" s="94">
        <f t="shared" si="48"/>
        <v>104</v>
      </c>
      <c r="AK105" s="94">
        <f t="shared" si="48"/>
        <v>104</v>
      </c>
      <c r="AL105" s="94">
        <f t="shared" si="48"/>
        <v>104</v>
      </c>
      <c r="AM105" s="94">
        <f t="shared" si="47"/>
        <v>104</v>
      </c>
      <c r="AN105" s="94">
        <f t="shared" si="47"/>
        <v>104</v>
      </c>
      <c r="AO105" s="94">
        <f t="shared" si="47"/>
        <v>104</v>
      </c>
      <c r="AP105" s="95">
        <f t="shared" si="47"/>
        <v>104</v>
      </c>
      <c r="AQ105" s="64"/>
      <c r="AT105" s="38"/>
      <c r="AU105" s="39"/>
      <c r="BH105" s="37"/>
    </row>
    <row r="106" spans="20:60">
      <c r="T106" s="64"/>
      <c r="U106" s="302">
        <v>0</v>
      </c>
      <c r="V106" s="223">
        <v>1000</v>
      </c>
      <c r="W106" s="220">
        <f t="shared" si="46"/>
        <v>120</v>
      </c>
      <c r="X106" s="94">
        <f t="shared" si="47"/>
        <v>120</v>
      </c>
      <c r="Y106" s="94">
        <f t="shared" si="47"/>
        <v>120</v>
      </c>
      <c r="Z106" s="94">
        <f t="shared" si="47"/>
        <v>120</v>
      </c>
      <c r="AA106" s="94">
        <f t="shared" si="47"/>
        <v>112</v>
      </c>
      <c r="AB106" s="94">
        <f t="shared" si="47"/>
        <v>112</v>
      </c>
      <c r="AC106" s="94">
        <f t="shared" si="47"/>
        <v>104</v>
      </c>
      <c r="AD106" s="94">
        <f t="shared" si="47"/>
        <v>88</v>
      </c>
      <c r="AE106" s="94">
        <f t="shared" si="47"/>
        <v>88</v>
      </c>
      <c r="AF106" s="94">
        <f t="shared" si="47"/>
        <v>88</v>
      </c>
      <c r="AG106" s="94">
        <f t="shared" si="47"/>
        <v>88</v>
      </c>
      <c r="AH106" s="94">
        <f t="shared" si="47"/>
        <v>88</v>
      </c>
      <c r="AI106" s="94">
        <f t="shared" si="47"/>
        <v>88</v>
      </c>
      <c r="AJ106" s="94">
        <f t="shared" si="47"/>
        <v>88</v>
      </c>
      <c r="AK106" s="94">
        <f t="shared" si="47"/>
        <v>88</v>
      </c>
      <c r="AL106" s="94">
        <f t="shared" si="47"/>
        <v>88</v>
      </c>
      <c r="AM106" s="94">
        <f t="shared" si="47"/>
        <v>88</v>
      </c>
      <c r="AN106" s="94">
        <f t="shared" si="47"/>
        <v>88</v>
      </c>
      <c r="AO106" s="94">
        <f t="shared" si="47"/>
        <v>88</v>
      </c>
      <c r="AP106" s="95">
        <f t="shared" si="47"/>
        <v>88</v>
      </c>
      <c r="AQ106" s="64"/>
      <c r="AT106" s="38"/>
      <c r="AU106" s="39"/>
      <c r="BH106" s="37"/>
    </row>
    <row r="107" spans="20:60">
      <c r="T107" s="64"/>
      <c r="U107" s="302">
        <v>0</v>
      </c>
      <c r="V107" s="223">
        <v>1250</v>
      </c>
      <c r="W107" s="220">
        <f t="shared" si="46"/>
        <v>112</v>
      </c>
      <c r="X107" s="94">
        <f t="shared" si="47"/>
        <v>112</v>
      </c>
      <c r="Y107" s="94">
        <f t="shared" si="47"/>
        <v>104</v>
      </c>
      <c r="Z107" s="94">
        <f t="shared" si="47"/>
        <v>104</v>
      </c>
      <c r="AA107" s="94">
        <f t="shared" si="47"/>
        <v>104</v>
      </c>
      <c r="AB107" s="94">
        <f t="shared" si="47"/>
        <v>96</v>
      </c>
      <c r="AC107" s="94">
        <f t="shared" si="47"/>
        <v>96</v>
      </c>
      <c r="AD107" s="94">
        <f t="shared" si="47"/>
        <v>88</v>
      </c>
      <c r="AE107" s="94">
        <f t="shared" si="47"/>
        <v>88</v>
      </c>
      <c r="AF107" s="94">
        <f t="shared" si="47"/>
        <v>88</v>
      </c>
      <c r="AG107" s="94">
        <f t="shared" si="47"/>
        <v>88</v>
      </c>
      <c r="AH107" s="94">
        <f t="shared" si="47"/>
        <v>88</v>
      </c>
      <c r="AI107" s="94">
        <f t="shared" si="47"/>
        <v>88</v>
      </c>
      <c r="AJ107" s="94">
        <f t="shared" si="47"/>
        <v>88</v>
      </c>
      <c r="AK107" s="94">
        <f t="shared" si="47"/>
        <v>88</v>
      </c>
      <c r="AL107" s="94">
        <f t="shared" si="47"/>
        <v>88</v>
      </c>
      <c r="AM107" s="94">
        <f t="shared" si="47"/>
        <v>88</v>
      </c>
      <c r="AN107" s="94">
        <f t="shared" si="47"/>
        <v>88</v>
      </c>
      <c r="AO107" s="94">
        <f t="shared" si="47"/>
        <v>88</v>
      </c>
      <c r="AP107" s="95">
        <f t="shared" si="47"/>
        <v>88</v>
      </c>
      <c r="AQ107" s="64"/>
      <c r="AT107" s="38"/>
      <c r="AU107" s="39"/>
      <c r="BH107" s="37"/>
    </row>
    <row r="108" spans="20:60">
      <c r="T108" s="64"/>
      <c r="U108" s="302">
        <v>0</v>
      </c>
      <c r="V108" s="223">
        <v>1500</v>
      </c>
      <c r="W108" s="220">
        <f t="shared" si="46"/>
        <v>112</v>
      </c>
      <c r="X108" s="94">
        <f t="shared" si="47"/>
        <v>112</v>
      </c>
      <c r="Y108" s="94">
        <f t="shared" si="47"/>
        <v>104</v>
      </c>
      <c r="Z108" s="94">
        <f t="shared" si="47"/>
        <v>104</v>
      </c>
      <c r="AA108" s="94">
        <f t="shared" si="47"/>
        <v>104</v>
      </c>
      <c r="AB108" s="94">
        <f t="shared" si="47"/>
        <v>96</v>
      </c>
      <c r="AC108" s="94">
        <f t="shared" si="47"/>
        <v>88</v>
      </c>
      <c r="AD108" s="94">
        <f t="shared" si="47"/>
        <v>88</v>
      </c>
      <c r="AE108" s="94">
        <f t="shared" si="47"/>
        <v>88</v>
      </c>
      <c r="AF108" s="94">
        <f t="shared" si="47"/>
        <v>88</v>
      </c>
      <c r="AG108" s="94">
        <f t="shared" si="47"/>
        <v>88</v>
      </c>
      <c r="AH108" s="94">
        <f t="shared" si="47"/>
        <v>88</v>
      </c>
      <c r="AI108" s="94">
        <f t="shared" si="47"/>
        <v>88</v>
      </c>
      <c r="AJ108" s="94">
        <f t="shared" si="47"/>
        <v>88</v>
      </c>
      <c r="AK108" s="94">
        <f t="shared" si="47"/>
        <v>88</v>
      </c>
      <c r="AL108" s="94">
        <f t="shared" si="47"/>
        <v>88</v>
      </c>
      <c r="AM108" s="94">
        <f t="shared" si="47"/>
        <v>88</v>
      </c>
      <c r="AN108" s="94">
        <f t="shared" si="47"/>
        <v>88</v>
      </c>
      <c r="AO108" s="94">
        <f t="shared" si="47"/>
        <v>88</v>
      </c>
      <c r="AP108" s="95">
        <f t="shared" si="47"/>
        <v>88</v>
      </c>
      <c r="AQ108" s="64"/>
      <c r="AT108" s="38"/>
      <c r="AU108" s="39"/>
      <c r="BH108" s="37"/>
    </row>
    <row r="109" spans="20:60">
      <c r="T109" s="64"/>
      <c r="U109" s="302">
        <v>0</v>
      </c>
      <c r="V109" s="224">
        <v>2000</v>
      </c>
      <c r="W109" s="220">
        <f t="shared" si="46"/>
        <v>112</v>
      </c>
      <c r="X109" s="94">
        <f t="shared" si="47"/>
        <v>112</v>
      </c>
      <c r="Y109" s="94">
        <f t="shared" si="47"/>
        <v>96</v>
      </c>
      <c r="Z109" s="94">
        <f t="shared" si="47"/>
        <v>96</v>
      </c>
      <c r="AA109" s="94">
        <f t="shared" si="47"/>
        <v>96</v>
      </c>
      <c r="AB109" s="94">
        <f t="shared" si="47"/>
        <v>88</v>
      </c>
      <c r="AC109" s="94">
        <f t="shared" si="47"/>
        <v>88</v>
      </c>
      <c r="AD109" s="94">
        <f t="shared" si="47"/>
        <v>88</v>
      </c>
      <c r="AE109" s="94">
        <f t="shared" si="47"/>
        <v>88</v>
      </c>
      <c r="AF109" s="94">
        <f t="shared" si="47"/>
        <v>88</v>
      </c>
      <c r="AG109" s="94">
        <f t="shared" si="47"/>
        <v>96</v>
      </c>
      <c r="AH109" s="94">
        <f t="shared" si="47"/>
        <v>96</v>
      </c>
      <c r="AI109" s="94">
        <f t="shared" si="47"/>
        <v>96</v>
      </c>
      <c r="AJ109" s="94">
        <f t="shared" si="47"/>
        <v>96</v>
      </c>
      <c r="AK109" s="94">
        <f t="shared" si="47"/>
        <v>96</v>
      </c>
      <c r="AL109" s="94">
        <f t="shared" si="47"/>
        <v>96</v>
      </c>
      <c r="AM109" s="94">
        <f t="shared" si="47"/>
        <v>96</v>
      </c>
      <c r="AN109" s="94">
        <f t="shared" si="47"/>
        <v>96</v>
      </c>
      <c r="AO109" s="94">
        <f t="shared" si="47"/>
        <v>96</v>
      </c>
      <c r="AP109" s="95">
        <f t="shared" si="47"/>
        <v>96</v>
      </c>
      <c r="AQ109" s="64"/>
      <c r="AT109" s="38"/>
      <c r="AU109" s="39"/>
      <c r="BH109" s="37"/>
    </row>
    <row r="110" spans="20:60">
      <c r="T110" s="64"/>
      <c r="U110" s="302">
        <v>0</v>
      </c>
      <c r="V110" s="224">
        <v>2500</v>
      </c>
      <c r="W110" s="220">
        <f t="shared" si="46"/>
        <v>104</v>
      </c>
      <c r="X110" s="94">
        <f t="shared" si="47"/>
        <v>104</v>
      </c>
      <c r="Y110" s="94">
        <f t="shared" si="47"/>
        <v>96</v>
      </c>
      <c r="Z110" s="94">
        <f t="shared" si="47"/>
        <v>96</v>
      </c>
      <c r="AA110" s="94">
        <f t="shared" si="47"/>
        <v>96</v>
      </c>
      <c r="AB110" s="94">
        <f t="shared" si="47"/>
        <v>88</v>
      </c>
      <c r="AC110" s="94">
        <f t="shared" si="47"/>
        <v>88</v>
      </c>
      <c r="AD110" s="94">
        <f t="shared" si="47"/>
        <v>88</v>
      </c>
      <c r="AE110" s="94">
        <f t="shared" si="47"/>
        <v>88</v>
      </c>
      <c r="AF110" s="94">
        <f t="shared" si="47"/>
        <v>88</v>
      </c>
      <c r="AG110" s="94">
        <f t="shared" si="47"/>
        <v>96</v>
      </c>
      <c r="AH110" s="94">
        <f t="shared" si="47"/>
        <v>96</v>
      </c>
      <c r="AI110" s="94">
        <f t="shared" si="47"/>
        <v>96</v>
      </c>
      <c r="AJ110" s="94">
        <f t="shared" si="47"/>
        <v>96</v>
      </c>
      <c r="AK110" s="94">
        <f t="shared" si="47"/>
        <v>96</v>
      </c>
      <c r="AL110" s="94">
        <f t="shared" si="47"/>
        <v>96</v>
      </c>
      <c r="AM110" s="94">
        <f t="shared" si="47"/>
        <v>96</v>
      </c>
      <c r="AN110" s="94">
        <f t="shared" si="47"/>
        <v>96</v>
      </c>
      <c r="AO110" s="94">
        <f t="shared" si="47"/>
        <v>96</v>
      </c>
      <c r="AP110" s="95">
        <f t="shared" si="47"/>
        <v>96</v>
      </c>
      <c r="AQ110" s="64"/>
      <c r="AT110" s="38"/>
      <c r="AU110" s="39"/>
      <c r="BH110" s="37"/>
    </row>
    <row r="111" spans="20:60">
      <c r="T111" s="64"/>
      <c r="U111" s="302">
        <v>0</v>
      </c>
      <c r="V111" s="224">
        <v>3000</v>
      </c>
      <c r="W111" s="220">
        <f t="shared" si="46"/>
        <v>104</v>
      </c>
      <c r="X111" s="94">
        <f t="shared" si="47"/>
        <v>104</v>
      </c>
      <c r="Y111" s="94">
        <f t="shared" si="47"/>
        <v>96</v>
      </c>
      <c r="Z111" s="94">
        <f t="shared" si="47"/>
        <v>96</v>
      </c>
      <c r="AA111" s="94">
        <f t="shared" si="47"/>
        <v>96</v>
      </c>
      <c r="AB111" s="94">
        <f t="shared" si="47"/>
        <v>88</v>
      </c>
      <c r="AC111" s="94">
        <f t="shared" si="47"/>
        <v>88</v>
      </c>
      <c r="AD111" s="94">
        <f t="shared" si="47"/>
        <v>88</v>
      </c>
      <c r="AE111" s="94">
        <f t="shared" si="47"/>
        <v>88</v>
      </c>
      <c r="AF111" s="94">
        <f t="shared" si="47"/>
        <v>96</v>
      </c>
      <c r="AG111" s="94">
        <f t="shared" si="47"/>
        <v>96</v>
      </c>
      <c r="AH111" s="94">
        <f t="shared" si="47"/>
        <v>96</v>
      </c>
      <c r="AI111" s="94">
        <f t="shared" si="47"/>
        <v>96</v>
      </c>
      <c r="AJ111" s="94">
        <f t="shared" si="47"/>
        <v>96</v>
      </c>
      <c r="AK111" s="94">
        <f t="shared" si="47"/>
        <v>96</v>
      </c>
      <c r="AL111" s="94">
        <f t="shared" si="47"/>
        <v>96</v>
      </c>
      <c r="AM111" s="94">
        <f t="shared" si="47"/>
        <v>96</v>
      </c>
      <c r="AN111" s="94">
        <f t="shared" si="47"/>
        <v>96</v>
      </c>
      <c r="AO111" s="94">
        <f t="shared" si="47"/>
        <v>96</v>
      </c>
      <c r="AP111" s="95">
        <f t="shared" si="47"/>
        <v>96</v>
      </c>
      <c r="AQ111" s="64"/>
      <c r="AT111" s="38"/>
      <c r="AU111" s="39"/>
      <c r="BH111" s="37"/>
    </row>
    <row r="112" spans="20:60">
      <c r="T112" s="64"/>
      <c r="U112" s="302">
        <v>0</v>
      </c>
      <c r="V112" s="224">
        <v>3500</v>
      </c>
      <c r="W112" s="220">
        <f t="shared" si="46"/>
        <v>104</v>
      </c>
      <c r="X112" s="94">
        <f t="shared" si="47"/>
        <v>104</v>
      </c>
      <c r="Y112" s="94">
        <f t="shared" si="47"/>
        <v>104</v>
      </c>
      <c r="Z112" s="94">
        <f t="shared" si="47"/>
        <v>104</v>
      </c>
      <c r="AA112" s="94">
        <f t="shared" si="47"/>
        <v>88</v>
      </c>
      <c r="AB112" s="94">
        <f t="shared" si="47"/>
        <v>88</v>
      </c>
      <c r="AC112" s="94">
        <f t="shared" si="47"/>
        <v>88</v>
      </c>
      <c r="AD112" s="94">
        <f t="shared" si="47"/>
        <v>88</v>
      </c>
      <c r="AE112" s="94">
        <f t="shared" si="47"/>
        <v>88</v>
      </c>
      <c r="AF112" s="94">
        <f t="shared" si="47"/>
        <v>88</v>
      </c>
      <c r="AG112" s="94">
        <f t="shared" si="47"/>
        <v>88</v>
      </c>
      <c r="AH112" s="94">
        <f t="shared" si="47"/>
        <v>88</v>
      </c>
      <c r="AI112" s="94">
        <f t="shared" si="47"/>
        <v>88</v>
      </c>
      <c r="AJ112" s="94">
        <f t="shared" si="47"/>
        <v>88</v>
      </c>
      <c r="AK112" s="94">
        <f t="shared" si="47"/>
        <v>88</v>
      </c>
      <c r="AL112" s="94">
        <f t="shared" si="47"/>
        <v>88</v>
      </c>
      <c r="AM112" s="94">
        <f t="shared" si="47"/>
        <v>88</v>
      </c>
      <c r="AN112" s="94">
        <f t="shared" si="47"/>
        <v>88</v>
      </c>
      <c r="AO112" s="94">
        <f t="shared" si="47"/>
        <v>88</v>
      </c>
      <c r="AP112" s="95">
        <f t="shared" si="47"/>
        <v>88</v>
      </c>
      <c r="AQ112" s="64"/>
      <c r="AT112" s="38"/>
      <c r="AU112" s="39"/>
      <c r="BH112" s="37"/>
    </row>
    <row r="113" spans="20:60">
      <c r="T113" s="64"/>
      <c r="U113" s="302">
        <v>0</v>
      </c>
      <c r="V113" s="224">
        <v>4000</v>
      </c>
      <c r="W113" s="220">
        <f t="shared" si="46"/>
        <v>104</v>
      </c>
      <c r="X113" s="94">
        <f t="shared" si="47"/>
        <v>104</v>
      </c>
      <c r="Y113" s="94">
        <f t="shared" si="47"/>
        <v>104</v>
      </c>
      <c r="Z113" s="94">
        <f t="shared" si="47"/>
        <v>104</v>
      </c>
      <c r="AA113" s="94">
        <f t="shared" si="47"/>
        <v>88</v>
      </c>
      <c r="AB113" s="94">
        <f t="shared" si="47"/>
        <v>88</v>
      </c>
      <c r="AC113" s="94">
        <f t="shared" si="47"/>
        <v>88</v>
      </c>
      <c r="AD113" s="94">
        <f t="shared" si="47"/>
        <v>88</v>
      </c>
      <c r="AE113" s="94">
        <f t="shared" si="47"/>
        <v>88</v>
      </c>
      <c r="AF113" s="94">
        <f t="shared" si="47"/>
        <v>96</v>
      </c>
      <c r="AG113" s="94">
        <f t="shared" si="47"/>
        <v>96</v>
      </c>
      <c r="AH113" s="94">
        <f t="shared" si="47"/>
        <v>96</v>
      </c>
      <c r="AI113" s="94">
        <f t="shared" si="47"/>
        <v>96</v>
      </c>
      <c r="AJ113" s="94">
        <f t="shared" si="47"/>
        <v>96</v>
      </c>
      <c r="AK113" s="94">
        <f t="shared" si="47"/>
        <v>80</v>
      </c>
      <c r="AL113" s="94">
        <f t="shared" si="47"/>
        <v>80</v>
      </c>
      <c r="AM113" s="94">
        <f t="shared" si="47"/>
        <v>80</v>
      </c>
      <c r="AN113" s="94">
        <f t="shared" si="47"/>
        <v>80</v>
      </c>
      <c r="AO113" s="94">
        <f t="shared" si="47"/>
        <v>80</v>
      </c>
      <c r="AP113" s="95">
        <f t="shared" si="47"/>
        <v>80</v>
      </c>
      <c r="AQ113" s="64"/>
      <c r="AT113" s="38"/>
      <c r="AU113" s="39"/>
      <c r="BH113" s="37"/>
    </row>
    <row r="114" spans="20:60">
      <c r="T114" s="64"/>
      <c r="U114" s="302">
        <v>0</v>
      </c>
      <c r="V114" s="224">
        <v>4500</v>
      </c>
      <c r="W114" s="220">
        <f t="shared" si="46"/>
        <v>104</v>
      </c>
      <c r="X114" s="94">
        <f t="shared" si="47"/>
        <v>104</v>
      </c>
      <c r="Y114" s="94">
        <f t="shared" si="47"/>
        <v>104</v>
      </c>
      <c r="Z114" s="94">
        <f t="shared" si="47"/>
        <v>104</v>
      </c>
      <c r="AA114" s="94">
        <f t="shared" si="47"/>
        <v>96</v>
      </c>
      <c r="AB114" s="94">
        <f t="shared" si="47"/>
        <v>96</v>
      </c>
      <c r="AC114" s="94">
        <f t="shared" si="47"/>
        <v>88</v>
      </c>
      <c r="AD114" s="94">
        <f t="shared" si="47"/>
        <v>88</v>
      </c>
      <c r="AE114" s="94">
        <f t="shared" si="47"/>
        <v>88</v>
      </c>
      <c r="AF114" s="94">
        <f t="shared" si="47"/>
        <v>96</v>
      </c>
      <c r="AG114" s="94">
        <f t="shared" si="47"/>
        <v>96</v>
      </c>
      <c r="AH114" s="94">
        <f t="shared" si="47"/>
        <v>96</v>
      </c>
      <c r="AI114" s="94">
        <f t="shared" si="47"/>
        <v>96</v>
      </c>
      <c r="AJ114" s="94">
        <f t="shared" si="47"/>
        <v>96</v>
      </c>
      <c r="AK114" s="94">
        <f t="shared" si="47"/>
        <v>80</v>
      </c>
      <c r="AL114" s="94">
        <f t="shared" si="47"/>
        <v>80</v>
      </c>
      <c r="AM114" s="94">
        <f t="shared" si="47"/>
        <v>80</v>
      </c>
      <c r="AN114" s="94">
        <f t="shared" si="47"/>
        <v>80</v>
      </c>
      <c r="AO114" s="94">
        <f t="shared" si="47"/>
        <v>80</v>
      </c>
      <c r="AP114" s="95">
        <f t="shared" si="47"/>
        <v>80</v>
      </c>
      <c r="AQ114" s="64"/>
      <c r="AT114" s="38"/>
      <c r="AU114" s="39"/>
      <c r="BH114" s="37"/>
    </row>
    <row r="115" spans="20:60">
      <c r="T115" s="64"/>
      <c r="U115" s="302">
        <v>0</v>
      </c>
      <c r="V115" s="224">
        <v>5000</v>
      </c>
      <c r="W115" s="220">
        <f t="shared" si="46"/>
        <v>112</v>
      </c>
      <c r="X115" s="94">
        <f t="shared" si="47"/>
        <v>112</v>
      </c>
      <c r="Y115" s="94">
        <f t="shared" si="47"/>
        <v>112</v>
      </c>
      <c r="Z115" s="94">
        <f t="shared" si="47"/>
        <v>112</v>
      </c>
      <c r="AA115" s="94">
        <f t="shared" si="47"/>
        <v>112</v>
      </c>
      <c r="AB115" s="94">
        <f t="shared" si="47"/>
        <v>96</v>
      </c>
      <c r="AC115" s="94">
        <f t="shared" si="47"/>
        <v>96</v>
      </c>
      <c r="AD115" s="94">
        <f t="shared" si="47"/>
        <v>96</v>
      </c>
      <c r="AE115" s="94">
        <f t="shared" si="47"/>
        <v>96</v>
      </c>
      <c r="AF115" s="94">
        <f t="shared" si="47"/>
        <v>96</v>
      </c>
      <c r="AG115" s="94">
        <f t="shared" si="47"/>
        <v>96</v>
      </c>
      <c r="AH115" s="94">
        <f t="shared" si="47"/>
        <v>96</v>
      </c>
      <c r="AI115" s="94">
        <f t="shared" si="47"/>
        <v>96</v>
      </c>
      <c r="AJ115" s="94">
        <f t="shared" si="47"/>
        <v>96</v>
      </c>
      <c r="AK115" s="94">
        <f t="shared" si="47"/>
        <v>80</v>
      </c>
      <c r="AL115" s="94">
        <f t="shared" si="47"/>
        <v>80</v>
      </c>
      <c r="AM115" s="94">
        <f t="shared" si="47"/>
        <v>80</v>
      </c>
      <c r="AN115" s="94">
        <f t="shared" si="47"/>
        <v>80</v>
      </c>
      <c r="AO115" s="94">
        <f t="shared" si="47"/>
        <v>80</v>
      </c>
      <c r="AP115" s="95">
        <f t="shared" si="47"/>
        <v>80</v>
      </c>
      <c r="AQ115" s="64"/>
      <c r="AT115" s="38"/>
      <c r="AU115" s="39"/>
      <c r="BH115" s="37"/>
    </row>
    <row r="116" spans="20:60">
      <c r="T116" s="64"/>
      <c r="U116" s="302">
        <v>0</v>
      </c>
      <c r="V116" s="224">
        <v>5500</v>
      </c>
      <c r="W116" s="220">
        <f t="shared" si="46"/>
        <v>112</v>
      </c>
      <c r="X116" s="94">
        <f t="shared" si="47"/>
        <v>112</v>
      </c>
      <c r="Y116" s="94">
        <f t="shared" si="47"/>
        <v>112</v>
      </c>
      <c r="Z116" s="94">
        <f t="shared" si="47"/>
        <v>112</v>
      </c>
      <c r="AA116" s="94">
        <f t="shared" si="47"/>
        <v>112</v>
      </c>
      <c r="AB116" s="94">
        <f t="shared" si="47"/>
        <v>104</v>
      </c>
      <c r="AC116" s="94">
        <f t="shared" si="47"/>
        <v>104</v>
      </c>
      <c r="AD116" s="94">
        <f t="shared" si="47"/>
        <v>104</v>
      </c>
      <c r="AE116" s="94">
        <f t="shared" si="47"/>
        <v>104</v>
      </c>
      <c r="AF116" s="94">
        <f t="shared" si="47"/>
        <v>104</v>
      </c>
      <c r="AG116" s="94">
        <f t="shared" si="47"/>
        <v>104</v>
      </c>
      <c r="AH116" s="94">
        <f t="shared" si="47"/>
        <v>104</v>
      </c>
      <c r="AI116" s="94">
        <f t="shared" si="47"/>
        <v>104</v>
      </c>
      <c r="AJ116" s="94">
        <f t="shared" si="47"/>
        <v>96</v>
      </c>
      <c r="AK116" s="94">
        <f t="shared" si="47"/>
        <v>88</v>
      </c>
      <c r="AL116" s="94">
        <f t="shared" si="47"/>
        <v>88</v>
      </c>
      <c r="AM116" s="94">
        <f t="shared" si="47"/>
        <v>88</v>
      </c>
      <c r="AN116" s="94">
        <f t="shared" si="47"/>
        <v>88</v>
      </c>
      <c r="AO116" s="94">
        <f t="shared" si="47"/>
        <v>88</v>
      </c>
      <c r="AP116" s="95">
        <f t="shared" si="47"/>
        <v>88</v>
      </c>
      <c r="AQ116" s="64"/>
      <c r="AT116" s="38"/>
      <c r="AU116" s="39"/>
      <c r="BH116" s="37"/>
    </row>
    <row r="117" spans="20:60">
      <c r="T117" s="64"/>
      <c r="U117" s="302">
        <v>0</v>
      </c>
      <c r="V117" s="224">
        <v>6000</v>
      </c>
      <c r="W117" s="220">
        <f t="shared" si="46"/>
        <v>112</v>
      </c>
      <c r="X117" s="94">
        <f t="shared" si="47"/>
        <v>112</v>
      </c>
      <c r="Y117" s="94">
        <f t="shared" si="47"/>
        <v>112</v>
      </c>
      <c r="Z117" s="94">
        <f t="shared" si="47"/>
        <v>112</v>
      </c>
      <c r="AA117" s="94">
        <f t="shared" si="47"/>
        <v>112</v>
      </c>
      <c r="AB117" s="94">
        <f t="shared" si="47"/>
        <v>112</v>
      </c>
      <c r="AC117" s="94">
        <f t="shared" si="47"/>
        <v>112</v>
      </c>
      <c r="AD117" s="94">
        <f t="shared" si="47"/>
        <v>112</v>
      </c>
      <c r="AE117" s="94">
        <f t="shared" si="47"/>
        <v>112</v>
      </c>
      <c r="AF117" s="94">
        <f t="shared" si="47"/>
        <v>112</v>
      </c>
      <c r="AG117" s="94">
        <f t="shared" si="47"/>
        <v>104</v>
      </c>
      <c r="AH117" s="94">
        <f t="shared" si="47"/>
        <v>104</v>
      </c>
      <c r="AI117" s="94">
        <f t="shared" si="47"/>
        <v>104</v>
      </c>
      <c r="AJ117" s="94">
        <f t="shared" si="47"/>
        <v>104</v>
      </c>
      <c r="AK117" s="94">
        <f t="shared" si="47"/>
        <v>104</v>
      </c>
      <c r="AL117" s="94">
        <f t="shared" si="47"/>
        <v>104</v>
      </c>
      <c r="AM117" s="94">
        <f t="shared" si="47"/>
        <v>104</v>
      </c>
      <c r="AN117" s="94">
        <f t="shared" si="47"/>
        <v>104</v>
      </c>
      <c r="AO117" s="94">
        <f t="shared" si="47"/>
        <v>104</v>
      </c>
      <c r="AP117" s="95">
        <f t="shared" si="47"/>
        <v>104</v>
      </c>
      <c r="AQ117" s="64"/>
      <c r="AT117" s="38"/>
      <c r="AU117" s="39"/>
      <c r="BH117" s="37"/>
    </row>
    <row r="118" spans="20:60">
      <c r="T118" s="64"/>
      <c r="U118" s="302"/>
      <c r="V118" s="225">
        <v>6500</v>
      </c>
      <c r="W118" s="220">
        <f t="shared" si="46"/>
        <v>120</v>
      </c>
      <c r="X118" s="94">
        <f t="shared" si="47"/>
        <v>120</v>
      </c>
      <c r="Y118" s="94">
        <f t="shared" si="47"/>
        <v>120</v>
      </c>
      <c r="Z118" s="94">
        <f t="shared" si="47"/>
        <v>120</v>
      </c>
      <c r="AA118" s="94">
        <f t="shared" si="47"/>
        <v>120</v>
      </c>
      <c r="AB118" s="94">
        <f t="shared" ref="X118:AP119" si="49">ROUND((72-AB44)/0.6,0)</f>
        <v>120</v>
      </c>
      <c r="AC118" s="94">
        <f t="shared" si="49"/>
        <v>120</v>
      </c>
      <c r="AD118" s="94">
        <f t="shared" si="49"/>
        <v>120</v>
      </c>
      <c r="AE118" s="94">
        <f t="shared" si="49"/>
        <v>120</v>
      </c>
      <c r="AF118" s="94">
        <f t="shared" si="49"/>
        <v>120</v>
      </c>
      <c r="AG118" s="94">
        <f t="shared" si="49"/>
        <v>120</v>
      </c>
      <c r="AH118" s="94">
        <f t="shared" si="49"/>
        <v>120</v>
      </c>
      <c r="AI118" s="94">
        <f t="shared" si="49"/>
        <v>120</v>
      </c>
      <c r="AJ118" s="94">
        <f t="shared" si="49"/>
        <v>120</v>
      </c>
      <c r="AK118" s="94">
        <f t="shared" si="49"/>
        <v>120</v>
      </c>
      <c r="AL118" s="94">
        <f t="shared" si="49"/>
        <v>120</v>
      </c>
      <c r="AM118" s="94">
        <f t="shared" si="49"/>
        <v>120</v>
      </c>
      <c r="AN118" s="94">
        <f t="shared" si="49"/>
        <v>120</v>
      </c>
      <c r="AO118" s="94">
        <f t="shared" si="49"/>
        <v>120</v>
      </c>
      <c r="AP118" s="95">
        <f t="shared" si="49"/>
        <v>120</v>
      </c>
      <c r="AQ118" s="64"/>
      <c r="AT118" s="38"/>
      <c r="AU118" s="39"/>
      <c r="BH118" s="37"/>
    </row>
    <row r="119" spans="20:60" ht="13.5" thickBot="1">
      <c r="T119" s="64"/>
      <c r="U119" s="303">
        <v>0</v>
      </c>
      <c r="V119" s="226">
        <v>7000</v>
      </c>
      <c r="W119" s="221">
        <f t="shared" si="46"/>
        <v>120</v>
      </c>
      <c r="X119" s="97">
        <f t="shared" si="49"/>
        <v>120</v>
      </c>
      <c r="Y119" s="97">
        <f t="shared" si="49"/>
        <v>120</v>
      </c>
      <c r="Z119" s="97">
        <f t="shared" si="49"/>
        <v>120</v>
      </c>
      <c r="AA119" s="97">
        <f t="shared" si="49"/>
        <v>120</v>
      </c>
      <c r="AB119" s="97">
        <f t="shared" si="49"/>
        <v>120</v>
      </c>
      <c r="AC119" s="97">
        <f t="shared" si="49"/>
        <v>120</v>
      </c>
      <c r="AD119" s="97">
        <f t="shared" si="49"/>
        <v>120</v>
      </c>
      <c r="AE119" s="97">
        <f t="shared" si="49"/>
        <v>120</v>
      </c>
      <c r="AF119" s="97">
        <f t="shared" si="49"/>
        <v>120</v>
      </c>
      <c r="AG119" s="97">
        <f t="shared" si="49"/>
        <v>120</v>
      </c>
      <c r="AH119" s="97">
        <f t="shared" si="49"/>
        <v>120</v>
      </c>
      <c r="AI119" s="97">
        <f t="shared" si="49"/>
        <v>120</v>
      </c>
      <c r="AJ119" s="97">
        <f t="shared" si="49"/>
        <v>120</v>
      </c>
      <c r="AK119" s="97">
        <f t="shared" si="49"/>
        <v>120</v>
      </c>
      <c r="AL119" s="97">
        <f t="shared" si="49"/>
        <v>120</v>
      </c>
      <c r="AM119" s="97">
        <f t="shared" si="49"/>
        <v>120</v>
      </c>
      <c r="AN119" s="97">
        <f t="shared" si="49"/>
        <v>120</v>
      </c>
      <c r="AO119" s="97">
        <f t="shared" si="49"/>
        <v>120</v>
      </c>
      <c r="AP119" s="98">
        <f t="shared" si="49"/>
        <v>120</v>
      </c>
      <c r="AQ119" s="64"/>
      <c r="AT119" s="38"/>
      <c r="AU119" s="39"/>
      <c r="BH119" s="37"/>
    </row>
    <row r="120" spans="20:60" ht="12" customHeight="1">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U120" s="37"/>
      <c r="AV120" s="37"/>
      <c r="AW120" s="37"/>
      <c r="AX120" s="37"/>
      <c r="AY120" s="37"/>
      <c r="AZ120" s="37"/>
      <c r="BA120" s="37"/>
      <c r="BB120" s="37"/>
      <c r="BC120" s="37"/>
      <c r="BD120" s="37"/>
      <c r="BE120" s="37"/>
      <c r="BF120" s="37"/>
      <c r="BG120" s="37"/>
      <c r="BH120" s="37"/>
    </row>
    <row r="121" spans="20:60" ht="12" customHeight="1">
      <c r="AU121" s="37"/>
      <c r="AV121" s="37"/>
      <c r="AW121" s="37"/>
      <c r="AX121" s="37"/>
      <c r="AY121" s="37"/>
      <c r="AZ121" s="37"/>
      <c r="BA121" s="37"/>
      <c r="BB121" s="37"/>
      <c r="BC121" s="37"/>
      <c r="BD121" s="37"/>
      <c r="BE121" s="37"/>
      <c r="BF121" s="37"/>
      <c r="BG121" s="37"/>
      <c r="BH121" s="37"/>
    </row>
  </sheetData>
  <mergeCells count="45">
    <mergeCell ref="U104:U119"/>
    <mergeCell ref="U1:V1"/>
    <mergeCell ref="T76:AQ76"/>
    <mergeCell ref="U80:U95"/>
    <mergeCell ref="AB23:AB24"/>
    <mergeCell ref="U3:V5"/>
    <mergeCell ref="W4:AP4"/>
    <mergeCell ref="W3:AP3"/>
    <mergeCell ref="W1:Y1"/>
    <mergeCell ref="W28:AP28"/>
    <mergeCell ref="W27:AP27"/>
    <mergeCell ref="AR1:BF1"/>
    <mergeCell ref="U27:V29"/>
    <mergeCell ref="U52:V54"/>
    <mergeCell ref="U55:U70"/>
    <mergeCell ref="U30:U45"/>
    <mergeCell ref="Z2:AA2"/>
    <mergeCell ref="Z24:AA24"/>
    <mergeCell ref="W2:Y2"/>
    <mergeCell ref="U26:AA26"/>
    <mergeCell ref="AD1:AE1"/>
    <mergeCell ref="AG23:AH23"/>
    <mergeCell ref="Z23:AA23"/>
    <mergeCell ref="W23:Y24"/>
    <mergeCell ref="Z1:AA1"/>
    <mergeCell ref="BH12:CB12"/>
    <mergeCell ref="U6:U21"/>
    <mergeCell ref="U2:V2"/>
    <mergeCell ref="AC23:AC24"/>
    <mergeCell ref="AD2:AE2"/>
    <mergeCell ref="AI23:AK23"/>
    <mergeCell ref="AM23:AN23"/>
    <mergeCell ref="AI24:AK24"/>
    <mergeCell ref="AG24:AH24"/>
    <mergeCell ref="AM24:AN24"/>
    <mergeCell ref="BH40:CB40"/>
    <mergeCell ref="AR39:BF39"/>
    <mergeCell ref="W52:AP52"/>
    <mergeCell ref="W77:AP77"/>
    <mergeCell ref="W102:AP102"/>
    <mergeCell ref="W101:AP101"/>
    <mergeCell ref="T98:AQ100"/>
    <mergeCell ref="U77:V79"/>
    <mergeCell ref="W53:AP53"/>
    <mergeCell ref="W78:AP78"/>
  </mergeCells>
  <phoneticPr fontId="1" type="noConversion"/>
  <conditionalFormatting sqref="W6:AP21">
    <cfRule type="cellIs" dxfId="19" priority="1" stopIfTrue="1" operator="greaterThan">
      <formula>W30*1.005</formula>
    </cfRule>
    <cfRule type="cellIs" dxfId="18" priority="2" stopIfTrue="1" operator="lessThan">
      <formula>W30*0.995</formula>
    </cfRule>
  </conditionalFormatting>
  <conditionalFormatting sqref="W30:AP45">
    <cfRule type="cellIs" dxfId="17" priority="3" stopIfTrue="1" operator="greaterThan">
      <formula>W55</formula>
    </cfRule>
    <cfRule type="cellIs" dxfId="16" priority="4" stopIfTrue="1" operator="lessThan">
      <formula>W55</formula>
    </cfRule>
  </conditionalFormatting>
  <conditionalFormatting sqref="BI14:CB29 BI42:CB57">
    <cfRule type="cellIs" dxfId="15" priority="5" stopIfTrue="1" operator="greaterThanOrEqual">
      <formula>0.0001</formula>
    </cfRule>
    <cfRule type="cellIs" dxfId="14" priority="6" stopIfTrue="1" operator="lessThanOrEqual">
      <formula>-0.0001</formula>
    </cfRule>
    <cfRule type="cellIs" dxfId="13" priority="7" stopIfTrue="1" operator="between">
      <formula>-0.0001</formula>
      <formula>0.0001</formula>
    </cfRule>
  </conditionalFormatting>
  <conditionalFormatting sqref="AA25">
    <cfRule type="cellIs" dxfId="12" priority="8" stopIfTrue="1" operator="lessThan">
      <formula>0</formula>
    </cfRule>
    <cfRule type="cellIs" dxfId="11" priority="9" stopIfTrue="1" operator="greaterThan">
      <formula>0</formula>
    </cfRule>
  </conditionalFormatting>
  <conditionalFormatting sqref="W80:AP95">
    <cfRule type="cellIs" dxfId="10" priority="10" stopIfTrue="1" operator="equal">
      <formula>1</formula>
    </cfRule>
  </conditionalFormatting>
  <printOptions horizontalCentered="1"/>
  <pageMargins left="0.3" right="0.3" top="1.5" bottom="0.3" header="0.5" footer="0.5"/>
  <pageSetup paperSize="17" scale="110" orientation="landscape" horizontalDpi="200" verticalDpi="200" r:id="rId1"/>
  <headerFooter alignWithMargins="0"/>
  <drawing r:id="rId2"/>
  <legacyDrawing r:id="rId3"/>
  <controls>
    <control shapeId="65547" r:id="rId4" name="SpinButton5"/>
    <control shapeId="65546" r:id="rId5" name="SpinButton4"/>
    <control shapeId="65545" r:id="rId6" name="SpinButton3"/>
    <control shapeId="65544" r:id="rId7" name="CheckBox1"/>
    <control shapeId="65543" r:id="rId8" name="SpinButton2"/>
    <control shapeId="65542" r:id="rId9" name="SpinButton1"/>
  </controls>
</worksheet>
</file>

<file path=xl/worksheets/sheet9.xml><?xml version="1.0" encoding="utf-8"?>
<worksheet xmlns="http://schemas.openxmlformats.org/spreadsheetml/2006/main" xmlns:r="http://schemas.openxmlformats.org/officeDocument/2006/relationships">
  <sheetPr codeName="Sheet6"/>
  <dimension ref="A1:BZ121"/>
  <sheetViews>
    <sheetView tabSelected="1" zoomScale="60" workbookViewId="0">
      <selection activeCell="AC14" sqref="AC14"/>
    </sheetView>
  </sheetViews>
  <sheetFormatPr defaultColWidth="9.140625" defaultRowHeight="12.75"/>
  <cols>
    <col min="1" max="1" width="1.5703125" style="37" customWidth="1"/>
    <col min="2" max="20" width="4.5703125" style="37" customWidth="1"/>
    <col min="21" max="21" width="3.28515625" style="37" customWidth="1"/>
    <col min="22" max="22" width="6.28515625" style="37" bestFit="1" customWidth="1"/>
    <col min="23" max="23" width="5" style="37" bestFit="1" customWidth="1"/>
    <col min="24" max="36" width="5.140625" style="37" bestFit="1" customWidth="1"/>
    <col min="37" max="41" width="5.5703125" style="37" bestFit="1" customWidth="1"/>
    <col min="42" max="45" width="3.140625" style="37" customWidth="1"/>
    <col min="46" max="46" width="5.5703125" style="38" bestFit="1" customWidth="1"/>
    <col min="47" max="58" width="6.7109375" style="39" bestFit="1" customWidth="1"/>
    <col min="59" max="59" width="6.28515625" style="40" bestFit="1" customWidth="1"/>
    <col min="60" max="78" width="4.7109375" style="37" customWidth="1"/>
    <col min="79" max="82" width="4.5703125" style="37" customWidth="1"/>
    <col min="83" max="16384" width="9.140625" style="37"/>
  </cols>
  <sheetData>
    <row r="1" spans="1:78" ht="18" customHeight="1" thickBot="1">
      <c r="A1" s="75"/>
      <c r="B1" s="75"/>
      <c r="C1" s="75"/>
      <c r="D1" s="75"/>
      <c r="U1" s="411" t="s">
        <v>54</v>
      </c>
      <c r="V1" s="412"/>
      <c r="W1" s="415" t="s">
        <v>14</v>
      </c>
      <c r="X1" s="416"/>
      <c r="Y1" s="416"/>
      <c r="Z1" s="409" t="s">
        <v>56</v>
      </c>
      <c r="AA1" s="410"/>
      <c r="AB1" s="80">
        <v>10</v>
      </c>
      <c r="AC1" s="81"/>
      <c r="AD1" s="405" t="s">
        <v>55</v>
      </c>
      <c r="AE1" s="406"/>
      <c r="AF1" s="82">
        <v>10</v>
      </c>
      <c r="AG1" s="83"/>
      <c r="AH1" s="85"/>
      <c r="AI1" s="85"/>
      <c r="AJ1" s="85"/>
      <c r="AK1" s="84"/>
      <c r="AM1" s="88"/>
      <c r="AN1" s="78"/>
      <c r="AQ1" s="304" t="s">
        <v>57</v>
      </c>
      <c r="AR1" s="305"/>
      <c r="AS1" s="305"/>
      <c r="AT1" s="305"/>
      <c r="AU1" s="305"/>
      <c r="AV1" s="305"/>
      <c r="AW1" s="305"/>
      <c r="AX1" s="305"/>
      <c r="AY1" s="305"/>
      <c r="AZ1" s="305"/>
      <c r="BA1" s="305"/>
      <c r="BB1" s="305"/>
      <c r="BC1" s="305"/>
      <c r="BD1" s="305"/>
      <c r="BE1" s="306"/>
      <c r="BF1" s="116"/>
    </row>
    <row r="2" spans="1:78" ht="20.25" customHeight="1" thickBot="1">
      <c r="U2" s="390" t="s">
        <v>53</v>
      </c>
      <c r="V2" s="391"/>
      <c r="W2" s="402" t="s">
        <v>15</v>
      </c>
      <c r="X2" s="403"/>
      <c r="Y2" s="403"/>
      <c r="Z2" s="399">
        <f>AB1</f>
        <v>10</v>
      </c>
      <c r="AA2" s="399"/>
      <c r="AB2" s="86"/>
      <c r="AC2" s="86"/>
      <c r="AD2" s="394">
        <f>-AF1</f>
        <v>-10</v>
      </c>
      <c r="AE2" s="394"/>
      <c r="AF2" s="87"/>
      <c r="AH2" s="86"/>
      <c r="AI2" s="89" t="b">
        <v>1</v>
      </c>
      <c r="AJ2" s="85"/>
      <c r="AK2" s="86"/>
      <c r="AL2" s="88"/>
      <c r="AM2" s="88"/>
    </row>
    <row r="3" spans="1:78" ht="15" customHeight="1" thickBot="1">
      <c r="A3" s="36"/>
      <c r="U3" s="278">
        <v>1</v>
      </c>
      <c r="V3" s="279"/>
      <c r="W3" s="304" t="s">
        <v>57</v>
      </c>
      <c r="X3" s="305"/>
      <c r="Y3" s="305"/>
      <c r="Z3" s="305"/>
      <c r="AA3" s="305"/>
      <c r="AB3" s="305"/>
      <c r="AC3" s="305"/>
      <c r="AD3" s="305"/>
      <c r="AE3" s="305"/>
      <c r="AF3" s="305"/>
      <c r="AG3" s="305"/>
      <c r="AH3" s="305"/>
      <c r="AI3" s="305"/>
      <c r="AJ3" s="305"/>
      <c r="AK3" s="305"/>
      <c r="AL3" s="305"/>
      <c r="AM3" s="305"/>
      <c r="AN3" s="305"/>
      <c r="AO3" s="306"/>
    </row>
    <row r="4" spans="1:78" ht="15" customHeight="1" thickBot="1">
      <c r="A4" s="36"/>
      <c r="U4" s="280"/>
      <c r="V4" s="281"/>
      <c r="W4" s="284" t="s">
        <v>0</v>
      </c>
      <c r="X4" s="360"/>
      <c r="Y4" s="360"/>
      <c r="Z4" s="360"/>
      <c r="AA4" s="360"/>
      <c r="AB4" s="360"/>
      <c r="AC4" s="360"/>
      <c r="AD4" s="360"/>
      <c r="AE4" s="360"/>
      <c r="AF4" s="360"/>
      <c r="AG4" s="360"/>
      <c r="AH4" s="360"/>
      <c r="AI4" s="360"/>
      <c r="AJ4" s="360"/>
      <c r="AK4" s="360"/>
      <c r="AL4" s="360"/>
      <c r="AM4" s="360"/>
      <c r="AN4" s="360"/>
      <c r="AO4" s="361"/>
    </row>
    <row r="5" spans="1:78" ht="15" customHeight="1" thickBot="1">
      <c r="A5" s="36"/>
      <c r="U5" s="282"/>
      <c r="V5" s="283"/>
      <c r="W5" s="103">
        <v>0</v>
      </c>
      <c r="X5" s="104">
        <v>10</v>
      </c>
      <c r="Y5" s="104">
        <v>20</v>
      </c>
      <c r="Z5" s="104">
        <v>30</v>
      </c>
      <c r="AA5" s="105">
        <v>40</v>
      </c>
      <c r="AB5" s="105">
        <v>50</v>
      </c>
      <c r="AC5" s="105">
        <v>60</v>
      </c>
      <c r="AD5" s="105">
        <v>70</v>
      </c>
      <c r="AE5" s="105">
        <v>80</v>
      </c>
      <c r="AF5" s="105">
        <v>90</v>
      </c>
      <c r="AG5" s="105">
        <v>100</v>
      </c>
      <c r="AH5" s="105">
        <v>120</v>
      </c>
      <c r="AI5" s="106">
        <v>140</v>
      </c>
      <c r="AJ5" s="106">
        <v>160</v>
      </c>
      <c r="AK5" s="106">
        <v>180</v>
      </c>
      <c r="AL5" s="106">
        <v>200</v>
      </c>
      <c r="AM5" s="106">
        <v>220</v>
      </c>
      <c r="AN5" s="196">
        <v>240</v>
      </c>
      <c r="AO5" s="197">
        <v>260</v>
      </c>
    </row>
    <row r="6" spans="1:78" ht="15" customHeight="1">
      <c r="A6" s="36"/>
      <c r="U6" s="301" t="s">
        <v>1</v>
      </c>
      <c r="V6" s="47">
        <v>500</v>
      </c>
      <c r="W6" s="115">
        <f>72-0.6*IF(AND($AI$2,W80),MIN($AL$23,MAX($AL$24,-$AC$23+W104)),MIN($AL$23,MAX($AL$24,(-$AC$23+MAX(W104+-$Z$2,MIN(W104+-$AD$2,ROUND(AVERAGE(W104,W104,W104,W104,W104:X105),0)))))))</f>
        <v>0</v>
      </c>
      <c r="X6" s="115">
        <f t="shared" ref="X6:AN6" si="0">72-0.6*IF(AND($AI$2,X80),MIN($AL$23,MAX($AL$24,-$AC$23+X104)),MIN($AL$23,MAX($AL$24,(-$AC$23+MAX(X104+-$Z$2,MIN(X104+-$AD$2,ROUND(AVERAGE(X104,X104,X104,X104,W104:Y105),0)))))))</f>
        <v>0</v>
      </c>
      <c r="Y6" s="115">
        <f t="shared" si="0"/>
        <v>0</v>
      </c>
      <c r="Z6" s="115">
        <f t="shared" si="0"/>
        <v>0</v>
      </c>
      <c r="AA6" s="115">
        <f t="shared" si="0"/>
        <v>0</v>
      </c>
      <c r="AB6" s="115">
        <f t="shared" si="0"/>
        <v>1.2000000000000028</v>
      </c>
      <c r="AC6" s="115">
        <f t="shared" si="0"/>
        <v>1.7999999999999972</v>
      </c>
      <c r="AD6" s="115">
        <f t="shared" si="0"/>
        <v>3</v>
      </c>
      <c r="AE6" s="115">
        <f t="shared" si="0"/>
        <v>3</v>
      </c>
      <c r="AF6" s="115">
        <f t="shared" si="0"/>
        <v>3</v>
      </c>
      <c r="AG6" s="115">
        <f t="shared" si="0"/>
        <v>3</v>
      </c>
      <c r="AH6" s="115">
        <f t="shared" si="0"/>
        <v>3</v>
      </c>
      <c r="AI6" s="115">
        <f t="shared" si="0"/>
        <v>3</v>
      </c>
      <c r="AJ6" s="115">
        <f t="shared" si="0"/>
        <v>3</v>
      </c>
      <c r="AK6" s="115">
        <f t="shared" si="0"/>
        <v>3</v>
      </c>
      <c r="AL6" s="115">
        <f t="shared" si="0"/>
        <v>3</v>
      </c>
      <c r="AM6" s="115">
        <f t="shared" si="0"/>
        <v>3</v>
      </c>
      <c r="AN6" s="115">
        <f t="shared" si="0"/>
        <v>3</v>
      </c>
      <c r="AO6" s="211">
        <f>72-0.6*IF(AND($AI$2,AO80),MIN($AL$23,MAX($AL$24,-$AC$23+AO104)),MIN($AL$23,MAX($AL$24,(-$AC$23+MAX(AO104+-$Z$2,MIN(AO104+-$AD$2,ROUND(AVERAGE(AO104,AO104,AO104,AO104,AN104:AO105),0)))))))</f>
        <v>2.4000000000000057</v>
      </c>
    </row>
    <row r="7" spans="1:78" ht="15" customHeight="1">
      <c r="A7" s="36"/>
      <c r="U7" s="302"/>
      <c r="V7" s="49">
        <v>750</v>
      </c>
      <c r="W7" s="115">
        <f t="shared" ref="W7:W20" si="1">72-0.6*IF(AND($AI$2,W81),MIN($AL$23,MAX($AL$24,-$AC$23+W105)),MIN($AL$23,MAX($AL$24,(-$AC$23+MAX(W105+-$Z$2,MIN(W105+-$AD$2,ROUND(AVERAGE(W105,W105,W105,W105,W104:X106),0)))))))</f>
        <v>0</v>
      </c>
      <c r="X7" s="115">
        <f t="shared" ref="X7:AN7" si="2">72-0.6*IF(AND($AI$2,X81),MIN($AL$23,MAX($AL$24,-$AC$23+X105)),MIN($AL$23,MAX($AL$24,(-$AC$23+MAX(X105+-$Z$2,MIN(X105+-$AD$2,ROUND(AVERAGE(X105,X105,X105,X105,W104:Y106),0)))))))</f>
        <v>0</v>
      </c>
      <c r="Y7" s="115">
        <f t="shared" si="2"/>
        <v>0</v>
      </c>
      <c r="Z7" s="115">
        <f t="shared" si="2"/>
        <v>0.60000000000000853</v>
      </c>
      <c r="AA7" s="115">
        <f t="shared" si="2"/>
        <v>0.60000000000000853</v>
      </c>
      <c r="AB7" s="115">
        <f t="shared" si="2"/>
        <v>2.4000000000000057</v>
      </c>
      <c r="AC7" s="115">
        <f t="shared" si="2"/>
        <v>7.2000000000000028</v>
      </c>
      <c r="AD7" s="115">
        <f t="shared" si="2"/>
        <v>9</v>
      </c>
      <c r="AE7" s="115">
        <f t="shared" si="2"/>
        <v>9.6000000000000014</v>
      </c>
      <c r="AF7" s="115">
        <f t="shared" si="2"/>
        <v>9.6000000000000014</v>
      </c>
      <c r="AG7" s="115">
        <f t="shared" si="2"/>
        <v>9.6000000000000014</v>
      </c>
      <c r="AH7" s="115">
        <f t="shared" si="2"/>
        <v>9.6000000000000014</v>
      </c>
      <c r="AI7" s="115">
        <f t="shared" si="2"/>
        <v>9.6000000000000014</v>
      </c>
      <c r="AJ7" s="115">
        <f t="shared" si="2"/>
        <v>9.6000000000000014</v>
      </c>
      <c r="AK7" s="115">
        <f t="shared" si="2"/>
        <v>9.6000000000000014</v>
      </c>
      <c r="AL7" s="115">
        <f t="shared" si="2"/>
        <v>9.6000000000000014</v>
      </c>
      <c r="AM7" s="115">
        <f t="shared" si="2"/>
        <v>9.6000000000000014</v>
      </c>
      <c r="AN7" s="115">
        <f t="shared" si="2"/>
        <v>9.6000000000000014</v>
      </c>
      <c r="AO7" s="211">
        <f t="shared" ref="AO7:AO20" si="3">72-0.6*IF(AND($AI$2,AO81),MIN($AL$23,MAX($AL$24,-$AC$23+AO105)),MIN($AL$23,MAX($AL$24,(-$AC$23+MAX(AO105+-$Z$2,MIN(AO105+-$AD$2,ROUND(AVERAGE(AO105,AO105,AO105,AO105,AN104:AO106),0)))))))</f>
        <v>9.6000000000000014</v>
      </c>
    </row>
    <row r="8" spans="1:78" ht="15" customHeight="1">
      <c r="A8" s="36"/>
      <c r="U8" s="302"/>
      <c r="V8" s="50">
        <v>1000</v>
      </c>
      <c r="W8" s="115">
        <f t="shared" si="1"/>
        <v>1.2000000000000028</v>
      </c>
      <c r="X8" s="115">
        <f t="shared" ref="X8:AN8" si="4">72-0.6*IF(AND($AI$2,X82),MIN($AL$23,MAX($AL$24,-$AC$23+X106)),MIN($AL$23,MAX($AL$24,(-$AC$23+MAX(X106+-$Z$2,MIN(X106+-$AD$2,ROUND(AVERAGE(X106,X106,X106,X106,W105:Y107),0)))))))</f>
        <v>1.2000000000000028</v>
      </c>
      <c r="Y8" s="115">
        <f t="shared" si="4"/>
        <v>1.7999999999999972</v>
      </c>
      <c r="Z8" s="115">
        <f t="shared" si="4"/>
        <v>2.4000000000000057</v>
      </c>
      <c r="AA8" s="115">
        <f t="shared" si="4"/>
        <v>4.7999999999999972</v>
      </c>
      <c r="AB8" s="115">
        <f t="shared" si="4"/>
        <v>6.6000000000000085</v>
      </c>
      <c r="AC8" s="115">
        <f t="shared" si="4"/>
        <v>10.800000000000004</v>
      </c>
      <c r="AD8" s="115">
        <f t="shared" si="4"/>
        <v>15.600000000000001</v>
      </c>
      <c r="AE8" s="115">
        <f t="shared" si="4"/>
        <v>16.800000000000004</v>
      </c>
      <c r="AF8" s="115">
        <f t="shared" si="4"/>
        <v>16.800000000000004</v>
      </c>
      <c r="AG8" s="115">
        <f t="shared" si="4"/>
        <v>16.800000000000004</v>
      </c>
      <c r="AH8" s="115">
        <f t="shared" si="4"/>
        <v>16.800000000000004</v>
      </c>
      <c r="AI8" s="115">
        <f t="shared" si="4"/>
        <v>16.800000000000004</v>
      </c>
      <c r="AJ8" s="115">
        <f t="shared" si="4"/>
        <v>16.800000000000004</v>
      </c>
      <c r="AK8" s="115">
        <f t="shared" si="4"/>
        <v>16.800000000000004</v>
      </c>
      <c r="AL8" s="115">
        <f t="shared" si="4"/>
        <v>16.800000000000004</v>
      </c>
      <c r="AM8" s="115">
        <f t="shared" si="4"/>
        <v>16.800000000000004</v>
      </c>
      <c r="AN8" s="115">
        <f t="shared" si="4"/>
        <v>16.800000000000004</v>
      </c>
      <c r="AO8" s="211">
        <f t="shared" si="3"/>
        <v>17.399999999999999</v>
      </c>
    </row>
    <row r="9" spans="1:78" ht="15" customHeight="1">
      <c r="A9" s="36"/>
      <c r="U9" s="302"/>
      <c r="V9" s="50">
        <v>1250</v>
      </c>
      <c r="W9" s="115">
        <f t="shared" si="1"/>
        <v>3.6000000000000085</v>
      </c>
      <c r="X9" s="115">
        <f t="shared" ref="X9:AN9" si="5">72-0.6*IF(AND($AI$2,X83),MIN($AL$23,MAX($AL$24,-$AC$23+X107)),MIN($AL$23,MAX($AL$24,(-$AC$23+MAX(X107+-$Z$2,MIN(X107+-$AD$2,ROUND(AVERAGE(X107,X107,X107,X107,W106:Y108),0)))))))</f>
        <v>4.2000000000000028</v>
      </c>
      <c r="Y9" s="115">
        <f t="shared" si="5"/>
        <v>6.6000000000000085</v>
      </c>
      <c r="Z9" s="115">
        <f t="shared" si="5"/>
        <v>7.7999999999999972</v>
      </c>
      <c r="AA9" s="115">
        <f t="shared" si="5"/>
        <v>9</v>
      </c>
      <c r="AB9" s="115">
        <f t="shared" si="5"/>
        <v>12</v>
      </c>
      <c r="AC9" s="115">
        <f t="shared" si="5"/>
        <v>15</v>
      </c>
      <c r="AD9" s="115">
        <f t="shared" si="5"/>
        <v>18</v>
      </c>
      <c r="AE9" s="115">
        <f t="shared" si="5"/>
        <v>19.200000000000003</v>
      </c>
      <c r="AF9" s="115">
        <f t="shared" si="5"/>
        <v>19.200000000000003</v>
      </c>
      <c r="AG9" s="115">
        <f t="shared" si="5"/>
        <v>19.200000000000003</v>
      </c>
      <c r="AH9" s="115">
        <f t="shared" si="5"/>
        <v>19.200000000000003</v>
      </c>
      <c r="AI9" s="115">
        <f t="shared" si="5"/>
        <v>19.200000000000003</v>
      </c>
      <c r="AJ9" s="115">
        <f t="shared" si="5"/>
        <v>19.200000000000003</v>
      </c>
      <c r="AK9" s="115">
        <f t="shared" si="5"/>
        <v>19.200000000000003</v>
      </c>
      <c r="AL9" s="115">
        <f t="shared" si="5"/>
        <v>19.200000000000003</v>
      </c>
      <c r="AM9" s="115">
        <f t="shared" si="5"/>
        <v>19.200000000000003</v>
      </c>
      <c r="AN9" s="115">
        <f t="shared" si="5"/>
        <v>19.200000000000003</v>
      </c>
      <c r="AO9" s="211">
        <f t="shared" si="3"/>
        <v>19.200000000000003</v>
      </c>
    </row>
    <row r="10" spans="1:78" ht="15" customHeight="1">
      <c r="A10" s="36"/>
      <c r="U10" s="302"/>
      <c r="V10" s="50">
        <v>1500</v>
      </c>
      <c r="W10" s="115">
        <f t="shared" si="1"/>
        <v>4.7999999999999972</v>
      </c>
      <c r="X10" s="115">
        <f t="shared" ref="X10:AN10" si="6">72-0.6*IF(AND($AI$2,X84),MIN($AL$23,MAX($AL$24,-$AC$23+X108)),MIN($AL$23,MAX($AL$24,(-$AC$23+MAX(X108+-$Z$2,MIN(X108+-$AD$2,ROUND(AVERAGE(X108,X108,X108,X108,W107:Y109),0)))))))</f>
        <v>6</v>
      </c>
      <c r="Y10" s="115">
        <f t="shared" si="6"/>
        <v>9</v>
      </c>
      <c r="Z10" s="115">
        <f t="shared" si="6"/>
        <v>10.800000000000004</v>
      </c>
      <c r="AA10" s="115">
        <f t="shared" si="6"/>
        <v>12</v>
      </c>
      <c r="AB10" s="115">
        <f t="shared" si="6"/>
        <v>15</v>
      </c>
      <c r="AC10" s="115">
        <f t="shared" si="6"/>
        <v>18</v>
      </c>
      <c r="AD10" s="115">
        <f t="shared" si="6"/>
        <v>18.600000000000001</v>
      </c>
      <c r="AE10" s="115">
        <f t="shared" si="6"/>
        <v>19.200000000000003</v>
      </c>
      <c r="AF10" s="115">
        <f t="shared" si="6"/>
        <v>18.600000000000001</v>
      </c>
      <c r="AG10" s="115">
        <f t="shared" si="6"/>
        <v>18.600000000000001</v>
      </c>
      <c r="AH10" s="115">
        <f t="shared" si="6"/>
        <v>18</v>
      </c>
      <c r="AI10" s="115">
        <f t="shared" si="6"/>
        <v>18</v>
      </c>
      <c r="AJ10" s="115">
        <f t="shared" si="6"/>
        <v>18</v>
      </c>
      <c r="AK10" s="115">
        <f t="shared" si="6"/>
        <v>18</v>
      </c>
      <c r="AL10" s="115">
        <f t="shared" si="6"/>
        <v>18</v>
      </c>
      <c r="AM10" s="115">
        <f t="shared" si="6"/>
        <v>18</v>
      </c>
      <c r="AN10" s="115">
        <f t="shared" si="6"/>
        <v>18</v>
      </c>
      <c r="AO10" s="211">
        <f t="shared" si="3"/>
        <v>18</v>
      </c>
    </row>
    <row r="11" spans="1:78" ht="15" customHeight="1" thickBot="1">
      <c r="A11" s="36"/>
      <c r="U11" s="302"/>
      <c r="V11" s="51">
        <v>2000</v>
      </c>
      <c r="W11" s="115">
        <f t="shared" si="1"/>
        <v>6</v>
      </c>
      <c r="X11" s="115">
        <f t="shared" ref="X11:AN11" si="7">72-0.6*IF(AND($AI$2,X85),MIN($AL$23,MAX($AL$24,-$AC$23+X109)),MIN($AL$23,MAX($AL$24,(-$AC$23+MAX(X109+-$Z$2,MIN(X109+-$AD$2,ROUND(AVERAGE(X109,X109,X109,X109,W108:Y110),0)))))))</f>
        <v>7.2000000000000028</v>
      </c>
      <c r="Y11" s="115">
        <f t="shared" si="7"/>
        <v>12</v>
      </c>
      <c r="Z11" s="115">
        <f t="shared" si="7"/>
        <v>13.200000000000003</v>
      </c>
      <c r="AA11" s="115">
        <f t="shared" si="7"/>
        <v>14.400000000000006</v>
      </c>
      <c r="AB11" s="115">
        <f t="shared" si="7"/>
        <v>17.399999999999999</v>
      </c>
      <c r="AC11" s="115">
        <f t="shared" si="7"/>
        <v>18.600000000000001</v>
      </c>
      <c r="AD11" s="115">
        <f t="shared" si="7"/>
        <v>19.200000000000003</v>
      </c>
      <c r="AE11" s="115">
        <f t="shared" si="7"/>
        <v>19.200000000000003</v>
      </c>
      <c r="AF11" s="115">
        <f t="shared" si="7"/>
        <v>18.600000000000001</v>
      </c>
      <c r="AG11" s="115">
        <f t="shared" si="7"/>
        <v>16.200000000000003</v>
      </c>
      <c r="AH11" s="115">
        <f t="shared" si="7"/>
        <v>15.600000000000001</v>
      </c>
      <c r="AI11" s="115">
        <f t="shared" si="7"/>
        <v>15.600000000000001</v>
      </c>
      <c r="AJ11" s="115">
        <f t="shared" si="7"/>
        <v>15.600000000000001</v>
      </c>
      <c r="AK11" s="115">
        <f t="shared" si="7"/>
        <v>15.600000000000001</v>
      </c>
      <c r="AL11" s="115">
        <f t="shared" si="7"/>
        <v>15.600000000000001</v>
      </c>
      <c r="AM11" s="115">
        <f t="shared" si="7"/>
        <v>15.600000000000001</v>
      </c>
      <c r="AN11" s="115">
        <f t="shared" si="7"/>
        <v>15.600000000000001</v>
      </c>
      <c r="AO11" s="211">
        <f t="shared" si="3"/>
        <v>15.600000000000001</v>
      </c>
    </row>
    <row r="12" spans="1:78" ht="15" customHeight="1" thickBot="1">
      <c r="A12" s="36"/>
      <c r="U12" s="302"/>
      <c r="V12" s="51">
        <v>2500</v>
      </c>
      <c r="W12" s="115">
        <f t="shared" si="1"/>
        <v>8.4000000000000057</v>
      </c>
      <c r="X12" s="115">
        <f t="shared" ref="X12:AN12" si="8">72-0.6*IF(AND($AI$2,X86),MIN($AL$23,MAX($AL$24,-$AC$23+X110)),MIN($AL$23,MAX($AL$24,(-$AC$23+MAX(X110+-$Z$2,MIN(X110+-$AD$2,ROUND(AVERAGE(X110,X110,X110,X110,W109:Y111),0)))))))</f>
        <v>10.200000000000003</v>
      </c>
      <c r="Y12" s="115">
        <f t="shared" si="8"/>
        <v>13.200000000000003</v>
      </c>
      <c r="Z12" s="115">
        <f t="shared" si="8"/>
        <v>14.400000000000006</v>
      </c>
      <c r="AA12" s="115">
        <f t="shared" si="8"/>
        <v>15.600000000000001</v>
      </c>
      <c r="AB12" s="115">
        <f t="shared" si="8"/>
        <v>18</v>
      </c>
      <c r="AC12" s="115">
        <f t="shared" si="8"/>
        <v>19.200000000000003</v>
      </c>
      <c r="AD12" s="115">
        <f t="shared" si="8"/>
        <v>19.200000000000003</v>
      </c>
      <c r="AE12" s="115">
        <f t="shared" si="8"/>
        <v>18.600000000000001</v>
      </c>
      <c r="AF12" s="115">
        <f t="shared" si="8"/>
        <v>18</v>
      </c>
      <c r="AG12" s="115">
        <f t="shared" si="8"/>
        <v>15</v>
      </c>
      <c r="AH12" s="115">
        <f t="shared" si="8"/>
        <v>14.400000000000006</v>
      </c>
      <c r="AI12" s="115">
        <f t="shared" si="8"/>
        <v>14.400000000000006</v>
      </c>
      <c r="AJ12" s="115">
        <f t="shared" si="8"/>
        <v>14.400000000000006</v>
      </c>
      <c r="AK12" s="115">
        <f t="shared" si="8"/>
        <v>14.400000000000006</v>
      </c>
      <c r="AL12" s="115">
        <f t="shared" si="8"/>
        <v>14.400000000000006</v>
      </c>
      <c r="AM12" s="115">
        <f t="shared" si="8"/>
        <v>14.400000000000006</v>
      </c>
      <c r="AN12" s="115">
        <f t="shared" si="8"/>
        <v>14.400000000000006</v>
      </c>
      <c r="AO12" s="211">
        <f t="shared" si="3"/>
        <v>14.400000000000006</v>
      </c>
      <c r="BG12" s="338" t="s">
        <v>6</v>
      </c>
      <c r="BH12" s="339"/>
      <c r="BI12" s="339"/>
      <c r="BJ12" s="339"/>
      <c r="BK12" s="339"/>
      <c r="BL12" s="339"/>
      <c r="BM12" s="339"/>
      <c r="BN12" s="339"/>
      <c r="BO12" s="339"/>
      <c r="BP12" s="339"/>
      <c r="BQ12" s="339"/>
      <c r="BR12" s="339"/>
      <c r="BS12" s="339"/>
      <c r="BT12" s="339"/>
      <c r="BU12" s="339"/>
      <c r="BV12" s="339"/>
      <c r="BW12" s="339"/>
      <c r="BX12" s="339"/>
      <c r="BY12" s="339"/>
      <c r="BZ12" s="340"/>
    </row>
    <row r="13" spans="1:78" ht="15" customHeight="1" thickBot="1">
      <c r="A13" s="36"/>
      <c r="U13" s="302"/>
      <c r="V13" s="51">
        <v>3000</v>
      </c>
      <c r="W13" s="115">
        <f t="shared" si="1"/>
        <v>9.6000000000000014</v>
      </c>
      <c r="X13" s="115">
        <f t="shared" ref="X13:AN13" si="9">72-0.6*IF(AND($AI$2,X87),MIN($AL$23,MAX($AL$24,-$AC$23+X111)),MIN($AL$23,MAX($AL$24,(-$AC$23+MAX(X111+-$Z$2,MIN(X111+-$AD$2,ROUND(AVERAGE(X111,X111,X111,X111,W110:Y112),0)))))))</f>
        <v>10.200000000000003</v>
      </c>
      <c r="Y13" s="115">
        <f t="shared" si="9"/>
        <v>12.600000000000001</v>
      </c>
      <c r="Z13" s="115">
        <f t="shared" si="9"/>
        <v>13.800000000000004</v>
      </c>
      <c r="AA13" s="115">
        <f t="shared" si="9"/>
        <v>15.600000000000001</v>
      </c>
      <c r="AB13" s="115">
        <f t="shared" si="9"/>
        <v>18.600000000000001</v>
      </c>
      <c r="AC13" s="115">
        <f t="shared" si="9"/>
        <v>19.200000000000003</v>
      </c>
      <c r="AD13" s="115">
        <f t="shared" si="9"/>
        <v>19.200000000000003</v>
      </c>
      <c r="AE13" s="115">
        <f t="shared" si="9"/>
        <v>18.600000000000001</v>
      </c>
      <c r="AF13" s="115">
        <f t="shared" si="9"/>
        <v>16.800000000000004</v>
      </c>
      <c r="AG13" s="115">
        <f t="shared" si="9"/>
        <v>15.600000000000001</v>
      </c>
      <c r="AH13" s="115">
        <f t="shared" si="9"/>
        <v>15.600000000000001</v>
      </c>
      <c r="AI13" s="115">
        <f t="shared" si="9"/>
        <v>15.600000000000001</v>
      </c>
      <c r="AJ13" s="115">
        <f t="shared" si="9"/>
        <v>15.600000000000001</v>
      </c>
      <c r="AK13" s="115">
        <f t="shared" si="9"/>
        <v>15.600000000000001</v>
      </c>
      <c r="AL13" s="115">
        <f t="shared" si="9"/>
        <v>15.600000000000001</v>
      </c>
      <c r="AM13" s="115">
        <f t="shared" si="9"/>
        <v>15.600000000000001</v>
      </c>
      <c r="AN13" s="115">
        <f t="shared" si="9"/>
        <v>15.600000000000001</v>
      </c>
      <c r="AO13" s="211">
        <f t="shared" si="3"/>
        <v>15.600000000000001</v>
      </c>
      <c r="BG13" s="191"/>
      <c r="BH13" s="42">
        <v>10</v>
      </c>
      <c r="BI13" s="43">
        <v>20</v>
      </c>
      <c r="BJ13" s="43">
        <v>30</v>
      </c>
      <c r="BK13" s="43">
        <v>40</v>
      </c>
      <c r="BL13" s="44">
        <v>50</v>
      </c>
      <c r="BM13" s="44">
        <v>60</v>
      </c>
      <c r="BN13" s="44">
        <v>70</v>
      </c>
      <c r="BO13" s="44">
        <v>80</v>
      </c>
      <c r="BP13" s="44">
        <v>90</v>
      </c>
      <c r="BQ13" s="44">
        <v>100</v>
      </c>
      <c r="BR13" s="44">
        <v>120</v>
      </c>
      <c r="BS13" s="44">
        <v>140</v>
      </c>
      <c r="BT13" s="45">
        <v>160</v>
      </c>
      <c r="BU13" s="45">
        <v>180</v>
      </c>
      <c r="BV13" s="45">
        <v>200</v>
      </c>
      <c r="BW13" s="45">
        <v>220</v>
      </c>
      <c r="BX13" s="45">
        <v>240</v>
      </c>
      <c r="BY13" s="46">
        <v>260</v>
      </c>
      <c r="BZ13" s="46">
        <v>280</v>
      </c>
    </row>
    <row r="14" spans="1:78" ht="15" customHeight="1">
      <c r="A14" s="36"/>
      <c r="U14" s="302"/>
      <c r="V14" s="51">
        <v>3500</v>
      </c>
      <c r="W14" s="115">
        <f t="shared" si="1"/>
        <v>9.6000000000000014</v>
      </c>
      <c r="X14" s="115">
        <f t="shared" ref="X14:AN14" si="10">72-0.6*IF(AND($AI$2,X88),MIN($AL$23,MAX($AL$24,-$AC$23+X112)),MIN($AL$23,MAX($AL$24,(-$AC$23+MAX(X112+-$Z$2,MIN(X112+-$AD$2,ROUND(AVERAGE(X112,X112,X112,X112,W111:Y113),0)))))))</f>
        <v>10.200000000000003</v>
      </c>
      <c r="Y14" s="115">
        <f t="shared" si="10"/>
        <v>10.200000000000003</v>
      </c>
      <c r="Z14" s="115">
        <f t="shared" si="10"/>
        <v>12</v>
      </c>
      <c r="AA14" s="115">
        <f t="shared" si="10"/>
        <v>16.800000000000004</v>
      </c>
      <c r="AB14" s="115">
        <f t="shared" si="10"/>
        <v>18.600000000000001</v>
      </c>
      <c r="AC14" s="115">
        <f t="shared" si="10"/>
        <v>19.200000000000003</v>
      </c>
      <c r="AD14" s="115">
        <f t="shared" si="10"/>
        <v>19.200000000000003</v>
      </c>
      <c r="AE14" s="115">
        <f t="shared" si="10"/>
        <v>18.600000000000001</v>
      </c>
      <c r="AF14" s="115">
        <f t="shared" si="10"/>
        <v>18</v>
      </c>
      <c r="AG14" s="115">
        <f t="shared" si="10"/>
        <v>16.800000000000004</v>
      </c>
      <c r="AH14" s="115">
        <f t="shared" si="10"/>
        <v>16.800000000000004</v>
      </c>
      <c r="AI14" s="115">
        <f t="shared" si="10"/>
        <v>16.800000000000004</v>
      </c>
      <c r="AJ14" s="115">
        <f t="shared" si="10"/>
        <v>18</v>
      </c>
      <c r="AK14" s="115">
        <f t="shared" si="10"/>
        <v>18.600000000000001</v>
      </c>
      <c r="AL14" s="115">
        <f t="shared" si="10"/>
        <v>19.200000000000003</v>
      </c>
      <c r="AM14" s="115">
        <f t="shared" si="10"/>
        <v>19.200000000000003</v>
      </c>
      <c r="AN14" s="115">
        <f t="shared" si="10"/>
        <v>19.200000000000003</v>
      </c>
      <c r="AO14" s="211">
        <f t="shared" si="3"/>
        <v>19.200000000000003</v>
      </c>
      <c r="BG14" s="47">
        <v>500</v>
      </c>
      <c r="BH14" s="115">
        <f t="shared" ref="BH14:BQ20" si="11">W6-W30</f>
        <v>0</v>
      </c>
      <c r="BI14" s="115">
        <f t="shared" si="11"/>
        <v>0</v>
      </c>
      <c r="BJ14" s="115">
        <f t="shared" si="11"/>
        <v>0</v>
      </c>
      <c r="BK14" s="115">
        <f t="shared" si="11"/>
        <v>0</v>
      </c>
      <c r="BL14" s="115">
        <f t="shared" si="11"/>
        <v>0</v>
      </c>
      <c r="BM14" s="115">
        <f t="shared" si="11"/>
        <v>1.2000000000000028</v>
      </c>
      <c r="BN14" s="115">
        <f t="shared" si="11"/>
        <v>1.7999999999999972</v>
      </c>
      <c r="BO14" s="115">
        <f t="shared" si="11"/>
        <v>3</v>
      </c>
      <c r="BP14" s="115">
        <f t="shared" si="11"/>
        <v>3</v>
      </c>
      <c r="BQ14" s="115">
        <f t="shared" si="11"/>
        <v>3</v>
      </c>
      <c r="BR14" s="115">
        <f t="shared" ref="BR14:BZ20" si="12">AG6-AG30</f>
        <v>3</v>
      </c>
      <c r="BS14" s="115">
        <f t="shared" si="12"/>
        <v>3</v>
      </c>
      <c r="BT14" s="115">
        <f t="shared" si="12"/>
        <v>3</v>
      </c>
      <c r="BU14" s="115">
        <f t="shared" si="12"/>
        <v>3</v>
      </c>
      <c r="BV14" s="115">
        <f t="shared" si="12"/>
        <v>3</v>
      </c>
      <c r="BW14" s="115">
        <f t="shared" si="12"/>
        <v>3</v>
      </c>
      <c r="BX14" s="115">
        <f t="shared" si="12"/>
        <v>3</v>
      </c>
      <c r="BY14" s="115">
        <f t="shared" si="12"/>
        <v>3</v>
      </c>
      <c r="BZ14" s="211">
        <f t="shared" si="12"/>
        <v>2.4000000000000057</v>
      </c>
    </row>
    <row r="15" spans="1:78" ht="15" customHeight="1">
      <c r="A15" s="36"/>
      <c r="U15" s="302"/>
      <c r="V15" s="51">
        <v>4000</v>
      </c>
      <c r="W15" s="115">
        <f t="shared" si="1"/>
        <v>9.6000000000000014</v>
      </c>
      <c r="X15" s="115">
        <f t="shared" ref="X15:AN15" si="13">72-0.6*IF(AND($AI$2,X89),MIN($AL$23,MAX($AL$24,-$AC$23+X113)),MIN($AL$23,MAX($AL$24,(-$AC$23+MAX(X113+-$Z$2,MIN(X113+-$AD$2,ROUND(AVERAGE(X113,X113,X113,X113,W112:Y114),0)))))))</f>
        <v>9.6000000000000014</v>
      </c>
      <c r="Y15" s="115">
        <f t="shared" si="13"/>
        <v>9.6000000000000014</v>
      </c>
      <c r="Z15" s="115">
        <f t="shared" si="13"/>
        <v>11.400000000000006</v>
      </c>
      <c r="AA15" s="115">
        <f t="shared" si="13"/>
        <v>16.200000000000003</v>
      </c>
      <c r="AB15" s="115">
        <f t="shared" si="13"/>
        <v>18.600000000000001</v>
      </c>
      <c r="AC15" s="115">
        <f t="shared" si="13"/>
        <v>18.600000000000001</v>
      </c>
      <c r="AD15" s="115">
        <f t="shared" si="13"/>
        <v>19.200000000000003</v>
      </c>
      <c r="AE15" s="115">
        <f t="shared" si="13"/>
        <v>18.600000000000001</v>
      </c>
      <c r="AF15" s="115">
        <f t="shared" si="13"/>
        <v>16.200000000000003</v>
      </c>
      <c r="AG15" s="115">
        <f t="shared" si="13"/>
        <v>15.600000000000001</v>
      </c>
      <c r="AH15" s="115">
        <f t="shared" si="13"/>
        <v>15.600000000000001</v>
      </c>
      <c r="AI15" s="115">
        <f t="shared" si="13"/>
        <v>15.600000000000001</v>
      </c>
      <c r="AJ15" s="115">
        <f t="shared" si="13"/>
        <v>16.800000000000004</v>
      </c>
      <c r="AK15" s="115">
        <f t="shared" si="13"/>
        <v>21.6</v>
      </c>
      <c r="AL15" s="115">
        <f t="shared" si="13"/>
        <v>22.800000000000004</v>
      </c>
      <c r="AM15" s="115">
        <f t="shared" si="13"/>
        <v>22.800000000000004</v>
      </c>
      <c r="AN15" s="115">
        <f t="shared" si="13"/>
        <v>22.800000000000004</v>
      </c>
      <c r="AO15" s="211">
        <f t="shared" si="3"/>
        <v>22.800000000000004</v>
      </c>
      <c r="BG15" s="49">
        <v>750</v>
      </c>
      <c r="BH15" s="115">
        <f t="shared" si="11"/>
        <v>0</v>
      </c>
      <c r="BI15" s="115">
        <f t="shared" si="11"/>
        <v>0</v>
      </c>
      <c r="BJ15" s="115">
        <f t="shared" si="11"/>
        <v>0</v>
      </c>
      <c r="BK15" s="115">
        <f t="shared" si="11"/>
        <v>0.60000000000000853</v>
      </c>
      <c r="BL15" s="115">
        <f t="shared" si="11"/>
        <v>0.60000000000000853</v>
      </c>
      <c r="BM15" s="115">
        <f t="shared" si="11"/>
        <v>2.4000000000000057</v>
      </c>
      <c r="BN15" s="115">
        <f t="shared" si="11"/>
        <v>-2.3999999999999968</v>
      </c>
      <c r="BO15" s="115">
        <f t="shared" si="11"/>
        <v>-0.59999999999999964</v>
      </c>
      <c r="BP15" s="115">
        <f t="shared" si="11"/>
        <v>0</v>
      </c>
      <c r="BQ15" s="115">
        <f t="shared" si="11"/>
        <v>0</v>
      </c>
      <c r="BR15" s="115">
        <f t="shared" si="12"/>
        <v>0</v>
      </c>
      <c r="BS15" s="115">
        <f t="shared" si="12"/>
        <v>0</v>
      </c>
      <c r="BT15" s="115">
        <f t="shared" si="12"/>
        <v>0</v>
      </c>
      <c r="BU15" s="115">
        <f t="shared" si="12"/>
        <v>0</v>
      </c>
      <c r="BV15" s="115">
        <f t="shared" si="12"/>
        <v>0</v>
      </c>
      <c r="BW15" s="115">
        <f t="shared" si="12"/>
        <v>0</v>
      </c>
      <c r="BX15" s="115">
        <f t="shared" si="12"/>
        <v>0</v>
      </c>
      <c r="BY15" s="115">
        <f t="shared" si="12"/>
        <v>0</v>
      </c>
      <c r="BZ15" s="211">
        <f t="shared" si="12"/>
        <v>0</v>
      </c>
    </row>
    <row r="16" spans="1:78" ht="15" customHeight="1">
      <c r="A16" s="36"/>
      <c r="U16" s="302"/>
      <c r="V16" s="51">
        <v>4500</v>
      </c>
      <c r="W16" s="115">
        <f t="shared" si="1"/>
        <v>8.4000000000000057</v>
      </c>
      <c r="X16" s="115">
        <f t="shared" ref="X16:AN16" si="14">72-0.6*IF(AND($AI$2,X90),MIN($AL$23,MAX($AL$24,-$AC$23+X114)),MIN($AL$23,MAX($AL$24,(-$AC$23+MAX(X114+-$Z$2,MIN(X114+-$AD$2,ROUND(AVERAGE(X114,X114,X114,X114,W113:Y115),0)))))))</f>
        <v>8.4000000000000057</v>
      </c>
      <c r="Y16" s="115">
        <f t="shared" si="14"/>
        <v>8.4000000000000057</v>
      </c>
      <c r="Z16" s="115">
        <f t="shared" si="14"/>
        <v>9.6000000000000014</v>
      </c>
      <c r="AA16" s="115">
        <f t="shared" si="14"/>
        <v>13.200000000000003</v>
      </c>
      <c r="AB16" s="115">
        <f t="shared" si="14"/>
        <v>15</v>
      </c>
      <c r="AC16" s="115">
        <f t="shared" si="14"/>
        <v>18</v>
      </c>
      <c r="AD16" s="115">
        <f t="shared" si="14"/>
        <v>18</v>
      </c>
      <c r="AE16" s="115">
        <f t="shared" si="14"/>
        <v>17.399999999999999</v>
      </c>
      <c r="AF16" s="115">
        <f t="shared" si="14"/>
        <v>15</v>
      </c>
      <c r="AG16" s="115">
        <f t="shared" si="14"/>
        <v>14.400000000000006</v>
      </c>
      <c r="AH16" s="115">
        <f t="shared" si="14"/>
        <v>14.400000000000006</v>
      </c>
      <c r="AI16" s="115">
        <f t="shared" si="14"/>
        <v>14.400000000000006</v>
      </c>
      <c r="AJ16" s="115">
        <f t="shared" si="14"/>
        <v>16.800000000000004</v>
      </c>
      <c r="AK16" s="115">
        <f t="shared" si="14"/>
        <v>21.6</v>
      </c>
      <c r="AL16" s="115">
        <f t="shared" si="14"/>
        <v>24</v>
      </c>
      <c r="AM16" s="115">
        <f t="shared" si="14"/>
        <v>24</v>
      </c>
      <c r="AN16" s="115">
        <f t="shared" si="14"/>
        <v>24</v>
      </c>
      <c r="AO16" s="211">
        <f t="shared" si="3"/>
        <v>24</v>
      </c>
      <c r="BG16" s="50">
        <v>1000</v>
      </c>
      <c r="BH16" s="115">
        <f t="shared" si="11"/>
        <v>1.2000000000000028</v>
      </c>
      <c r="BI16" s="115">
        <f t="shared" si="11"/>
        <v>1.2000000000000028</v>
      </c>
      <c r="BJ16" s="115">
        <f t="shared" si="11"/>
        <v>1.7999999999999972</v>
      </c>
      <c r="BK16" s="115">
        <f t="shared" si="11"/>
        <v>2.4000000000000057</v>
      </c>
      <c r="BL16" s="115">
        <f t="shared" si="11"/>
        <v>0</v>
      </c>
      <c r="BM16" s="115">
        <f t="shared" si="11"/>
        <v>1.8000000000000087</v>
      </c>
      <c r="BN16" s="115">
        <f t="shared" si="11"/>
        <v>1.2000000000000046</v>
      </c>
      <c r="BO16" s="115">
        <f t="shared" si="11"/>
        <v>-3.5999999999999979</v>
      </c>
      <c r="BP16" s="115">
        <f t="shared" si="11"/>
        <v>-2.399999999999995</v>
      </c>
      <c r="BQ16" s="115">
        <f t="shared" si="11"/>
        <v>-2.399999999999995</v>
      </c>
      <c r="BR16" s="115">
        <f t="shared" si="12"/>
        <v>-2.399999999999995</v>
      </c>
      <c r="BS16" s="115">
        <f t="shared" si="12"/>
        <v>-2.399999999999995</v>
      </c>
      <c r="BT16" s="115">
        <f t="shared" si="12"/>
        <v>-2.399999999999995</v>
      </c>
      <c r="BU16" s="115">
        <f t="shared" si="12"/>
        <v>-2.399999999999995</v>
      </c>
      <c r="BV16" s="115">
        <f t="shared" si="12"/>
        <v>-2.399999999999995</v>
      </c>
      <c r="BW16" s="115">
        <f t="shared" si="12"/>
        <v>-2.399999999999995</v>
      </c>
      <c r="BX16" s="115">
        <f t="shared" si="12"/>
        <v>-2.399999999999995</v>
      </c>
      <c r="BY16" s="115">
        <f t="shared" si="12"/>
        <v>-2.399999999999995</v>
      </c>
      <c r="BZ16" s="211">
        <f t="shared" si="12"/>
        <v>-1.8000000000000007</v>
      </c>
    </row>
    <row r="17" spans="1:78" ht="15" customHeight="1">
      <c r="A17" s="36"/>
      <c r="U17" s="302"/>
      <c r="V17" s="51">
        <v>5000</v>
      </c>
      <c r="W17" s="115">
        <f t="shared" si="1"/>
        <v>6</v>
      </c>
      <c r="X17" s="115">
        <f t="shared" ref="X17:AN17" si="15">72-0.6*IF(AND($AI$2,X91),MIN($AL$23,MAX($AL$24,-$AC$23+X115)),MIN($AL$23,MAX($AL$24,(-$AC$23+MAX(X115+-$Z$2,MIN(X115+-$AD$2,ROUND(AVERAGE(X115,X115,X115,X115,W114:Y116),0)))))))</f>
        <v>6</v>
      </c>
      <c r="Y17" s="115">
        <f t="shared" si="15"/>
        <v>6</v>
      </c>
      <c r="Z17" s="115">
        <f t="shared" si="15"/>
        <v>6</v>
      </c>
      <c r="AA17" s="115">
        <f t="shared" si="15"/>
        <v>7.7999999999999972</v>
      </c>
      <c r="AB17" s="115">
        <f t="shared" si="15"/>
        <v>12.600000000000001</v>
      </c>
      <c r="AC17" s="115">
        <f t="shared" si="15"/>
        <v>13.800000000000004</v>
      </c>
      <c r="AD17" s="115">
        <f t="shared" si="15"/>
        <v>14.400000000000006</v>
      </c>
      <c r="AE17" s="115">
        <f t="shared" si="15"/>
        <v>13.800000000000004</v>
      </c>
      <c r="AF17" s="115">
        <f t="shared" si="15"/>
        <v>13.800000000000004</v>
      </c>
      <c r="AG17" s="115">
        <f t="shared" si="15"/>
        <v>13.200000000000003</v>
      </c>
      <c r="AH17" s="115">
        <f t="shared" si="15"/>
        <v>13.200000000000003</v>
      </c>
      <c r="AI17" s="115">
        <f t="shared" si="15"/>
        <v>13.800000000000004</v>
      </c>
      <c r="AJ17" s="115">
        <f t="shared" si="15"/>
        <v>15.600000000000001</v>
      </c>
      <c r="AK17" s="115">
        <f t="shared" si="15"/>
        <v>21</v>
      </c>
      <c r="AL17" s="115">
        <f t="shared" si="15"/>
        <v>22.800000000000004</v>
      </c>
      <c r="AM17" s="115">
        <f t="shared" si="15"/>
        <v>22.800000000000004</v>
      </c>
      <c r="AN17" s="115">
        <f t="shared" si="15"/>
        <v>22.800000000000004</v>
      </c>
      <c r="AO17" s="211">
        <f t="shared" si="3"/>
        <v>22.800000000000004</v>
      </c>
      <c r="BG17" s="50">
        <v>1250</v>
      </c>
      <c r="BH17" s="115">
        <f t="shared" si="11"/>
        <v>-1.1999999999999913</v>
      </c>
      <c r="BI17" s="115">
        <f t="shared" si="11"/>
        <v>-0.59999999999999698</v>
      </c>
      <c r="BJ17" s="115">
        <f t="shared" si="11"/>
        <v>-2.9999999999999911</v>
      </c>
      <c r="BK17" s="115">
        <f t="shared" si="11"/>
        <v>-1.8000000000000025</v>
      </c>
      <c r="BL17" s="115">
        <f t="shared" si="11"/>
        <v>-0.59999999999999964</v>
      </c>
      <c r="BM17" s="115">
        <f t="shared" si="11"/>
        <v>-2.4000000000000004</v>
      </c>
      <c r="BN17" s="115">
        <f t="shared" si="11"/>
        <v>0.59999999999999964</v>
      </c>
      <c r="BO17" s="115">
        <f t="shared" si="11"/>
        <v>-1.1999999999999993</v>
      </c>
      <c r="BP17" s="115">
        <f t="shared" si="11"/>
        <v>0</v>
      </c>
      <c r="BQ17" s="115">
        <f t="shared" si="11"/>
        <v>0</v>
      </c>
      <c r="BR17" s="115">
        <f t="shared" si="12"/>
        <v>0</v>
      </c>
      <c r="BS17" s="115">
        <f t="shared" si="12"/>
        <v>0</v>
      </c>
      <c r="BT17" s="115">
        <f t="shared" si="12"/>
        <v>0</v>
      </c>
      <c r="BU17" s="115">
        <f t="shared" si="12"/>
        <v>0</v>
      </c>
      <c r="BV17" s="115">
        <f t="shared" si="12"/>
        <v>0</v>
      </c>
      <c r="BW17" s="115">
        <f t="shared" si="12"/>
        <v>0</v>
      </c>
      <c r="BX17" s="115">
        <f t="shared" si="12"/>
        <v>0</v>
      </c>
      <c r="BY17" s="115">
        <f t="shared" si="12"/>
        <v>0</v>
      </c>
      <c r="BZ17" s="211">
        <f t="shared" si="12"/>
        <v>0</v>
      </c>
    </row>
    <row r="18" spans="1:78" ht="15" customHeight="1">
      <c r="A18" s="36"/>
      <c r="U18" s="302"/>
      <c r="V18" s="51">
        <v>5500</v>
      </c>
      <c r="W18" s="115">
        <f t="shared" si="1"/>
        <v>4.7999999999999972</v>
      </c>
      <c r="X18" s="115">
        <f t="shared" ref="X18:AN18" si="16">72-0.6*IF(AND($AI$2,X92),MIN($AL$23,MAX($AL$24,-$AC$23+X116)),MIN($AL$23,MAX($AL$24,(-$AC$23+MAX(X116+-$Z$2,MIN(X116+-$AD$2,ROUND(AVERAGE(X116,X116,X116,X116,W115:Y117),0)))))))</f>
        <v>4.7999999999999972</v>
      </c>
      <c r="Y18" s="115">
        <f t="shared" si="16"/>
        <v>4.7999999999999972</v>
      </c>
      <c r="Z18" s="115">
        <f t="shared" si="16"/>
        <v>4.7999999999999972</v>
      </c>
      <c r="AA18" s="115">
        <f t="shared" si="16"/>
        <v>6</v>
      </c>
      <c r="AB18" s="115">
        <f t="shared" si="16"/>
        <v>8.4000000000000057</v>
      </c>
      <c r="AC18" s="115">
        <f t="shared" si="16"/>
        <v>9.6000000000000014</v>
      </c>
      <c r="AD18" s="115">
        <f t="shared" si="16"/>
        <v>9.6000000000000014</v>
      </c>
      <c r="AE18" s="115">
        <f t="shared" si="16"/>
        <v>9.6000000000000014</v>
      </c>
      <c r="AF18" s="115">
        <f t="shared" si="16"/>
        <v>10.200000000000003</v>
      </c>
      <c r="AG18" s="115">
        <f t="shared" si="16"/>
        <v>10.200000000000003</v>
      </c>
      <c r="AH18" s="115">
        <f t="shared" si="16"/>
        <v>10.800000000000004</v>
      </c>
      <c r="AI18" s="115">
        <f t="shared" si="16"/>
        <v>10.800000000000004</v>
      </c>
      <c r="AJ18" s="115">
        <f t="shared" si="16"/>
        <v>13.800000000000004</v>
      </c>
      <c r="AK18" s="115">
        <f t="shared" si="16"/>
        <v>16.800000000000004</v>
      </c>
      <c r="AL18" s="115">
        <f t="shared" si="16"/>
        <v>18</v>
      </c>
      <c r="AM18" s="115">
        <f t="shared" si="16"/>
        <v>18</v>
      </c>
      <c r="AN18" s="115">
        <f t="shared" si="16"/>
        <v>18</v>
      </c>
      <c r="AO18" s="211">
        <f t="shared" si="3"/>
        <v>18</v>
      </c>
      <c r="BG18" s="50">
        <v>1500</v>
      </c>
      <c r="BH18" s="115">
        <f t="shared" si="11"/>
        <v>0</v>
      </c>
      <c r="BI18" s="115">
        <f t="shared" si="11"/>
        <v>1.2000000000000002</v>
      </c>
      <c r="BJ18" s="115">
        <f t="shared" si="11"/>
        <v>-0.59999999999999964</v>
      </c>
      <c r="BK18" s="115">
        <f t="shared" si="11"/>
        <v>1.2000000000000046</v>
      </c>
      <c r="BL18" s="115">
        <f t="shared" si="11"/>
        <v>2.4000000000000004</v>
      </c>
      <c r="BM18" s="115">
        <f t="shared" si="11"/>
        <v>0.59999999999999964</v>
      </c>
      <c r="BN18" s="115">
        <f t="shared" si="11"/>
        <v>-1.1999999999999993</v>
      </c>
      <c r="BO18" s="115">
        <f t="shared" si="11"/>
        <v>-0.59999999999999787</v>
      </c>
      <c r="BP18" s="115">
        <f t="shared" si="11"/>
        <v>0</v>
      </c>
      <c r="BQ18" s="115">
        <f t="shared" si="11"/>
        <v>-0.59999999999999787</v>
      </c>
      <c r="BR18" s="115">
        <f t="shared" si="12"/>
        <v>-0.59999999999999787</v>
      </c>
      <c r="BS18" s="115">
        <f t="shared" si="12"/>
        <v>-1.1999999999999993</v>
      </c>
      <c r="BT18" s="115">
        <f t="shared" si="12"/>
        <v>-1.1999999999999993</v>
      </c>
      <c r="BU18" s="115">
        <f t="shared" si="12"/>
        <v>-1.1999999999999993</v>
      </c>
      <c r="BV18" s="115">
        <f t="shared" si="12"/>
        <v>-1.1999999999999993</v>
      </c>
      <c r="BW18" s="115">
        <f t="shared" si="12"/>
        <v>-1.1999999999999993</v>
      </c>
      <c r="BX18" s="115">
        <f t="shared" si="12"/>
        <v>-1.1999999999999993</v>
      </c>
      <c r="BY18" s="115">
        <f t="shared" si="12"/>
        <v>-1.1999999999999993</v>
      </c>
      <c r="BZ18" s="211">
        <f t="shared" si="12"/>
        <v>-1.1999999999999993</v>
      </c>
    </row>
    <row r="19" spans="1:78" ht="15" customHeight="1">
      <c r="A19" s="36"/>
      <c r="U19" s="302"/>
      <c r="V19" s="51">
        <v>6000</v>
      </c>
      <c r="W19" s="115">
        <f t="shared" si="1"/>
        <v>3.6000000000000085</v>
      </c>
      <c r="X19" s="115">
        <f t="shared" ref="X19:AN19" si="17">72-0.6*IF(AND($AI$2,X93),MIN($AL$23,MAX($AL$24,-$AC$23+X117)),MIN($AL$23,MAX($AL$24,(-$AC$23+MAX(X117+-$Z$2,MIN(X117+-$AD$2,ROUND(AVERAGE(X117,X117,X117,X117,W116:Y118),0)))))))</f>
        <v>3.6000000000000085</v>
      </c>
      <c r="Y19" s="115">
        <f t="shared" si="17"/>
        <v>3.6000000000000085</v>
      </c>
      <c r="Z19" s="115">
        <f t="shared" si="17"/>
        <v>3.6000000000000085</v>
      </c>
      <c r="AA19" s="115">
        <f t="shared" si="17"/>
        <v>4.2000000000000028</v>
      </c>
      <c r="AB19" s="115">
        <f t="shared" si="17"/>
        <v>4.2000000000000028</v>
      </c>
      <c r="AC19" s="115">
        <f t="shared" si="17"/>
        <v>4.7999999999999972</v>
      </c>
      <c r="AD19" s="115">
        <f t="shared" si="17"/>
        <v>4.7999999999999972</v>
      </c>
      <c r="AE19" s="115">
        <f t="shared" si="17"/>
        <v>4.7999999999999972</v>
      </c>
      <c r="AF19" s="115">
        <f t="shared" si="17"/>
        <v>5.4000000000000057</v>
      </c>
      <c r="AG19" s="115">
        <f t="shared" si="17"/>
        <v>7.2000000000000028</v>
      </c>
      <c r="AH19" s="115">
        <f t="shared" si="17"/>
        <v>7.2000000000000028</v>
      </c>
      <c r="AI19" s="115">
        <f t="shared" si="17"/>
        <v>7.7999999999999972</v>
      </c>
      <c r="AJ19" s="115">
        <f t="shared" si="17"/>
        <v>8.4000000000000057</v>
      </c>
      <c r="AK19" s="115">
        <f t="shared" si="17"/>
        <v>9</v>
      </c>
      <c r="AL19" s="115">
        <f t="shared" si="17"/>
        <v>9.6000000000000014</v>
      </c>
      <c r="AM19" s="115">
        <f t="shared" si="17"/>
        <v>9.6000000000000014</v>
      </c>
      <c r="AN19" s="115">
        <f t="shared" si="17"/>
        <v>9.6000000000000014</v>
      </c>
      <c r="AO19" s="211">
        <f t="shared" si="3"/>
        <v>9.6000000000000014</v>
      </c>
      <c r="BG19" s="51">
        <v>2000</v>
      </c>
      <c r="BH19" s="115">
        <f t="shared" si="11"/>
        <v>1.2000000000000002</v>
      </c>
      <c r="BI19" s="115">
        <f t="shared" si="11"/>
        <v>2.400000000000003</v>
      </c>
      <c r="BJ19" s="115">
        <f t="shared" si="11"/>
        <v>-2.4000000000000004</v>
      </c>
      <c r="BK19" s="115">
        <f t="shared" si="11"/>
        <v>-1.1999999999999975</v>
      </c>
      <c r="BL19" s="115">
        <f t="shared" si="11"/>
        <v>0</v>
      </c>
      <c r="BM19" s="115">
        <f t="shared" si="11"/>
        <v>-1.8000000000000007</v>
      </c>
      <c r="BN19" s="115">
        <f t="shared" si="11"/>
        <v>-0.59999999999999787</v>
      </c>
      <c r="BO19" s="115">
        <f t="shared" si="11"/>
        <v>0</v>
      </c>
      <c r="BP19" s="115">
        <f t="shared" si="11"/>
        <v>0</v>
      </c>
      <c r="BQ19" s="115">
        <f t="shared" si="11"/>
        <v>-0.59999999999999787</v>
      </c>
      <c r="BR19" s="115">
        <f t="shared" si="12"/>
        <v>1.8000000000000025</v>
      </c>
      <c r="BS19" s="115">
        <f t="shared" si="12"/>
        <v>1.2000000000000011</v>
      </c>
      <c r="BT19" s="115">
        <f t="shared" si="12"/>
        <v>1.2000000000000011</v>
      </c>
      <c r="BU19" s="115">
        <f t="shared" si="12"/>
        <v>1.2000000000000011</v>
      </c>
      <c r="BV19" s="115">
        <f t="shared" si="12"/>
        <v>1.2000000000000011</v>
      </c>
      <c r="BW19" s="115">
        <f t="shared" si="12"/>
        <v>1.2000000000000011</v>
      </c>
      <c r="BX19" s="115">
        <f t="shared" si="12"/>
        <v>1.2000000000000011</v>
      </c>
      <c r="BY19" s="115">
        <f t="shared" si="12"/>
        <v>1.2000000000000011</v>
      </c>
      <c r="BZ19" s="211">
        <f t="shared" si="12"/>
        <v>1.2000000000000011</v>
      </c>
    </row>
    <row r="20" spans="1:78" ht="15" customHeight="1">
      <c r="A20" s="36"/>
      <c r="U20" s="302"/>
      <c r="V20" s="111">
        <v>6500</v>
      </c>
      <c r="W20" s="115">
        <f t="shared" si="1"/>
        <v>1.2000000000000028</v>
      </c>
      <c r="X20" s="115">
        <f t="shared" ref="X20:AN20" si="18">72-0.6*IF(AND($AI$2,X94),MIN($AL$23,MAX($AL$24,-$AC$23+X118)),MIN($AL$23,MAX($AL$24,(-$AC$23+MAX(X118+-$Z$2,MIN(X118+-$AD$2,ROUND(AVERAGE(X118,X118,X118,X118,W117:Y119),0)))))))</f>
        <v>1.2000000000000028</v>
      </c>
      <c r="Y20" s="115">
        <f t="shared" si="18"/>
        <v>1.2000000000000028</v>
      </c>
      <c r="Z20" s="115">
        <f t="shared" si="18"/>
        <v>1.2000000000000028</v>
      </c>
      <c r="AA20" s="115">
        <f t="shared" si="18"/>
        <v>1.2000000000000028</v>
      </c>
      <c r="AB20" s="115">
        <f t="shared" si="18"/>
        <v>1.2000000000000028</v>
      </c>
      <c r="AC20" s="115">
        <f t="shared" si="18"/>
        <v>1.2000000000000028</v>
      </c>
      <c r="AD20" s="115">
        <f t="shared" si="18"/>
        <v>1.2000000000000028</v>
      </c>
      <c r="AE20" s="115">
        <f t="shared" si="18"/>
        <v>1.2000000000000028</v>
      </c>
      <c r="AF20" s="115">
        <f t="shared" si="18"/>
        <v>1.2000000000000028</v>
      </c>
      <c r="AG20" s="115">
        <f t="shared" si="18"/>
        <v>1.7999999999999972</v>
      </c>
      <c r="AH20" s="115">
        <f t="shared" si="18"/>
        <v>2.4000000000000057</v>
      </c>
      <c r="AI20" s="115">
        <f t="shared" si="18"/>
        <v>2.4000000000000057</v>
      </c>
      <c r="AJ20" s="115">
        <f t="shared" si="18"/>
        <v>2.4000000000000057</v>
      </c>
      <c r="AK20" s="115">
        <f t="shared" si="18"/>
        <v>2.4000000000000057</v>
      </c>
      <c r="AL20" s="115">
        <f t="shared" si="18"/>
        <v>2.4000000000000057</v>
      </c>
      <c r="AM20" s="115">
        <f t="shared" si="18"/>
        <v>2.4000000000000057</v>
      </c>
      <c r="AN20" s="115">
        <f t="shared" si="18"/>
        <v>2.4000000000000057</v>
      </c>
      <c r="AO20" s="211">
        <f t="shared" si="3"/>
        <v>1.7999999999999972</v>
      </c>
      <c r="BG20" s="51">
        <v>2500</v>
      </c>
      <c r="BH20" s="115">
        <f t="shared" si="11"/>
        <v>-1.199999999999994</v>
      </c>
      <c r="BI20" s="115">
        <f t="shared" si="11"/>
        <v>0.6000000000000032</v>
      </c>
      <c r="BJ20" s="115">
        <f t="shared" si="11"/>
        <v>-1.1999999999999975</v>
      </c>
      <c r="BK20" s="115">
        <f t="shared" si="11"/>
        <v>0</v>
      </c>
      <c r="BL20" s="115">
        <f t="shared" si="11"/>
        <v>1.2000000000000011</v>
      </c>
      <c r="BM20" s="115">
        <f t="shared" si="11"/>
        <v>-1.1999999999999993</v>
      </c>
      <c r="BN20" s="115">
        <f t="shared" si="11"/>
        <v>0</v>
      </c>
      <c r="BO20" s="115">
        <f t="shared" si="11"/>
        <v>0</v>
      </c>
      <c r="BP20" s="115">
        <f t="shared" si="11"/>
        <v>-0.59999999999999787</v>
      </c>
      <c r="BQ20" s="115">
        <f t="shared" si="11"/>
        <v>-1.1999999999999993</v>
      </c>
      <c r="BR20" s="115">
        <f t="shared" si="12"/>
        <v>0.59999999999999964</v>
      </c>
      <c r="BS20" s="115">
        <f t="shared" si="12"/>
        <v>0</v>
      </c>
      <c r="BT20" s="115">
        <f t="shared" si="12"/>
        <v>0</v>
      </c>
      <c r="BU20" s="115">
        <f t="shared" si="12"/>
        <v>0</v>
      </c>
      <c r="BV20" s="115">
        <f t="shared" si="12"/>
        <v>0</v>
      </c>
      <c r="BW20" s="115">
        <f t="shared" si="12"/>
        <v>0</v>
      </c>
      <c r="BX20" s="115">
        <f t="shared" si="12"/>
        <v>0</v>
      </c>
      <c r="BY20" s="115">
        <f t="shared" si="12"/>
        <v>0</v>
      </c>
      <c r="BZ20" s="211">
        <f t="shared" si="12"/>
        <v>0</v>
      </c>
    </row>
    <row r="21" spans="1:78" ht="15" customHeight="1" thickBot="1">
      <c r="A21" s="36"/>
      <c r="U21" s="303"/>
      <c r="V21" s="57">
        <v>7000</v>
      </c>
      <c r="W21" s="212">
        <f>72-0.6*IF(AND($AI$2,W95),MIN($AL$23,MAX($AL$24,-$AC$23+W119)),MIN($AL$23,MAX($AL$24,(-$AC$23+MAX(W119+-$Z$2,MIN(W119+-$AD$2,ROUND(AVERAGE(W119,W119,W119,W119,W118:X119),0)))))))</f>
        <v>0</v>
      </c>
      <c r="X21" s="212">
        <f t="shared" ref="X21:AN21" si="19">72-0.6*IF(AND($AI$2,X95),MIN($AL$23,MAX($AL$24,-$AC$23+X119)),MIN($AL$23,MAX($AL$24,(-$AC$23+MAX(X119+-$Z$2,MIN(X119+-$AD$2,ROUND(AVERAGE(X119,X119,X119,X119,W118:Y119),0)))))))</f>
        <v>0</v>
      </c>
      <c r="Y21" s="212">
        <f t="shared" si="19"/>
        <v>0</v>
      </c>
      <c r="Z21" s="212">
        <f t="shared" si="19"/>
        <v>0</v>
      </c>
      <c r="AA21" s="212">
        <f t="shared" si="19"/>
        <v>0</v>
      </c>
      <c r="AB21" s="212">
        <f t="shared" si="19"/>
        <v>0</v>
      </c>
      <c r="AC21" s="212">
        <f t="shared" si="19"/>
        <v>0</v>
      </c>
      <c r="AD21" s="212">
        <f t="shared" si="19"/>
        <v>0</v>
      </c>
      <c r="AE21" s="212">
        <f t="shared" si="19"/>
        <v>0</v>
      </c>
      <c r="AF21" s="212">
        <f t="shared" si="19"/>
        <v>0</v>
      </c>
      <c r="AG21" s="212">
        <f t="shared" si="19"/>
        <v>0</v>
      </c>
      <c r="AH21" s="212">
        <f t="shared" si="19"/>
        <v>0</v>
      </c>
      <c r="AI21" s="212">
        <f t="shared" si="19"/>
        <v>0</v>
      </c>
      <c r="AJ21" s="212">
        <f t="shared" si="19"/>
        <v>0</v>
      </c>
      <c r="AK21" s="212">
        <f t="shared" si="19"/>
        <v>0</v>
      </c>
      <c r="AL21" s="212">
        <f t="shared" si="19"/>
        <v>0</v>
      </c>
      <c r="AM21" s="212">
        <f t="shared" si="19"/>
        <v>0</v>
      </c>
      <c r="AN21" s="212">
        <f t="shared" si="19"/>
        <v>0</v>
      </c>
      <c r="AO21" s="213">
        <f>72-0.6*IF(AND($AI$2,AO95),MIN($AL$23,MAX($AL$24,-$AC$23+AO119)),MIN($AL$23,MAX($AL$24,(-$AC$23+MAX(AO119+-$Z$2,MIN(AO119+-$AD$2,ROUND(AVERAGE(AO119,AO119,AO119,AO119,AN118:AO119),0)))))))</f>
        <v>0</v>
      </c>
      <c r="BG21" s="51">
        <v>3000</v>
      </c>
      <c r="BH21" s="115">
        <f t="shared" ref="BH21:BQ28" si="20">W12-W36</f>
        <v>-1.199999999999994</v>
      </c>
      <c r="BI21" s="115">
        <f t="shared" si="20"/>
        <v>0.6000000000000032</v>
      </c>
      <c r="BJ21" s="115">
        <f t="shared" si="20"/>
        <v>-1.1999999999999975</v>
      </c>
      <c r="BK21" s="115">
        <f t="shared" si="20"/>
        <v>0</v>
      </c>
      <c r="BL21" s="115">
        <f t="shared" si="20"/>
        <v>1.2000000000000011</v>
      </c>
      <c r="BM21" s="115">
        <f t="shared" si="20"/>
        <v>-1.1999999999999993</v>
      </c>
      <c r="BN21" s="115">
        <f t="shared" si="20"/>
        <v>0</v>
      </c>
      <c r="BO21" s="115">
        <f t="shared" si="20"/>
        <v>0</v>
      </c>
      <c r="BP21" s="115">
        <f t="shared" si="20"/>
        <v>-0.59999999999999787</v>
      </c>
      <c r="BQ21" s="115">
        <f t="shared" si="20"/>
        <v>-1.1999999999999993</v>
      </c>
      <c r="BR21" s="115">
        <f t="shared" ref="BR21:BZ28" si="21">AG12-AG36</f>
        <v>0.59999999999999964</v>
      </c>
      <c r="BS21" s="115">
        <f t="shared" si="21"/>
        <v>0</v>
      </c>
      <c r="BT21" s="115">
        <f t="shared" si="21"/>
        <v>0</v>
      </c>
      <c r="BU21" s="115">
        <f t="shared" si="21"/>
        <v>0</v>
      </c>
      <c r="BV21" s="115">
        <f t="shared" si="21"/>
        <v>0</v>
      </c>
      <c r="BW21" s="115">
        <f t="shared" si="21"/>
        <v>0</v>
      </c>
      <c r="BX21" s="115">
        <f t="shared" si="21"/>
        <v>0</v>
      </c>
      <c r="BY21" s="115">
        <f t="shared" si="21"/>
        <v>0</v>
      </c>
      <c r="BZ21" s="211">
        <f t="shared" si="21"/>
        <v>0</v>
      </c>
    </row>
    <row r="22" spans="1:78" ht="15" customHeight="1" thickBot="1">
      <c r="BG22" s="51">
        <v>3500</v>
      </c>
      <c r="BH22" s="115">
        <f t="shared" si="20"/>
        <v>0</v>
      </c>
      <c r="BI22" s="115">
        <f t="shared" si="20"/>
        <v>0.6000000000000032</v>
      </c>
      <c r="BJ22" s="115">
        <f t="shared" si="20"/>
        <v>-1.7999999999999989</v>
      </c>
      <c r="BK22" s="115">
        <f t="shared" si="20"/>
        <v>-0.59999999999999609</v>
      </c>
      <c r="BL22" s="115">
        <f t="shared" si="20"/>
        <v>1.2000000000000011</v>
      </c>
      <c r="BM22" s="115">
        <f t="shared" si="20"/>
        <v>-0.59999999999999787</v>
      </c>
      <c r="BN22" s="115">
        <f t="shared" si="20"/>
        <v>0</v>
      </c>
      <c r="BO22" s="115">
        <f t="shared" si="20"/>
        <v>0</v>
      </c>
      <c r="BP22" s="115">
        <f t="shared" si="20"/>
        <v>-0.59999999999999787</v>
      </c>
      <c r="BQ22" s="115">
        <f t="shared" si="20"/>
        <v>2.4000000000000039</v>
      </c>
      <c r="BR22" s="115">
        <f t="shared" si="21"/>
        <v>1.2000000000000011</v>
      </c>
      <c r="BS22" s="115">
        <f t="shared" si="21"/>
        <v>1.2000000000000011</v>
      </c>
      <c r="BT22" s="115">
        <f t="shared" si="21"/>
        <v>1.2000000000000011</v>
      </c>
      <c r="BU22" s="115">
        <f t="shared" si="21"/>
        <v>1.2000000000000011</v>
      </c>
      <c r="BV22" s="115">
        <f t="shared" si="21"/>
        <v>1.2000000000000011</v>
      </c>
      <c r="BW22" s="115">
        <f t="shared" si="21"/>
        <v>1.2000000000000011</v>
      </c>
      <c r="BX22" s="115">
        <f t="shared" si="21"/>
        <v>1.2000000000000011</v>
      </c>
      <c r="BY22" s="115">
        <f t="shared" si="21"/>
        <v>1.2000000000000011</v>
      </c>
      <c r="BZ22" s="211">
        <f t="shared" si="21"/>
        <v>1.2000000000000011</v>
      </c>
    </row>
    <row r="23" spans="1:78" s="41" customFormat="1" ht="18" customHeight="1" thickBot="1">
      <c r="W23" s="322" t="s">
        <v>20</v>
      </c>
      <c r="X23" s="323"/>
      <c r="Y23" s="324"/>
      <c r="Z23" s="407" t="s">
        <v>56</v>
      </c>
      <c r="AA23" s="408"/>
      <c r="AB23" s="413">
        <v>120</v>
      </c>
      <c r="AC23" s="392">
        <f>AB23-120</f>
        <v>0</v>
      </c>
      <c r="AG23" s="334" t="s">
        <v>16</v>
      </c>
      <c r="AH23" s="335" t="s">
        <v>16</v>
      </c>
      <c r="AI23" s="329" t="s">
        <v>52</v>
      </c>
      <c r="AJ23" s="330"/>
      <c r="AK23" s="395"/>
      <c r="AL23" s="79">
        <v>122</v>
      </c>
      <c r="AM23" s="396">
        <f>72-0.6*AL23</f>
        <v>-1.2000000000000028</v>
      </c>
      <c r="AN23" s="397"/>
      <c r="AO23" s="102"/>
      <c r="AQ23" s="58"/>
      <c r="AR23" s="58"/>
      <c r="BG23" s="51">
        <v>4000</v>
      </c>
      <c r="BH23" s="115">
        <f t="shared" si="20"/>
        <v>0</v>
      </c>
      <c r="BI23" s="115">
        <f t="shared" si="20"/>
        <v>0.6000000000000032</v>
      </c>
      <c r="BJ23" s="115">
        <f t="shared" si="20"/>
        <v>0.6000000000000032</v>
      </c>
      <c r="BK23" s="115">
        <f t="shared" si="20"/>
        <v>2.4000000000000004</v>
      </c>
      <c r="BL23" s="115">
        <f t="shared" si="20"/>
        <v>-2.399999999999995</v>
      </c>
      <c r="BM23" s="115">
        <f t="shared" si="20"/>
        <v>-0.59999999999999787</v>
      </c>
      <c r="BN23" s="115">
        <f t="shared" si="20"/>
        <v>0</v>
      </c>
      <c r="BO23" s="115">
        <f t="shared" si="20"/>
        <v>0</v>
      </c>
      <c r="BP23" s="115">
        <f t="shared" si="20"/>
        <v>-0.59999999999999787</v>
      </c>
      <c r="BQ23" s="115">
        <f t="shared" si="20"/>
        <v>-1.1999999999999993</v>
      </c>
      <c r="BR23" s="115">
        <f t="shared" si="21"/>
        <v>-2.399999999999995</v>
      </c>
      <c r="BS23" s="115">
        <f t="shared" si="21"/>
        <v>-2.399999999999995</v>
      </c>
      <c r="BT23" s="115">
        <f t="shared" si="21"/>
        <v>-2.399999999999995</v>
      </c>
      <c r="BU23" s="115">
        <f t="shared" si="21"/>
        <v>-1.1999999999999993</v>
      </c>
      <c r="BV23" s="115">
        <f t="shared" si="21"/>
        <v>-0.59999999999999787</v>
      </c>
      <c r="BW23" s="115">
        <f t="shared" si="21"/>
        <v>0</v>
      </c>
      <c r="BX23" s="115">
        <f t="shared" si="21"/>
        <v>0</v>
      </c>
      <c r="BY23" s="115">
        <f t="shared" si="21"/>
        <v>0</v>
      </c>
      <c r="BZ23" s="211">
        <f t="shared" si="21"/>
        <v>0</v>
      </c>
    </row>
    <row r="24" spans="1:78" s="41" customFormat="1" ht="18" customHeight="1" thickBot="1">
      <c r="V24" s="112"/>
      <c r="W24" s="310"/>
      <c r="X24" s="311"/>
      <c r="Y24" s="312"/>
      <c r="Z24" s="400" t="s">
        <v>55</v>
      </c>
      <c r="AA24" s="401"/>
      <c r="AB24" s="414"/>
      <c r="AC24" s="393"/>
      <c r="AG24" s="341" t="s">
        <v>15</v>
      </c>
      <c r="AH24" s="398"/>
      <c r="AI24" s="329" t="s">
        <v>51</v>
      </c>
      <c r="AJ24" s="330"/>
      <c r="AK24" s="395"/>
      <c r="AL24" s="79">
        <v>72</v>
      </c>
      <c r="AM24" s="396">
        <f>72-0.6*AL24</f>
        <v>28.800000000000004</v>
      </c>
      <c r="AN24" s="397"/>
      <c r="AO24" s="102"/>
      <c r="AQ24" s="59"/>
      <c r="AR24" s="59"/>
      <c r="BG24" s="51">
        <v>4500</v>
      </c>
      <c r="BH24" s="115">
        <f t="shared" si="20"/>
        <v>0</v>
      </c>
      <c r="BI24" s="115">
        <f t="shared" si="20"/>
        <v>0</v>
      </c>
      <c r="BJ24" s="115">
        <f t="shared" si="20"/>
        <v>0</v>
      </c>
      <c r="BK24" s="115">
        <f t="shared" si="20"/>
        <v>1.800000000000006</v>
      </c>
      <c r="BL24" s="115">
        <f t="shared" si="20"/>
        <v>-2.9999999999999964</v>
      </c>
      <c r="BM24" s="115">
        <f t="shared" si="20"/>
        <v>-0.59999999999999787</v>
      </c>
      <c r="BN24" s="115">
        <f t="shared" si="20"/>
        <v>-0.59999999999999787</v>
      </c>
      <c r="BO24" s="115">
        <f t="shared" si="20"/>
        <v>0</v>
      </c>
      <c r="BP24" s="115">
        <f t="shared" si="20"/>
        <v>-0.59999999999999787</v>
      </c>
      <c r="BQ24" s="115">
        <f t="shared" si="20"/>
        <v>1.8000000000000025</v>
      </c>
      <c r="BR24" s="115">
        <f t="shared" si="21"/>
        <v>1.2000000000000011</v>
      </c>
      <c r="BS24" s="115">
        <f t="shared" si="21"/>
        <v>1.2000000000000011</v>
      </c>
      <c r="BT24" s="115">
        <f t="shared" si="21"/>
        <v>1.2000000000000011</v>
      </c>
      <c r="BU24" s="115">
        <f t="shared" si="21"/>
        <v>2.4000000000000039</v>
      </c>
      <c r="BV24" s="115">
        <f t="shared" si="21"/>
        <v>-2.3999999999999986</v>
      </c>
      <c r="BW24" s="115">
        <f t="shared" si="21"/>
        <v>-1.1999999999999957</v>
      </c>
      <c r="BX24" s="115">
        <f t="shared" si="21"/>
        <v>-1.1999999999999957</v>
      </c>
      <c r="BY24" s="115">
        <f t="shared" si="21"/>
        <v>-1.1999999999999957</v>
      </c>
      <c r="BZ24" s="211">
        <f t="shared" si="21"/>
        <v>-1.1999999999999957</v>
      </c>
    </row>
    <row r="25" spans="1:78" s="41" customFormat="1" ht="18" customHeight="1">
      <c r="V25" s="112"/>
      <c r="W25" s="112"/>
      <c r="X25" s="112"/>
      <c r="Y25" s="113"/>
      <c r="Z25" s="113"/>
      <c r="AA25" s="114"/>
      <c r="AB25" s="59"/>
      <c r="AC25" s="59"/>
      <c r="AP25" s="59"/>
      <c r="AQ25" s="59"/>
      <c r="AR25" s="59"/>
      <c r="BG25" s="51">
        <v>5000</v>
      </c>
      <c r="BH25" s="115">
        <f t="shared" si="20"/>
        <v>-1.199999999999994</v>
      </c>
      <c r="BI25" s="115">
        <f t="shared" si="20"/>
        <v>-1.199999999999994</v>
      </c>
      <c r="BJ25" s="115">
        <f t="shared" si="20"/>
        <v>-1.199999999999994</v>
      </c>
      <c r="BK25" s="115">
        <f t="shared" si="20"/>
        <v>0</v>
      </c>
      <c r="BL25" s="115">
        <f t="shared" si="20"/>
        <v>-1.1999999999999975</v>
      </c>
      <c r="BM25" s="115">
        <f t="shared" si="20"/>
        <v>0.59999999999999964</v>
      </c>
      <c r="BN25" s="115">
        <f t="shared" si="20"/>
        <v>-1.1999999999999993</v>
      </c>
      <c r="BO25" s="115">
        <f t="shared" si="20"/>
        <v>-1.1999999999999993</v>
      </c>
      <c r="BP25" s="115">
        <f t="shared" si="20"/>
        <v>-1.8000000000000007</v>
      </c>
      <c r="BQ25" s="115">
        <f t="shared" si="20"/>
        <v>0.59999999999999964</v>
      </c>
      <c r="BR25" s="115">
        <f t="shared" si="21"/>
        <v>0</v>
      </c>
      <c r="BS25" s="115">
        <f t="shared" si="21"/>
        <v>0</v>
      </c>
      <c r="BT25" s="115">
        <f t="shared" si="21"/>
        <v>0</v>
      </c>
      <c r="BU25" s="115">
        <f t="shared" si="21"/>
        <v>2.4000000000000039</v>
      </c>
      <c r="BV25" s="115">
        <f t="shared" si="21"/>
        <v>-2.3999999999999986</v>
      </c>
      <c r="BW25" s="115">
        <f t="shared" si="21"/>
        <v>0</v>
      </c>
      <c r="BX25" s="115">
        <f t="shared" si="21"/>
        <v>0</v>
      </c>
      <c r="BY25" s="115">
        <f t="shared" si="21"/>
        <v>0</v>
      </c>
      <c r="BZ25" s="211">
        <f t="shared" si="21"/>
        <v>0</v>
      </c>
    </row>
    <row r="26" spans="1:78" s="41" customFormat="1" ht="15" customHeight="1" thickBot="1">
      <c r="U26" s="404"/>
      <c r="V26" s="404"/>
      <c r="W26" s="404"/>
      <c r="X26" s="404"/>
      <c r="Y26" s="404"/>
      <c r="Z26" s="404"/>
      <c r="AA26" s="404"/>
      <c r="AP26" s="60"/>
      <c r="AQ26" s="60"/>
      <c r="AR26" s="60"/>
      <c r="BG26" s="51">
        <v>5500</v>
      </c>
      <c r="BH26" s="115">
        <f t="shared" si="20"/>
        <v>1.2000000000000002</v>
      </c>
      <c r="BI26" s="115">
        <f t="shared" si="20"/>
        <v>1.2000000000000002</v>
      </c>
      <c r="BJ26" s="115">
        <f t="shared" si="20"/>
        <v>1.2000000000000002</v>
      </c>
      <c r="BK26" s="115">
        <f t="shared" si="20"/>
        <v>1.2000000000000002</v>
      </c>
      <c r="BL26" s="115">
        <f t="shared" si="20"/>
        <v>2.9999999999999973</v>
      </c>
      <c r="BM26" s="115">
        <f t="shared" si="20"/>
        <v>-1.7999999999999989</v>
      </c>
      <c r="BN26" s="115">
        <f t="shared" si="20"/>
        <v>-0.59999999999999609</v>
      </c>
      <c r="BO26" s="115">
        <f t="shared" si="20"/>
        <v>0</v>
      </c>
      <c r="BP26" s="115">
        <f t="shared" si="20"/>
        <v>-0.59999999999999609</v>
      </c>
      <c r="BQ26" s="115">
        <f t="shared" si="20"/>
        <v>-0.59999999999999609</v>
      </c>
      <c r="BR26" s="115">
        <f t="shared" si="21"/>
        <v>-1.1999999999999975</v>
      </c>
      <c r="BS26" s="115">
        <f t="shared" si="21"/>
        <v>-1.1999999999999975</v>
      </c>
      <c r="BT26" s="115">
        <f t="shared" si="21"/>
        <v>-0.59999999999999609</v>
      </c>
      <c r="BU26" s="115">
        <f t="shared" si="21"/>
        <v>1.2000000000000011</v>
      </c>
      <c r="BV26" s="115">
        <f t="shared" si="21"/>
        <v>-3</v>
      </c>
      <c r="BW26" s="115">
        <f t="shared" si="21"/>
        <v>-1.1999999999999957</v>
      </c>
      <c r="BX26" s="115">
        <f t="shared" si="21"/>
        <v>-1.1999999999999957</v>
      </c>
      <c r="BY26" s="115">
        <f t="shared" si="21"/>
        <v>-1.1999999999999957</v>
      </c>
      <c r="BZ26" s="211">
        <f t="shared" si="21"/>
        <v>-1.1999999999999957</v>
      </c>
    </row>
    <row r="27" spans="1:78" s="41" customFormat="1" ht="15" customHeight="1" thickBot="1">
      <c r="U27" s="278">
        <v>2</v>
      </c>
      <c r="V27" s="279"/>
      <c r="W27" s="304" t="s">
        <v>58</v>
      </c>
      <c r="X27" s="305"/>
      <c r="Y27" s="305"/>
      <c r="Z27" s="305"/>
      <c r="AA27" s="305"/>
      <c r="AB27" s="305"/>
      <c r="AC27" s="305"/>
      <c r="AD27" s="305"/>
      <c r="AE27" s="305"/>
      <c r="AF27" s="305"/>
      <c r="AG27" s="305"/>
      <c r="AH27" s="305"/>
      <c r="AI27" s="305"/>
      <c r="AJ27" s="305"/>
      <c r="AK27" s="305"/>
      <c r="AL27" s="305"/>
      <c r="AM27" s="305"/>
      <c r="AN27" s="305"/>
      <c r="AO27" s="306"/>
      <c r="AP27" s="60"/>
      <c r="AQ27" s="60"/>
      <c r="AR27" s="60"/>
      <c r="BG27" s="51">
        <v>6000</v>
      </c>
      <c r="BH27" s="115">
        <f t="shared" si="20"/>
        <v>0</v>
      </c>
      <c r="BI27" s="115">
        <f t="shared" si="20"/>
        <v>0</v>
      </c>
      <c r="BJ27" s="115">
        <f t="shared" si="20"/>
        <v>0</v>
      </c>
      <c r="BK27" s="115">
        <f t="shared" si="20"/>
        <v>0</v>
      </c>
      <c r="BL27" s="115">
        <f t="shared" si="20"/>
        <v>1.2000000000000002</v>
      </c>
      <c r="BM27" s="115">
        <f t="shared" si="20"/>
        <v>-1.199999999999994</v>
      </c>
      <c r="BN27" s="115">
        <f t="shared" si="20"/>
        <v>0</v>
      </c>
      <c r="BO27" s="115">
        <f t="shared" si="20"/>
        <v>0</v>
      </c>
      <c r="BP27" s="115">
        <f t="shared" si="20"/>
        <v>0</v>
      </c>
      <c r="BQ27" s="115">
        <f t="shared" si="20"/>
        <v>0.6000000000000032</v>
      </c>
      <c r="BR27" s="115">
        <f t="shared" si="21"/>
        <v>0.6000000000000032</v>
      </c>
      <c r="BS27" s="115">
        <f t="shared" si="21"/>
        <v>1.2000000000000046</v>
      </c>
      <c r="BT27" s="115">
        <f t="shared" si="21"/>
        <v>1.2000000000000046</v>
      </c>
      <c r="BU27" s="115">
        <f t="shared" si="21"/>
        <v>-0.59999999999999609</v>
      </c>
      <c r="BV27" s="115">
        <f t="shared" si="21"/>
        <v>-2.399999999999995</v>
      </c>
      <c r="BW27" s="115">
        <f t="shared" si="21"/>
        <v>-1.1999999999999993</v>
      </c>
      <c r="BX27" s="115">
        <f t="shared" si="21"/>
        <v>-1.1999999999999993</v>
      </c>
      <c r="BY27" s="115">
        <f t="shared" si="21"/>
        <v>-1.1999999999999993</v>
      </c>
      <c r="BZ27" s="211">
        <f t="shared" si="21"/>
        <v>-1.1999999999999993</v>
      </c>
    </row>
    <row r="28" spans="1:78" s="41" customFormat="1" ht="15" customHeight="1" thickBot="1">
      <c r="U28" s="280"/>
      <c r="V28" s="281"/>
      <c r="W28" s="284" t="s">
        <v>0</v>
      </c>
      <c r="X28" s="360"/>
      <c r="Y28" s="360"/>
      <c r="Z28" s="360"/>
      <c r="AA28" s="360"/>
      <c r="AB28" s="360"/>
      <c r="AC28" s="360"/>
      <c r="AD28" s="360"/>
      <c r="AE28" s="360"/>
      <c r="AF28" s="360"/>
      <c r="AG28" s="360"/>
      <c r="AH28" s="360"/>
      <c r="AI28" s="360"/>
      <c r="AJ28" s="360"/>
      <c r="AK28" s="360"/>
      <c r="AL28" s="360"/>
      <c r="AM28" s="360"/>
      <c r="AN28" s="360"/>
      <c r="AO28" s="361"/>
      <c r="AP28" s="60"/>
      <c r="AQ28" s="60"/>
      <c r="AR28" s="60"/>
      <c r="BG28" s="111">
        <v>6500</v>
      </c>
      <c r="BH28" s="115">
        <f t="shared" si="20"/>
        <v>-1.1999999999999913</v>
      </c>
      <c r="BI28" s="115">
        <f t="shared" si="20"/>
        <v>-1.1999999999999913</v>
      </c>
      <c r="BJ28" s="115">
        <f t="shared" si="20"/>
        <v>-1.1999999999999913</v>
      </c>
      <c r="BK28" s="115">
        <f t="shared" si="20"/>
        <v>-1.1999999999999913</v>
      </c>
      <c r="BL28" s="115">
        <f t="shared" si="20"/>
        <v>-0.59999999999999698</v>
      </c>
      <c r="BM28" s="115">
        <f t="shared" si="20"/>
        <v>-0.59999999999999698</v>
      </c>
      <c r="BN28" s="115">
        <f t="shared" si="20"/>
        <v>0</v>
      </c>
      <c r="BO28" s="115">
        <f t="shared" si="20"/>
        <v>0</v>
      </c>
      <c r="BP28" s="115">
        <f t="shared" si="20"/>
        <v>0</v>
      </c>
      <c r="BQ28" s="115">
        <f t="shared" si="20"/>
        <v>0.60000000000000586</v>
      </c>
      <c r="BR28" s="115">
        <f t="shared" si="21"/>
        <v>-2.3999999999999968</v>
      </c>
      <c r="BS28" s="115">
        <f t="shared" si="21"/>
        <v>-2.3999999999999968</v>
      </c>
      <c r="BT28" s="115">
        <f t="shared" si="21"/>
        <v>-1.8000000000000025</v>
      </c>
      <c r="BU28" s="115">
        <f t="shared" si="21"/>
        <v>-1.199999999999994</v>
      </c>
      <c r="BV28" s="115">
        <f t="shared" si="21"/>
        <v>-0.59999999999999964</v>
      </c>
      <c r="BW28" s="115">
        <f t="shared" si="21"/>
        <v>0</v>
      </c>
      <c r="BX28" s="115">
        <f t="shared" si="21"/>
        <v>0</v>
      </c>
      <c r="BY28" s="115">
        <f t="shared" si="21"/>
        <v>0</v>
      </c>
      <c r="BZ28" s="211">
        <f t="shared" si="21"/>
        <v>0</v>
      </c>
    </row>
    <row r="29" spans="1:78" s="41" customFormat="1" ht="15" customHeight="1" thickBot="1">
      <c r="U29" s="282"/>
      <c r="V29" s="283"/>
      <c r="W29" s="103">
        <v>0</v>
      </c>
      <c r="X29" s="104">
        <v>10</v>
      </c>
      <c r="Y29" s="104">
        <v>20</v>
      </c>
      <c r="Z29" s="104">
        <v>30</v>
      </c>
      <c r="AA29" s="105">
        <v>40</v>
      </c>
      <c r="AB29" s="105">
        <v>50</v>
      </c>
      <c r="AC29" s="105">
        <v>60</v>
      </c>
      <c r="AD29" s="105">
        <v>70</v>
      </c>
      <c r="AE29" s="105">
        <v>80</v>
      </c>
      <c r="AF29" s="105">
        <v>90</v>
      </c>
      <c r="AG29" s="105">
        <v>100</v>
      </c>
      <c r="AH29" s="105">
        <v>120</v>
      </c>
      <c r="AI29" s="106">
        <v>140</v>
      </c>
      <c r="AJ29" s="106">
        <v>160</v>
      </c>
      <c r="AK29" s="106">
        <v>180</v>
      </c>
      <c r="AL29" s="106">
        <v>200</v>
      </c>
      <c r="AM29" s="106">
        <v>220</v>
      </c>
      <c r="AN29" s="107">
        <v>240</v>
      </c>
      <c r="AO29" s="192">
        <v>260</v>
      </c>
      <c r="AP29" s="60"/>
      <c r="AQ29" s="60"/>
      <c r="AR29" s="60"/>
      <c r="BG29" s="57">
        <v>7000</v>
      </c>
      <c r="BH29" s="212">
        <f t="shared" ref="BH29:BZ29" si="22">W21-W45</f>
        <v>0</v>
      </c>
      <c r="BI29" s="212">
        <f t="shared" si="22"/>
        <v>0</v>
      </c>
      <c r="BJ29" s="212">
        <f t="shared" si="22"/>
        <v>0</v>
      </c>
      <c r="BK29" s="212">
        <f t="shared" si="22"/>
        <v>0</v>
      </c>
      <c r="BL29" s="212">
        <f t="shared" si="22"/>
        <v>0</v>
      </c>
      <c r="BM29" s="212">
        <f t="shared" si="22"/>
        <v>0</v>
      </c>
      <c r="BN29" s="212">
        <f t="shared" si="22"/>
        <v>0</v>
      </c>
      <c r="BO29" s="212">
        <f t="shared" si="22"/>
        <v>0</v>
      </c>
      <c r="BP29" s="212">
        <f t="shared" si="22"/>
        <v>0</v>
      </c>
      <c r="BQ29" s="212">
        <f t="shared" si="22"/>
        <v>0</v>
      </c>
      <c r="BR29" s="212">
        <f t="shared" si="22"/>
        <v>0</v>
      </c>
      <c r="BS29" s="212">
        <f t="shared" si="22"/>
        <v>0</v>
      </c>
      <c r="BT29" s="212">
        <f t="shared" si="22"/>
        <v>0</v>
      </c>
      <c r="BU29" s="212">
        <f t="shared" si="22"/>
        <v>0</v>
      </c>
      <c r="BV29" s="212">
        <f t="shared" si="22"/>
        <v>0</v>
      </c>
      <c r="BW29" s="212">
        <f t="shared" si="22"/>
        <v>0</v>
      </c>
      <c r="BX29" s="212">
        <f t="shared" si="22"/>
        <v>0</v>
      </c>
      <c r="BY29" s="212">
        <f t="shared" si="22"/>
        <v>0</v>
      </c>
      <c r="BZ29" s="213">
        <f t="shared" si="22"/>
        <v>0</v>
      </c>
    </row>
    <row r="30" spans="1:78" s="41" customFormat="1" ht="15" customHeight="1">
      <c r="U30" s="301" t="s">
        <v>1</v>
      </c>
      <c r="V30" s="47">
        <v>500</v>
      </c>
      <c r="W30" s="115">
        <v>0</v>
      </c>
      <c r="X30" s="115">
        <v>0</v>
      </c>
      <c r="Y30" s="115">
        <v>0</v>
      </c>
      <c r="Z30" s="115">
        <v>0</v>
      </c>
      <c r="AA30" s="115">
        <v>0</v>
      </c>
      <c r="AB30" s="115">
        <v>0</v>
      </c>
      <c r="AC30" s="115">
        <v>0</v>
      </c>
      <c r="AD30" s="115">
        <v>0</v>
      </c>
      <c r="AE30" s="115">
        <v>0</v>
      </c>
      <c r="AF30" s="115">
        <v>0</v>
      </c>
      <c r="AG30" s="115">
        <v>0</v>
      </c>
      <c r="AH30" s="115">
        <v>0</v>
      </c>
      <c r="AI30" s="115">
        <v>0</v>
      </c>
      <c r="AJ30" s="115">
        <v>0</v>
      </c>
      <c r="AK30" s="115">
        <v>0</v>
      </c>
      <c r="AL30" s="115">
        <v>0</v>
      </c>
      <c r="AM30" s="115">
        <v>0</v>
      </c>
      <c r="AN30" s="115">
        <v>0</v>
      </c>
      <c r="AO30" s="211">
        <v>0</v>
      </c>
      <c r="AP30" s="60"/>
      <c r="AQ30" s="60"/>
      <c r="AR30" s="60"/>
    </row>
    <row r="31" spans="1:78" s="41" customFormat="1" ht="15" customHeight="1">
      <c r="U31" s="302"/>
      <c r="V31" s="49">
        <v>750</v>
      </c>
      <c r="W31" s="115">
        <v>0</v>
      </c>
      <c r="X31" s="115">
        <v>0</v>
      </c>
      <c r="Y31" s="115">
        <v>0</v>
      </c>
      <c r="Z31" s="115">
        <v>0</v>
      </c>
      <c r="AA31" s="115">
        <v>0</v>
      </c>
      <c r="AB31" s="115">
        <v>0</v>
      </c>
      <c r="AC31" s="115">
        <v>9.6</v>
      </c>
      <c r="AD31" s="115">
        <v>9.6</v>
      </c>
      <c r="AE31" s="115">
        <v>9.6</v>
      </c>
      <c r="AF31" s="115">
        <v>9.6</v>
      </c>
      <c r="AG31" s="115">
        <v>9.6</v>
      </c>
      <c r="AH31" s="115">
        <v>9.6</v>
      </c>
      <c r="AI31" s="115">
        <v>9.6</v>
      </c>
      <c r="AJ31" s="115">
        <v>9.6</v>
      </c>
      <c r="AK31" s="115">
        <v>9.6</v>
      </c>
      <c r="AL31" s="115">
        <v>9.6</v>
      </c>
      <c r="AM31" s="115">
        <v>9.6</v>
      </c>
      <c r="AN31" s="115">
        <v>9.6</v>
      </c>
      <c r="AO31" s="211">
        <v>9.6</v>
      </c>
      <c r="AP31" s="60"/>
      <c r="AQ31" s="60"/>
      <c r="AR31" s="60"/>
    </row>
    <row r="32" spans="1:78" s="41" customFormat="1" ht="15" customHeight="1" thickBot="1">
      <c r="U32" s="302"/>
      <c r="V32" s="50">
        <v>1000</v>
      </c>
      <c r="W32" s="115">
        <v>0</v>
      </c>
      <c r="X32" s="115">
        <v>0</v>
      </c>
      <c r="Y32" s="115">
        <v>0</v>
      </c>
      <c r="Z32" s="115">
        <v>0</v>
      </c>
      <c r="AA32" s="115">
        <v>4.8</v>
      </c>
      <c r="AB32" s="115">
        <v>4.8</v>
      </c>
      <c r="AC32" s="115">
        <v>9.6</v>
      </c>
      <c r="AD32" s="115">
        <v>19.2</v>
      </c>
      <c r="AE32" s="115">
        <v>19.2</v>
      </c>
      <c r="AF32" s="115">
        <v>19.2</v>
      </c>
      <c r="AG32" s="115">
        <v>19.2</v>
      </c>
      <c r="AH32" s="115">
        <v>19.2</v>
      </c>
      <c r="AI32" s="115">
        <v>19.2</v>
      </c>
      <c r="AJ32" s="115">
        <v>19.2</v>
      </c>
      <c r="AK32" s="115">
        <v>19.2</v>
      </c>
      <c r="AL32" s="115">
        <v>19.2</v>
      </c>
      <c r="AM32" s="115">
        <v>19.2</v>
      </c>
      <c r="AN32" s="115">
        <v>19.2</v>
      </c>
      <c r="AO32" s="211">
        <v>19.2</v>
      </c>
      <c r="AP32" s="60"/>
      <c r="AQ32" s="60"/>
      <c r="AR32" s="60"/>
    </row>
    <row r="33" spans="21:78" s="41" customFormat="1" ht="15" customHeight="1" thickBot="1">
      <c r="U33" s="302"/>
      <c r="V33" s="50">
        <v>1250</v>
      </c>
      <c r="W33" s="115">
        <v>4.8</v>
      </c>
      <c r="X33" s="115">
        <v>4.8</v>
      </c>
      <c r="Y33" s="115">
        <v>9.6</v>
      </c>
      <c r="Z33" s="115">
        <v>9.6</v>
      </c>
      <c r="AA33" s="115">
        <v>9.6</v>
      </c>
      <c r="AB33" s="115">
        <v>14.4</v>
      </c>
      <c r="AC33" s="115">
        <v>14.4</v>
      </c>
      <c r="AD33" s="115">
        <v>19.2</v>
      </c>
      <c r="AE33" s="115">
        <v>19.2</v>
      </c>
      <c r="AF33" s="115">
        <v>19.2</v>
      </c>
      <c r="AG33" s="115">
        <v>19.2</v>
      </c>
      <c r="AH33" s="115">
        <v>19.2</v>
      </c>
      <c r="AI33" s="115">
        <v>19.2</v>
      </c>
      <c r="AJ33" s="115">
        <v>19.2</v>
      </c>
      <c r="AK33" s="115">
        <v>19.2</v>
      </c>
      <c r="AL33" s="115">
        <v>19.2</v>
      </c>
      <c r="AM33" s="115">
        <v>19.2</v>
      </c>
      <c r="AN33" s="115">
        <v>19.2</v>
      </c>
      <c r="AO33" s="211">
        <v>19.2</v>
      </c>
      <c r="AP33" s="60"/>
      <c r="AQ33" s="304" t="s">
        <v>58</v>
      </c>
      <c r="AR33" s="305"/>
      <c r="AS33" s="305"/>
      <c r="AT33" s="305"/>
      <c r="AU33" s="305"/>
      <c r="AV33" s="305"/>
      <c r="AW33" s="305"/>
      <c r="AX33" s="305"/>
      <c r="AY33" s="305"/>
      <c r="AZ33" s="305"/>
      <c r="BA33" s="305"/>
      <c r="BB33" s="305"/>
      <c r="BC33" s="305"/>
      <c r="BD33" s="305"/>
      <c r="BE33" s="306"/>
      <c r="BF33" s="116"/>
    </row>
    <row r="34" spans="21:78" s="41" customFormat="1" ht="15" customHeight="1">
      <c r="U34" s="302"/>
      <c r="V34" s="50">
        <v>1500</v>
      </c>
      <c r="W34" s="115">
        <v>4.8</v>
      </c>
      <c r="X34" s="115">
        <v>4.8</v>
      </c>
      <c r="Y34" s="115">
        <v>9.6</v>
      </c>
      <c r="Z34" s="115">
        <v>9.6</v>
      </c>
      <c r="AA34" s="115">
        <v>9.6</v>
      </c>
      <c r="AB34" s="115">
        <v>14.4</v>
      </c>
      <c r="AC34" s="115">
        <v>19.2</v>
      </c>
      <c r="AD34" s="115">
        <v>19.2</v>
      </c>
      <c r="AE34" s="115">
        <v>19.2</v>
      </c>
      <c r="AF34" s="115">
        <v>19.2</v>
      </c>
      <c r="AG34" s="115">
        <v>19.2</v>
      </c>
      <c r="AH34" s="115">
        <v>19.2</v>
      </c>
      <c r="AI34" s="115">
        <v>19.2</v>
      </c>
      <c r="AJ34" s="115">
        <v>19.2</v>
      </c>
      <c r="AK34" s="115">
        <v>19.2</v>
      </c>
      <c r="AL34" s="115">
        <v>19.2</v>
      </c>
      <c r="AM34" s="115">
        <v>19.2</v>
      </c>
      <c r="AN34" s="115">
        <v>19.2</v>
      </c>
      <c r="AO34" s="211">
        <v>19.2</v>
      </c>
      <c r="AP34" s="60"/>
      <c r="AQ34" s="60"/>
      <c r="AR34" s="60"/>
    </row>
    <row r="35" spans="21:78" s="41" customFormat="1" ht="15" customHeight="1">
      <c r="U35" s="302"/>
      <c r="V35" s="51">
        <v>2000</v>
      </c>
      <c r="W35" s="115">
        <v>4.8</v>
      </c>
      <c r="X35" s="115">
        <v>4.8</v>
      </c>
      <c r="Y35" s="115">
        <v>14.4</v>
      </c>
      <c r="Z35" s="115">
        <v>14.4</v>
      </c>
      <c r="AA35" s="115">
        <v>14.4</v>
      </c>
      <c r="AB35" s="115">
        <v>19.2</v>
      </c>
      <c r="AC35" s="115">
        <v>19.2</v>
      </c>
      <c r="AD35" s="115">
        <v>19.2</v>
      </c>
      <c r="AE35" s="115">
        <v>19.2</v>
      </c>
      <c r="AF35" s="115">
        <v>19.2</v>
      </c>
      <c r="AG35" s="115">
        <v>14.4</v>
      </c>
      <c r="AH35" s="115">
        <v>14.4</v>
      </c>
      <c r="AI35" s="115">
        <v>14.4</v>
      </c>
      <c r="AJ35" s="115">
        <v>14.4</v>
      </c>
      <c r="AK35" s="115">
        <v>14.4</v>
      </c>
      <c r="AL35" s="115">
        <v>14.4</v>
      </c>
      <c r="AM35" s="115">
        <v>14.4</v>
      </c>
      <c r="AN35" s="115">
        <v>14.4</v>
      </c>
      <c r="AO35" s="211">
        <v>14.4</v>
      </c>
      <c r="AP35" s="60"/>
      <c r="AQ35" s="60"/>
      <c r="AR35" s="60"/>
    </row>
    <row r="36" spans="21:78" s="41" customFormat="1" ht="15" customHeight="1">
      <c r="U36" s="302"/>
      <c r="V36" s="51">
        <v>2500</v>
      </c>
      <c r="W36" s="115">
        <v>9.6</v>
      </c>
      <c r="X36" s="115">
        <v>9.6</v>
      </c>
      <c r="Y36" s="115">
        <v>14.4</v>
      </c>
      <c r="Z36" s="115">
        <v>14.4</v>
      </c>
      <c r="AA36" s="115">
        <v>14.4</v>
      </c>
      <c r="AB36" s="115">
        <v>19.2</v>
      </c>
      <c r="AC36" s="115">
        <v>19.2</v>
      </c>
      <c r="AD36" s="115">
        <v>19.2</v>
      </c>
      <c r="AE36" s="115">
        <v>19.2</v>
      </c>
      <c r="AF36" s="115">
        <v>19.2</v>
      </c>
      <c r="AG36" s="115">
        <v>14.4</v>
      </c>
      <c r="AH36" s="115">
        <v>14.4</v>
      </c>
      <c r="AI36" s="115">
        <v>14.4</v>
      </c>
      <c r="AJ36" s="115">
        <v>14.4</v>
      </c>
      <c r="AK36" s="115">
        <v>14.4</v>
      </c>
      <c r="AL36" s="115">
        <v>14.4</v>
      </c>
      <c r="AM36" s="115">
        <v>14.4</v>
      </c>
      <c r="AN36" s="115">
        <v>14.4</v>
      </c>
      <c r="AO36" s="211">
        <v>14.4</v>
      </c>
      <c r="AP36" s="60"/>
      <c r="AQ36" s="60"/>
      <c r="AR36" s="60"/>
    </row>
    <row r="37" spans="21:78" s="41" customFormat="1" ht="15" customHeight="1">
      <c r="U37" s="302"/>
      <c r="V37" s="51">
        <v>3000</v>
      </c>
      <c r="W37" s="115">
        <v>9.6</v>
      </c>
      <c r="X37" s="115">
        <v>9.6</v>
      </c>
      <c r="Y37" s="115">
        <v>14.4</v>
      </c>
      <c r="Z37" s="115">
        <v>14.4</v>
      </c>
      <c r="AA37" s="115">
        <v>14.4</v>
      </c>
      <c r="AB37" s="115">
        <v>19.2</v>
      </c>
      <c r="AC37" s="115">
        <v>19.2</v>
      </c>
      <c r="AD37" s="115">
        <v>19.2</v>
      </c>
      <c r="AE37" s="115">
        <v>19.2</v>
      </c>
      <c r="AF37" s="115">
        <v>14.4</v>
      </c>
      <c r="AG37" s="115">
        <v>14.4</v>
      </c>
      <c r="AH37" s="115">
        <v>14.4</v>
      </c>
      <c r="AI37" s="115">
        <v>14.4</v>
      </c>
      <c r="AJ37" s="115">
        <v>14.4</v>
      </c>
      <c r="AK37" s="115">
        <v>14.4</v>
      </c>
      <c r="AL37" s="115">
        <v>14.4</v>
      </c>
      <c r="AM37" s="115">
        <v>14.4</v>
      </c>
      <c r="AN37" s="115">
        <v>14.4</v>
      </c>
      <c r="AO37" s="211">
        <v>14.4</v>
      </c>
      <c r="AP37" s="60"/>
      <c r="AQ37" s="60"/>
      <c r="AR37" s="60"/>
    </row>
    <row r="38" spans="21:78" s="41" customFormat="1" ht="15" customHeight="1">
      <c r="U38" s="302"/>
      <c r="V38" s="51">
        <v>3500</v>
      </c>
      <c r="W38" s="115">
        <v>9.6</v>
      </c>
      <c r="X38" s="115">
        <v>9.6</v>
      </c>
      <c r="Y38" s="115">
        <v>9.6</v>
      </c>
      <c r="Z38" s="115">
        <v>9.6</v>
      </c>
      <c r="AA38" s="115">
        <v>19.2</v>
      </c>
      <c r="AB38" s="115">
        <v>19.2</v>
      </c>
      <c r="AC38" s="115">
        <v>19.2</v>
      </c>
      <c r="AD38" s="115">
        <v>19.2</v>
      </c>
      <c r="AE38" s="115">
        <v>19.2</v>
      </c>
      <c r="AF38" s="115">
        <v>19.2</v>
      </c>
      <c r="AG38" s="115">
        <v>19.2</v>
      </c>
      <c r="AH38" s="115">
        <v>19.2</v>
      </c>
      <c r="AI38" s="115">
        <v>19.2</v>
      </c>
      <c r="AJ38" s="115">
        <v>19.2</v>
      </c>
      <c r="AK38" s="115">
        <v>19.2</v>
      </c>
      <c r="AL38" s="115">
        <v>19.2</v>
      </c>
      <c r="AM38" s="115">
        <v>19.2</v>
      </c>
      <c r="AN38" s="115">
        <v>19.2</v>
      </c>
      <c r="AO38" s="211">
        <v>19.2</v>
      </c>
      <c r="AP38" s="60"/>
      <c r="AQ38" s="60"/>
      <c r="AR38" s="60"/>
    </row>
    <row r="39" spans="21:78" s="41" customFormat="1" ht="15" customHeight="1" thickBot="1">
      <c r="U39" s="302"/>
      <c r="V39" s="51">
        <v>4000</v>
      </c>
      <c r="W39" s="115">
        <v>9.6</v>
      </c>
      <c r="X39" s="115">
        <v>9.6</v>
      </c>
      <c r="Y39" s="115">
        <v>9.6</v>
      </c>
      <c r="Z39" s="115">
        <v>9.6</v>
      </c>
      <c r="AA39" s="115">
        <v>19.2</v>
      </c>
      <c r="AB39" s="115">
        <v>19.2</v>
      </c>
      <c r="AC39" s="115">
        <v>19.2</v>
      </c>
      <c r="AD39" s="115">
        <v>19.2</v>
      </c>
      <c r="AE39" s="115">
        <v>19.2</v>
      </c>
      <c r="AF39" s="115">
        <v>14.4</v>
      </c>
      <c r="AG39" s="115">
        <v>14.4</v>
      </c>
      <c r="AH39" s="115">
        <v>14.4</v>
      </c>
      <c r="AI39" s="115">
        <v>14.4</v>
      </c>
      <c r="AJ39" s="115">
        <v>14.4</v>
      </c>
      <c r="AK39" s="115">
        <v>24</v>
      </c>
      <c r="AL39" s="115">
        <v>24</v>
      </c>
      <c r="AM39" s="115">
        <v>24</v>
      </c>
      <c r="AN39" s="115">
        <v>24</v>
      </c>
      <c r="AO39" s="211">
        <v>24</v>
      </c>
      <c r="AP39" s="60"/>
      <c r="AQ39" s="60"/>
      <c r="AR39" s="60"/>
    </row>
    <row r="40" spans="21:78" s="41" customFormat="1" ht="15" customHeight="1" thickBot="1">
      <c r="U40" s="302"/>
      <c r="V40" s="51">
        <v>4500</v>
      </c>
      <c r="W40" s="115">
        <v>9.6</v>
      </c>
      <c r="X40" s="115">
        <v>9.6</v>
      </c>
      <c r="Y40" s="115">
        <v>9.6</v>
      </c>
      <c r="Z40" s="115">
        <v>9.6</v>
      </c>
      <c r="AA40" s="115">
        <v>14.4</v>
      </c>
      <c r="AB40" s="115">
        <v>14.4</v>
      </c>
      <c r="AC40" s="115">
        <v>19.2</v>
      </c>
      <c r="AD40" s="115">
        <v>19.2</v>
      </c>
      <c r="AE40" s="115">
        <v>19.2</v>
      </c>
      <c r="AF40" s="115">
        <v>14.4</v>
      </c>
      <c r="AG40" s="115">
        <v>14.4</v>
      </c>
      <c r="AH40" s="115">
        <v>14.4</v>
      </c>
      <c r="AI40" s="115">
        <v>14.4</v>
      </c>
      <c r="AJ40" s="115">
        <v>14.4</v>
      </c>
      <c r="AK40" s="115">
        <v>24</v>
      </c>
      <c r="AL40" s="115">
        <v>24</v>
      </c>
      <c r="AM40" s="115">
        <v>24</v>
      </c>
      <c r="AN40" s="115">
        <v>24</v>
      </c>
      <c r="AO40" s="211">
        <v>24</v>
      </c>
      <c r="AP40" s="60"/>
      <c r="AQ40" s="60"/>
      <c r="AR40" s="60"/>
      <c r="BG40" s="338" t="s">
        <v>6</v>
      </c>
      <c r="BH40" s="339"/>
      <c r="BI40" s="339"/>
      <c r="BJ40" s="339"/>
      <c r="BK40" s="339"/>
      <c r="BL40" s="339"/>
      <c r="BM40" s="339"/>
      <c r="BN40" s="339"/>
      <c r="BO40" s="339"/>
      <c r="BP40" s="339"/>
      <c r="BQ40" s="339"/>
      <c r="BR40" s="339"/>
      <c r="BS40" s="339"/>
      <c r="BT40" s="339"/>
      <c r="BU40" s="339"/>
      <c r="BV40" s="339"/>
      <c r="BW40" s="339"/>
      <c r="BX40" s="339"/>
      <c r="BY40" s="339"/>
      <c r="BZ40" s="340"/>
    </row>
    <row r="41" spans="21:78" s="41" customFormat="1" ht="15" customHeight="1" thickBot="1">
      <c r="U41" s="302"/>
      <c r="V41" s="51">
        <v>5000</v>
      </c>
      <c r="W41" s="115">
        <v>4.8</v>
      </c>
      <c r="X41" s="115">
        <v>4.8</v>
      </c>
      <c r="Y41" s="115">
        <v>4.8</v>
      </c>
      <c r="Z41" s="115">
        <v>4.8</v>
      </c>
      <c r="AA41" s="115">
        <v>4.8</v>
      </c>
      <c r="AB41" s="115">
        <v>14.4</v>
      </c>
      <c r="AC41" s="115">
        <v>14.4</v>
      </c>
      <c r="AD41" s="115">
        <v>14.4</v>
      </c>
      <c r="AE41" s="115">
        <v>14.4</v>
      </c>
      <c r="AF41" s="115">
        <v>14.4</v>
      </c>
      <c r="AG41" s="115">
        <v>14.4</v>
      </c>
      <c r="AH41" s="115">
        <v>14.4</v>
      </c>
      <c r="AI41" s="115">
        <v>14.4</v>
      </c>
      <c r="AJ41" s="115">
        <v>14.4</v>
      </c>
      <c r="AK41" s="115">
        <v>24</v>
      </c>
      <c r="AL41" s="115">
        <v>24</v>
      </c>
      <c r="AM41" s="115">
        <v>24</v>
      </c>
      <c r="AN41" s="115">
        <v>24</v>
      </c>
      <c r="AO41" s="211">
        <v>24</v>
      </c>
      <c r="BG41" s="191"/>
      <c r="BH41" s="42">
        <v>10</v>
      </c>
      <c r="BI41" s="43">
        <v>20</v>
      </c>
      <c r="BJ41" s="43">
        <v>30</v>
      </c>
      <c r="BK41" s="43">
        <v>40</v>
      </c>
      <c r="BL41" s="44">
        <v>50</v>
      </c>
      <c r="BM41" s="44">
        <v>60</v>
      </c>
      <c r="BN41" s="44">
        <v>70</v>
      </c>
      <c r="BO41" s="44">
        <v>80</v>
      </c>
      <c r="BP41" s="44">
        <v>90</v>
      </c>
      <c r="BQ41" s="44">
        <v>100</v>
      </c>
      <c r="BR41" s="44">
        <v>120</v>
      </c>
      <c r="BS41" s="44">
        <v>140</v>
      </c>
      <c r="BT41" s="45">
        <v>160</v>
      </c>
      <c r="BU41" s="45">
        <v>180</v>
      </c>
      <c r="BV41" s="45">
        <v>200</v>
      </c>
      <c r="BW41" s="45">
        <v>220</v>
      </c>
      <c r="BX41" s="45">
        <v>240</v>
      </c>
      <c r="BY41" s="46">
        <v>260</v>
      </c>
      <c r="BZ41" s="46">
        <v>280</v>
      </c>
    </row>
    <row r="42" spans="21:78" s="41" customFormat="1" ht="15" customHeight="1">
      <c r="U42" s="302"/>
      <c r="V42" s="51">
        <v>5500</v>
      </c>
      <c r="W42" s="115">
        <v>4.8</v>
      </c>
      <c r="X42" s="115">
        <v>4.8</v>
      </c>
      <c r="Y42" s="115">
        <v>4.8</v>
      </c>
      <c r="Z42" s="115">
        <v>4.8</v>
      </c>
      <c r="AA42" s="115">
        <v>4.8</v>
      </c>
      <c r="AB42" s="115">
        <v>9.6</v>
      </c>
      <c r="AC42" s="115">
        <v>9.6</v>
      </c>
      <c r="AD42" s="115">
        <v>9.6</v>
      </c>
      <c r="AE42" s="115">
        <v>9.6</v>
      </c>
      <c r="AF42" s="115">
        <v>9.6</v>
      </c>
      <c r="AG42" s="115">
        <v>9.6</v>
      </c>
      <c r="AH42" s="115">
        <v>9.6</v>
      </c>
      <c r="AI42" s="115">
        <v>9.6</v>
      </c>
      <c r="AJ42" s="115">
        <v>14.4</v>
      </c>
      <c r="AK42" s="115">
        <v>19.2</v>
      </c>
      <c r="AL42" s="115">
        <v>19.2</v>
      </c>
      <c r="AM42" s="115">
        <v>19.2</v>
      </c>
      <c r="AN42" s="115">
        <v>19.2</v>
      </c>
      <c r="AO42" s="211">
        <v>19.2</v>
      </c>
      <c r="AP42" s="58"/>
      <c r="BG42" s="47">
        <v>500</v>
      </c>
      <c r="BH42" s="115">
        <f t="shared" ref="BH42:BQ47" si="23">W30-W55</f>
        <v>0</v>
      </c>
      <c r="BI42" s="115">
        <f t="shared" si="23"/>
        <v>0</v>
      </c>
      <c r="BJ42" s="115">
        <f t="shared" si="23"/>
        <v>0</v>
      </c>
      <c r="BK42" s="115">
        <f t="shared" si="23"/>
        <v>0</v>
      </c>
      <c r="BL42" s="115">
        <f t="shared" si="23"/>
        <v>0</v>
      </c>
      <c r="BM42" s="115">
        <f t="shared" si="23"/>
        <v>0</v>
      </c>
      <c r="BN42" s="115">
        <f t="shared" si="23"/>
        <v>0</v>
      </c>
      <c r="BO42" s="115">
        <f t="shared" si="23"/>
        <v>0</v>
      </c>
      <c r="BP42" s="115">
        <f t="shared" si="23"/>
        <v>0</v>
      </c>
      <c r="BQ42" s="115">
        <f t="shared" si="23"/>
        <v>0</v>
      </c>
      <c r="BR42" s="115">
        <f t="shared" ref="BR42:BZ47" si="24">AG30-AG55</f>
        <v>0</v>
      </c>
      <c r="BS42" s="115">
        <f t="shared" si="24"/>
        <v>0</v>
      </c>
      <c r="BT42" s="115">
        <f t="shared" si="24"/>
        <v>0</v>
      </c>
      <c r="BU42" s="115">
        <f t="shared" si="24"/>
        <v>0</v>
      </c>
      <c r="BV42" s="115">
        <f t="shared" si="24"/>
        <v>0</v>
      </c>
      <c r="BW42" s="115">
        <f t="shared" si="24"/>
        <v>0</v>
      </c>
      <c r="BX42" s="115">
        <f t="shared" si="24"/>
        <v>0</v>
      </c>
      <c r="BY42" s="115">
        <f t="shared" si="24"/>
        <v>0</v>
      </c>
      <c r="BZ42" s="211">
        <f t="shared" si="24"/>
        <v>0</v>
      </c>
    </row>
    <row r="43" spans="21:78" s="41" customFormat="1" ht="15" customHeight="1">
      <c r="U43" s="302"/>
      <c r="V43" s="51">
        <v>6000</v>
      </c>
      <c r="W43" s="115">
        <v>4.8</v>
      </c>
      <c r="X43" s="115">
        <v>4.8</v>
      </c>
      <c r="Y43" s="115">
        <v>4.8</v>
      </c>
      <c r="Z43" s="115">
        <v>4.8</v>
      </c>
      <c r="AA43" s="115">
        <v>4.8</v>
      </c>
      <c r="AB43" s="115">
        <v>4.8</v>
      </c>
      <c r="AC43" s="115">
        <v>4.8</v>
      </c>
      <c r="AD43" s="115">
        <v>4.8</v>
      </c>
      <c r="AE43" s="115">
        <v>4.8</v>
      </c>
      <c r="AF43" s="115">
        <v>4.8</v>
      </c>
      <c r="AG43" s="115">
        <v>9.6</v>
      </c>
      <c r="AH43" s="115">
        <v>9.6</v>
      </c>
      <c r="AI43" s="115">
        <v>9.6</v>
      </c>
      <c r="AJ43" s="115">
        <v>9.6</v>
      </c>
      <c r="AK43" s="115">
        <v>9.6</v>
      </c>
      <c r="AL43" s="115">
        <v>9.6</v>
      </c>
      <c r="AM43" s="115">
        <v>9.6</v>
      </c>
      <c r="AN43" s="115">
        <v>9.6</v>
      </c>
      <c r="AO43" s="211">
        <v>9.6</v>
      </c>
      <c r="AP43" s="59"/>
      <c r="AQ43" s="59"/>
      <c r="AR43" s="59"/>
      <c r="BG43" s="49">
        <v>750</v>
      </c>
      <c r="BH43" s="115">
        <f t="shared" si="23"/>
        <v>0</v>
      </c>
      <c r="BI43" s="115">
        <f t="shared" si="23"/>
        <v>0</v>
      </c>
      <c r="BJ43" s="115">
        <f t="shared" si="23"/>
        <v>0</v>
      </c>
      <c r="BK43" s="115">
        <f t="shared" si="23"/>
        <v>0</v>
      </c>
      <c r="BL43" s="115">
        <f t="shared" si="23"/>
        <v>0</v>
      </c>
      <c r="BM43" s="115">
        <f t="shared" si="23"/>
        <v>0</v>
      </c>
      <c r="BN43" s="115">
        <f t="shared" si="23"/>
        <v>0</v>
      </c>
      <c r="BO43" s="115">
        <f t="shared" si="23"/>
        <v>0</v>
      </c>
      <c r="BP43" s="115">
        <f t="shared" si="23"/>
        <v>0</v>
      </c>
      <c r="BQ43" s="115">
        <f t="shared" si="23"/>
        <v>0</v>
      </c>
      <c r="BR43" s="115">
        <f t="shared" si="24"/>
        <v>0</v>
      </c>
      <c r="BS43" s="115">
        <f t="shared" si="24"/>
        <v>0</v>
      </c>
      <c r="BT43" s="115">
        <f t="shared" si="24"/>
        <v>0</v>
      </c>
      <c r="BU43" s="115">
        <f t="shared" si="24"/>
        <v>0</v>
      </c>
      <c r="BV43" s="115">
        <f t="shared" si="24"/>
        <v>0</v>
      </c>
      <c r="BW43" s="115">
        <f t="shared" si="24"/>
        <v>0</v>
      </c>
      <c r="BX43" s="115">
        <f t="shared" si="24"/>
        <v>0</v>
      </c>
      <c r="BY43" s="115">
        <f t="shared" si="24"/>
        <v>0</v>
      </c>
      <c r="BZ43" s="211">
        <f t="shared" si="24"/>
        <v>0</v>
      </c>
    </row>
    <row r="44" spans="21:78" s="41" customFormat="1" ht="15" customHeight="1">
      <c r="U44" s="302"/>
      <c r="V44" s="111">
        <v>6500</v>
      </c>
      <c r="W44" s="115">
        <v>0</v>
      </c>
      <c r="X44" s="115">
        <v>0</v>
      </c>
      <c r="Y44" s="115">
        <v>0</v>
      </c>
      <c r="Z44" s="115">
        <v>0</v>
      </c>
      <c r="AA44" s="115">
        <v>0</v>
      </c>
      <c r="AB44" s="115">
        <v>0</v>
      </c>
      <c r="AC44" s="115">
        <v>0</v>
      </c>
      <c r="AD44" s="115">
        <v>0</v>
      </c>
      <c r="AE44" s="115">
        <v>0</v>
      </c>
      <c r="AF44" s="115">
        <v>0</v>
      </c>
      <c r="AG44" s="115">
        <v>0</v>
      </c>
      <c r="AH44" s="115">
        <v>0</v>
      </c>
      <c r="AI44" s="115">
        <v>0</v>
      </c>
      <c r="AJ44" s="115">
        <v>0</v>
      </c>
      <c r="AK44" s="115">
        <v>0</v>
      </c>
      <c r="AL44" s="115">
        <v>0</v>
      </c>
      <c r="AM44" s="115">
        <v>0</v>
      </c>
      <c r="AN44" s="115">
        <v>0</v>
      </c>
      <c r="AO44" s="211">
        <v>0</v>
      </c>
      <c r="AP44" s="59"/>
      <c r="AQ44" s="59"/>
      <c r="AR44" s="59"/>
      <c r="BG44" s="50">
        <v>1000</v>
      </c>
      <c r="BH44" s="115">
        <f t="shared" si="23"/>
        <v>0</v>
      </c>
      <c r="BI44" s="115">
        <f t="shared" si="23"/>
        <v>0</v>
      </c>
      <c r="BJ44" s="115">
        <f t="shared" si="23"/>
        <v>0</v>
      </c>
      <c r="BK44" s="115">
        <f t="shared" si="23"/>
        <v>0</v>
      </c>
      <c r="BL44" s="115">
        <f t="shared" si="23"/>
        <v>0</v>
      </c>
      <c r="BM44" s="115">
        <f t="shared" si="23"/>
        <v>0</v>
      </c>
      <c r="BN44" s="115">
        <f t="shared" si="23"/>
        <v>0</v>
      </c>
      <c r="BO44" s="115">
        <f t="shared" si="23"/>
        <v>0</v>
      </c>
      <c r="BP44" s="115">
        <f t="shared" si="23"/>
        <v>0</v>
      </c>
      <c r="BQ44" s="115">
        <f t="shared" si="23"/>
        <v>0</v>
      </c>
      <c r="BR44" s="115">
        <f t="shared" si="24"/>
        <v>0</v>
      </c>
      <c r="BS44" s="115">
        <f t="shared" si="24"/>
        <v>0</v>
      </c>
      <c r="BT44" s="115">
        <f t="shared" si="24"/>
        <v>0</v>
      </c>
      <c r="BU44" s="115">
        <f t="shared" si="24"/>
        <v>0</v>
      </c>
      <c r="BV44" s="115">
        <f t="shared" si="24"/>
        <v>0</v>
      </c>
      <c r="BW44" s="115">
        <f t="shared" si="24"/>
        <v>0</v>
      </c>
      <c r="BX44" s="115">
        <f t="shared" si="24"/>
        <v>0</v>
      </c>
      <c r="BY44" s="115">
        <f t="shared" si="24"/>
        <v>0</v>
      </c>
      <c r="BZ44" s="211">
        <f t="shared" si="24"/>
        <v>0</v>
      </c>
    </row>
    <row r="45" spans="21:78" s="41" customFormat="1" ht="15" customHeight="1" thickBot="1">
      <c r="U45" s="303"/>
      <c r="V45" s="57">
        <v>7000</v>
      </c>
      <c r="W45" s="212">
        <v>0</v>
      </c>
      <c r="X45" s="212">
        <v>0</v>
      </c>
      <c r="Y45" s="212">
        <v>0</v>
      </c>
      <c r="Z45" s="212">
        <v>0</v>
      </c>
      <c r="AA45" s="212">
        <v>0</v>
      </c>
      <c r="AB45" s="212">
        <v>0</v>
      </c>
      <c r="AC45" s="212">
        <v>0</v>
      </c>
      <c r="AD45" s="212">
        <v>0</v>
      </c>
      <c r="AE45" s="212">
        <v>0</v>
      </c>
      <c r="AF45" s="212">
        <v>0</v>
      </c>
      <c r="AG45" s="212">
        <v>0</v>
      </c>
      <c r="AH45" s="212">
        <v>0</v>
      </c>
      <c r="AI45" s="212">
        <v>0</v>
      </c>
      <c r="AJ45" s="212">
        <v>0</v>
      </c>
      <c r="AK45" s="212">
        <v>0</v>
      </c>
      <c r="AL45" s="212">
        <v>0</v>
      </c>
      <c r="AM45" s="212">
        <v>0</v>
      </c>
      <c r="AN45" s="212">
        <v>0</v>
      </c>
      <c r="AO45" s="213">
        <v>0</v>
      </c>
      <c r="AP45" s="59"/>
      <c r="AQ45" s="59"/>
      <c r="AR45" s="59"/>
      <c r="BG45" s="50">
        <v>1250</v>
      </c>
      <c r="BH45" s="115">
        <f t="shared" si="23"/>
        <v>0</v>
      </c>
      <c r="BI45" s="115">
        <f t="shared" si="23"/>
        <v>0</v>
      </c>
      <c r="BJ45" s="115">
        <f t="shared" si="23"/>
        <v>0</v>
      </c>
      <c r="BK45" s="115">
        <f t="shared" si="23"/>
        <v>0</v>
      </c>
      <c r="BL45" s="115">
        <f t="shared" si="23"/>
        <v>0</v>
      </c>
      <c r="BM45" s="115">
        <f t="shared" si="23"/>
        <v>0</v>
      </c>
      <c r="BN45" s="115">
        <f t="shared" si="23"/>
        <v>0</v>
      </c>
      <c r="BO45" s="115">
        <f t="shared" si="23"/>
        <v>0</v>
      </c>
      <c r="BP45" s="115">
        <f t="shared" si="23"/>
        <v>0</v>
      </c>
      <c r="BQ45" s="115">
        <f t="shared" si="23"/>
        <v>0</v>
      </c>
      <c r="BR45" s="115">
        <f t="shared" si="24"/>
        <v>0</v>
      </c>
      <c r="BS45" s="115">
        <f t="shared" si="24"/>
        <v>0</v>
      </c>
      <c r="BT45" s="115">
        <f t="shared" si="24"/>
        <v>0</v>
      </c>
      <c r="BU45" s="115">
        <f t="shared" si="24"/>
        <v>0</v>
      </c>
      <c r="BV45" s="115">
        <f t="shared" si="24"/>
        <v>0</v>
      </c>
      <c r="BW45" s="115">
        <f t="shared" si="24"/>
        <v>0</v>
      </c>
      <c r="BX45" s="115">
        <f t="shared" si="24"/>
        <v>0</v>
      </c>
      <c r="BY45" s="115">
        <f t="shared" si="24"/>
        <v>0</v>
      </c>
      <c r="BZ45" s="211">
        <f t="shared" si="24"/>
        <v>0</v>
      </c>
    </row>
    <row r="46" spans="21:78" s="41" customFormat="1" ht="15" customHeight="1">
      <c r="AP46" s="60"/>
      <c r="AQ46" s="60"/>
      <c r="AR46" s="60"/>
      <c r="BG46" s="50">
        <v>1500</v>
      </c>
      <c r="BH46" s="115">
        <f t="shared" si="23"/>
        <v>0</v>
      </c>
      <c r="BI46" s="115">
        <f t="shared" si="23"/>
        <v>0</v>
      </c>
      <c r="BJ46" s="115">
        <f t="shared" si="23"/>
        <v>0</v>
      </c>
      <c r="BK46" s="115">
        <f t="shared" si="23"/>
        <v>0</v>
      </c>
      <c r="BL46" s="115">
        <f t="shared" si="23"/>
        <v>0</v>
      </c>
      <c r="BM46" s="115">
        <f t="shared" si="23"/>
        <v>0</v>
      </c>
      <c r="BN46" s="115">
        <f t="shared" si="23"/>
        <v>0</v>
      </c>
      <c r="BO46" s="115">
        <f t="shared" si="23"/>
        <v>0</v>
      </c>
      <c r="BP46" s="115">
        <f t="shared" si="23"/>
        <v>0</v>
      </c>
      <c r="BQ46" s="115">
        <f t="shared" si="23"/>
        <v>0</v>
      </c>
      <c r="BR46" s="115">
        <f t="shared" si="24"/>
        <v>0</v>
      </c>
      <c r="BS46" s="115">
        <f t="shared" si="24"/>
        <v>0</v>
      </c>
      <c r="BT46" s="115">
        <f t="shared" si="24"/>
        <v>0</v>
      </c>
      <c r="BU46" s="115">
        <f t="shared" si="24"/>
        <v>0</v>
      </c>
      <c r="BV46" s="115">
        <f t="shared" si="24"/>
        <v>0</v>
      </c>
      <c r="BW46" s="115">
        <f t="shared" si="24"/>
        <v>0</v>
      </c>
      <c r="BX46" s="115">
        <f t="shared" si="24"/>
        <v>0</v>
      </c>
      <c r="BY46" s="115">
        <f t="shared" si="24"/>
        <v>0</v>
      </c>
      <c r="BZ46" s="211">
        <f t="shared" si="24"/>
        <v>0</v>
      </c>
    </row>
    <row r="47" spans="21:78" s="41" customFormat="1" ht="15" customHeight="1">
      <c r="AP47" s="60"/>
      <c r="AQ47" s="60"/>
      <c r="AR47" s="60"/>
      <c r="BG47" s="51">
        <v>2000</v>
      </c>
      <c r="BH47" s="115">
        <f t="shared" si="23"/>
        <v>0</v>
      </c>
      <c r="BI47" s="115">
        <f t="shared" si="23"/>
        <v>0</v>
      </c>
      <c r="BJ47" s="115">
        <f t="shared" si="23"/>
        <v>0</v>
      </c>
      <c r="BK47" s="115">
        <f t="shared" si="23"/>
        <v>0</v>
      </c>
      <c r="BL47" s="115">
        <f t="shared" si="23"/>
        <v>0</v>
      </c>
      <c r="BM47" s="115">
        <f t="shared" si="23"/>
        <v>0</v>
      </c>
      <c r="BN47" s="115">
        <f t="shared" si="23"/>
        <v>0</v>
      </c>
      <c r="BO47" s="115">
        <f t="shared" si="23"/>
        <v>0</v>
      </c>
      <c r="BP47" s="115">
        <f t="shared" si="23"/>
        <v>0</v>
      </c>
      <c r="BQ47" s="115">
        <f t="shared" si="23"/>
        <v>0</v>
      </c>
      <c r="BR47" s="115">
        <f t="shared" si="24"/>
        <v>0</v>
      </c>
      <c r="BS47" s="115">
        <f t="shared" si="24"/>
        <v>0</v>
      </c>
      <c r="BT47" s="115">
        <f t="shared" si="24"/>
        <v>0</v>
      </c>
      <c r="BU47" s="115">
        <f t="shared" si="24"/>
        <v>0</v>
      </c>
      <c r="BV47" s="115">
        <f t="shared" si="24"/>
        <v>0</v>
      </c>
      <c r="BW47" s="115">
        <f t="shared" si="24"/>
        <v>0</v>
      </c>
      <c r="BX47" s="115">
        <f t="shared" si="24"/>
        <v>0</v>
      </c>
      <c r="BY47" s="115">
        <f t="shared" si="24"/>
        <v>0</v>
      </c>
      <c r="BZ47" s="211">
        <f t="shared" si="24"/>
        <v>0</v>
      </c>
    </row>
    <row r="48" spans="21:78" s="41" customFormat="1" ht="15" customHeight="1">
      <c r="AP48" s="60"/>
      <c r="AQ48" s="60"/>
      <c r="AR48" s="60"/>
      <c r="BG48" s="51">
        <v>2500</v>
      </c>
      <c r="BH48" s="115">
        <f t="shared" ref="BH48:BH56" si="25">W35-W60</f>
        <v>0</v>
      </c>
      <c r="BI48" s="115">
        <f t="shared" ref="BI48:BI56" si="26">X35-X60</f>
        <v>0</v>
      </c>
      <c r="BJ48" s="115">
        <f t="shared" ref="BJ48:BJ56" si="27">Y35-Y60</f>
        <v>0</v>
      </c>
      <c r="BK48" s="115">
        <f t="shared" ref="BK48:BK56" si="28">Z35-Z60</f>
        <v>0</v>
      </c>
      <c r="BL48" s="115">
        <f t="shared" ref="BL48:BL56" si="29">AA35-AA60</f>
        <v>0</v>
      </c>
      <c r="BM48" s="115">
        <f t="shared" ref="BM48:BM56" si="30">AB35-AB60</f>
        <v>0</v>
      </c>
      <c r="BN48" s="115">
        <f t="shared" ref="BN48:BN56" si="31">AC35-AC60</f>
        <v>0</v>
      </c>
      <c r="BO48" s="115">
        <f t="shared" ref="BO48:BO56" si="32">AD35-AD60</f>
        <v>0</v>
      </c>
      <c r="BP48" s="115">
        <f t="shared" ref="BP48:BP56" si="33">AE35-AE60</f>
        <v>0</v>
      </c>
      <c r="BQ48" s="115">
        <f t="shared" ref="BQ48:BQ56" si="34">AF35-AF60</f>
        <v>0</v>
      </c>
      <c r="BR48" s="115">
        <f t="shared" ref="BR48:BR56" si="35">AG35-AG60</f>
        <v>0</v>
      </c>
      <c r="BS48" s="115">
        <f t="shared" ref="BS48:BS56" si="36">AH35-AH60</f>
        <v>0</v>
      </c>
      <c r="BT48" s="115">
        <f t="shared" ref="BT48:BT56" si="37">AI35-AI60</f>
        <v>0</v>
      </c>
      <c r="BU48" s="115">
        <f t="shared" ref="BU48:BU56" si="38">AJ35-AJ60</f>
        <v>0</v>
      </c>
      <c r="BV48" s="115">
        <f t="shared" ref="BV48:BV56" si="39">AK35-AK60</f>
        <v>0</v>
      </c>
      <c r="BW48" s="115">
        <f t="shared" ref="BW48:BW56" si="40">AL35-AL60</f>
        <v>0</v>
      </c>
      <c r="BX48" s="115">
        <f t="shared" ref="BX48:BX56" si="41">AM35-AM60</f>
        <v>0</v>
      </c>
      <c r="BY48" s="115">
        <f t="shared" ref="BY48:BY56" si="42">AN35-AN60</f>
        <v>0</v>
      </c>
      <c r="BZ48" s="211">
        <f t="shared" ref="BZ48:BZ56" si="43">AO35-AO60</f>
        <v>0</v>
      </c>
    </row>
    <row r="49" spans="21:78" s="41" customFormat="1" ht="15" customHeight="1">
      <c r="AP49" s="60"/>
      <c r="AQ49" s="60"/>
      <c r="AR49" s="60"/>
      <c r="BG49" s="51">
        <v>3000</v>
      </c>
      <c r="BH49" s="115">
        <f t="shared" si="25"/>
        <v>0</v>
      </c>
      <c r="BI49" s="115">
        <f t="shared" si="26"/>
        <v>0</v>
      </c>
      <c r="BJ49" s="115">
        <f t="shared" si="27"/>
        <v>0</v>
      </c>
      <c r="BK49" s="115">
        <f t="shared" si="28"/>
        <v>0</v>
      </c>
      <c r="BL49" s="115">
        <f t="shared" si="29"/>
        <v>0</v>
      </c>
      <c r="BM49" s="115">
        <f t="shared" si="30"/>
        <v>0</v>
      </c>
      <c r="BN49" s="115">
        <f t="shared" si="31"/>
        <v>0</v>
      </c>
      <c r="BO49" s="115">
        <f t="shared" si="32"/>
        <v>0</v>
      </c>
      <c r="BP49" s="115">
        <f t="shared" si="33"/>
        <v>0</v>
      </c>
      <c r="BQ49" s="115">
        <f t="shared" si="34"/>
        <v>0</v>
      </c>
      <c r="BR49" s="115">
        <f t="shared" si="35"/>
        <v>0</v>
      </c>
      <c r="BS49" s="115">
        <f t="shared" si="36"/>
        <v>0</v>
      </c>
      <c r="BT49" s="115">
        <f t="shared" si="37"/>
        <v>0</v>
      </c>
      <c r="BU49" s="115">
        <f t="shared" si="38"/>
        <v>0</v>
      </c>
      <c r="BV49" s="115">
        <f t="shared" si="39"/>
        <v>0</v>
      </c>
      <c r="BW49" s="115">
        <f t="shared" si="40"/>
        <v>0</v>
      </c>
      <c r="BX49" s="115">
        <f t="shared" si="41"/>
        <v>0</v>
      </c>
      <c r="BY49" s="115">
        <f t="shared" si="42"/>
        <v>0</v>
      </c>
      <c r="BZ49" s="211">
        <f t="shared" si="43"/>
        <v>0</v>
      </c>
    </row>
    <row r="50" spans="21:78" s="41" customFormat="1" ht="15" customHeight="1">
      <c r="AP50" s="60"/>
      <c r="AQ50" s="60"/>
      <c r="AR50" s="60"/>
      <c r="BG50" s="51">
        <v>3500</v>
      </c>
      <c r="BH50" s="115">
        <f t="shared" si="25"/>
        <v>0</v>
      </c>
      <c r="BI50" s="115">
        <f t="shared" si="26"/>
        <v>0</v>
      </c>
      <c r="BJ50" s="115">
        <f t="shared" si="27"/>
        <v>0</v>
      </c>
      <c r="BK50" s="115">
        <f t="shared" si="28"/>
        <v>0</v>
      </c>
      <c r="BL50" s="115">
        <f t="shared" si="29"/>
        <v>0</v>
      </c>
      <c r="BM50" s="115">
        <f t="shared" si="30"/>
        <v>0</v>
      </c>
      <c r="BN50" s="115">
        <f t="shared" si="31"/>
        <v>0</v>
      </c>
      <c r="BO50" s="115">
        <f t="shared" si="32"/>
        <v>0</v>
      </c>
      <c r="BP50" s="115">
        <f t="shared" si="33"/>
        <v>0</v>
      </c>
      <c r="BQ50" s="115">
        <f t="shared" si="34"/>
        <v>0</v>
      </c>
      <c r="BR50" s="115">
        <f t="shared" si="35"/>
        <v>0</v>
      </c>
      <c r="BS50" s="115">
        <f t="shared" si="36"/>
        <v>0</v>
      </c>
      <c r="BT50" s="115">
        <f t="shared" si="37"/>
        <v>0</v>
      </c>
      <c r="BU50" s="115">
        <f t="shared" si="38"/>
        <v>0</v>
      </c>
      <c r="BV50" s="115">
        <f t="shared" si="39"/>
        <v>0</v>
      </c>
      <c r="BW50" s="115">
        <f t="shared" si="40"/>
        <v>0</v>
      </c>
      <c r="BX50" s="115">
        <f t="shared" si="41"/>
        <v>0</v>
      </c>
      <c r="BY50" s="115">
        <f t="shared" si="42"/>
        <v>0</v>
      </c>
      <c r="BZ50" s="211">
        <f t="shared" si="43"/>
        <v>0</v>
      </c>
    </row>
    <row r="51" spans="21:78" s="41" customFormat="1" ht="15" customHeight="1" thickBot="1">
      <c r="AP51" s="60"/>
      <c r="AQ51" s="60"/>
      <c r="AR51" s="60"/>
      <c r="BG51" s="51">
        <v>4000</v>
      </c>
      <c r="BH51" s="115">
        <f t="shared" si="25"/>
        <v>0</v>
      </c>
      <c r="BI51" s="115">
        <f t="shared" si="26"/>
        <v>0</v>
      </c>
      <c r="BJ51" s="115">
        <f t="shared" si="27"/>
        <v>0</v>
      </c>
      <c r="BK51" s="115">
        <f t="shared" si="28"/>
        <v>0</v>
      </c>
      <c r="BL51" s="115">
        <f t="shared" si="29"/>
        <v>0</v>
      </c>
      <c r="BM51" s="115">
        <f t="shared" si="30"/>
        <v>0</v>
      </c>
      <c r="BN51" s="115">
        <f t="shared" si="31"/>
        <v>0</v>
      </c>
      <c r="BO51" s="115">
        <f t="shared" si="32"/>
        <v>0</v>
      </c>
      <c r="BP51" s="115">
        <f t="shared" si="33"/>
        <v>0</v>
      </c>
      <c r="BQ51" s="115">
        <f t="shared" si="34"/>
        <v>0</v>
      </c>
      <c r="BR51" s="115">
        <f t="shared" si="35"/>
        <v>0</v>
      </c>
      <c r="BS51" s="115">
        <f t="shared" si="36"/>
        <v>0</v>
      </c>
      <c r="BT51" s="115">
        <f t="shared" si="37"/>
        <v>0</v>
      </c>
      <c r="BU51" s="115">
        <f t="shared" si="38"/>
        <v>0</v>
      </c>
      <c r="BV51" s="115">
        <f t="shared" si="39"/>
        <v>0</v>
      </c>
      <c r="BW51" s="115">
        <f t="shared" si="40"/>
        <v>0</v>
      </c>
      <c r="BX51" s="115">
        <f t="shared" si="41"/>
        <v>0</v>
      </c>
      <c r="BY51" s="115">
        <f t="shared" si="42"/>
        <v>0</v>
      </c>
      <c r="BZ51" s="211">
        <f t="shared" si="43"/>
        <v>0</v>
      </c>
    </row>
    <row r="52" spans="21:78" s="41" customFormat="1" ht="15" customHeight="1" thickBot="1">
      <c r="U52" s="278">
        <v>3</v>
      </c>
      <c r="V52" s="279"/>
      <c r="W52" s="304" t="s">
        <v>48</v>
      </c>
      <c r="X52" s="305"/>
      <c r="Y52" s="305"/>
      <c r="Z52" s="305"/>
      <c r="AA52" s="305"/>
      <c r="AB52" s="305"/>
      <c r="AC52" s="305"/>
      <c r="AD52" s="305"/>
      <c r="AE52" s="305"/>
      <c r="AF52" s="305"/>
      <c r="AG52" s="305"/>
      <c r="AH52" s="305"/>
      <c r="AI52" s="305"/>
      <c r="AJ52" s="305"/>
      <c r="AK52" s="305"/>
      <c r="AL52" s="305"/>
      <c r="AM52" s="305"/>
      <c r="AN52" s="305"/>
      <c r="AO52" s="306"/>
      <c r="AP52" s="60"/>
      <c r="AQ52" s="60"/>
      <c r="AR52" s="60"/>
      <c r="BG52" s="51">
        <v>4500</v>
      </c>
      <c r="BH52" s="115">
        <f t="shared" si="25"/>
        <v>0</v>
      </c>
      <c r="BI52" s="115">
        <f t="shared" si="26"/>
        <v>0</v>
      </c>
      <c r="BJ52" s="115">
        <f t="shared" si="27"/>
        <v>0</v>
      </c>
      <c r="BK52" s="115">
        <f t="shared" si="28"/>
        <v>0</v>
      </c>
      <c r="BL52" s="115">
        <f t="shared" si="29"/>
        <v>0</v>
      </c>
      <c r="BM52" s="115">
        <f t="shared" si="30"/>
        <v>0</v>
      </c>
      <c r="BN52" s="115">
        <f t="shared" si="31"/>
        <v>0</v>
      </c>
      <c r="BO52" s="115">
        <f t="shared" si="32"/>
        <v>0</v>
      </c>
      <c r="BP52" s="115">
        <f t="shared" si="33"/>
        <v>0</v>
      </c>
      <c r="BQ52" s="115">
        <f t="shared" si="34"/>
        <v>0</v>
      </c>
      <c r="BR52" s="115">
        <f t="shared" si="35"/>
        <v>0</v>
      </c>
      <c r="BS52" s="115">
        <f t="shared" si="36"/>
        <v>0</v>
      </c>
      <c r="BT52" s="115">
        <f t="shared" si="37"/>
        <v>0</v>
      </c>
      <c r="BU52" s="115">
        <f t="shared" si="38"/>
        <v>0</v>
      </c>
      <c r="BV52" s="115">
        <f t="shared" si="39"/>
        <v>0</v>
      </c>
      <c r="BW52" s="115">
        <f t="shared" si="40"/>
        <v>0</v>
      </c>
      <c r="BX52" s="115">
        <f t="shared" si="41"/>
        <v>0</v>
      </c>
      <c r="BY52" s="115">
        <f t="shared" si="42"/>
        <v>0</v>
      </c>
      <c r="BZ52" s="211">
        <f t="shared" si="43"/>
        <v>0</v>
      </c>
    </row>
    <row r="53" spans="21:78" s="41" customFormat="1" ht="15" customHeight="1" thickBot="1">
      <c r="U53" s="280"/>
      <c r="V53" s="281"/>
      <c r="W53" s="284" t="s">
        <v>0</v>
      </c>
      <c r="X53" s="360"/>
      <c r="Y53" s="360"/>
      <c r="Z53" s="360"/>
      <c r="AA53" s="360"/>
      <c r="AB53" s="360"/>
      <c r="AC53" s="360"/>
      <c r="AD53" s="360"/>
      <c r="AE53" s="360"/>
      <c r="AF53" s="360"/>
      <c r="AG53" s="360"/>
      <c r="AH53" s="360"/>
      <c r="AI53" s="360"/>
      <c r="AJ53" s="360"/>
      <c r="AK53" s="360"/>
      <c r="AL53" s="360"/>
      <c r="AM53" s="360"/>
      <c r="AN53" s="360"/>
      <c r="AO53" s="361"/>
      <c r="AP53" s="60"/>
      <c r="AQ53" s="60"/>
      <c r="BG53" s="51">
        <v>5000</v>
      </c>
      <c r="BH53" s="115">
        <f t="shared" si="25"/>
        <v>0</v>
      </c>
      <c r="BI53" s="115">
        <f t="shared" si="26"/>
        <v>0</v>
      </c>
      <c r="BJ53" s="115">
        <f t="shared" si="27"/>
        <v>0</v>
      </c>
      <c r="BK53" s="115">
        <f t="shared" si="28"/>
        <v>0</v>
      </c>
      <c r="BL53" s="115">
        <f t="shared" si="29"/>
        <v>0</v>
      </c>
      <c r="BM53" s="115">
        <f t="shared" si="30"/>
        <v>0</v>
      </c>
      <c r="BN53" s="115">
        <f t="shared" si="31"/>
        <v>0</v>
      </c>
      <c r="BO53" s="115">
        <f t="shared" si="32"/>
        <v>0</v>
      </c>
      <c r="BP53" s="115">
        <f t="shared" si="33"/>
        <v>0</v>
      </c>
      <c r="BQ53" s="115">
        <f t="shared" si="34"/>
        <v>0</v>
      </c>
      <c r="BR53" s="115">
        <f t="shared" si="35"/>
        <v>0</v>
      </c>
      <c r="BS53" s="115">
        <f t="shared" si="36"/>
        <v>0</v>
      </c>
      <c r="BT53" s="115">
        <f t="shared" si="37"/>
        <v>0</v>
      </c>
      <c r="BU53" s="115">
        <f t="shared" si="38"/>
        <v>0</v>
      </c>
      <c r="BV53" s="115">
        <f t="shared" si="39"/>
        <v>0</v>
      </c>
      <c r="BW53" s="115">
        <f t="shared" si="40"/>
        <v>0</v>
      </c>
      <c r="BX53" s="115">
        <f t="shared" si="41"/>
        <v>0</v>
      </c>
      <c r="BY53" s="115">
        <f t="shared" si="42"/>
        <v>0</v>
      </c>
      <c r="BZ53" s="211">
        <f t="shared" si="43"/>
        <v>0</v>
      </c>
    </row>
    <row r="54" spans="21:78" s="41" customFormat="1" ht="15" customHeight="1" thickBot="1">
      <c r="U54" s="282"/>
      <c r="V54" s="283"/>
      <c r="W54" s="103">
        <v>0</v>
      </c>
      <c r="X54" s="104">
        <v>10</v>
      </c>
      <c r="Y54" s="104">
        <v>20</v>
      </c>
      <c r="Z54" s="104">
        <v>30</v>
      </c>
      <c r="AA54" s="105">
        <v>40</v>
      </c>
      <c r="AB54" s="105">
        <v>50</v>
      </c>
      <c r="AC54" s="105">
        <v>60</v>
      </c>
      <c r="AD54" s="105">
        <v>70</v>
      </c>
      <c r="AE54" s="105">
        <v>80</v>
      </c>
      <c r="AF54" s="105">
        <v>90</v>
      </c>
      <c r="AG54" s="105">
        <v>100</v>
      </c>
      <c r="AH54" s="105">
        <v>120</v>
      </c>
      <c r="AI54" s="106">
        <v>140</v>
      </c>
      <c r="AJ54" s="106">
        <v>160</v>
      </c>
      <c r="AK54" s="106">
        <v>180</v>
      </c>
      <c r="AL54" s="106">
        <v>200</v>
      </c>
      <c r="AM54" s="106">
        <v>220</v>
      </c>
      <c r="AN54" s="107">
        <v>240</v>
      </c>
      <c r="AO54" s="192">
        <v>260</v>
      </c>
      <c r="AP54" s="60"/>
      <c r="AQ54" s="60"/>
      <c r="BG54" s="51">
        <v>5500</v>
      </c>
      <c r="BH54" s="115">
        <f t="shared" si="25"/>
        <v>0</v>
      </c>
      <c r="BI54" s="115">
        <f t="shared" si="26"/>
        <v>0</v>
      </c>
      <c r="BJ54" s="115">
        <f t="shared" si="27"/>
        <v>0</v>
      </c>
      <c r="BK54" s="115">
        <f t="shared" si="28"/>
        <v>0</v>
      </c>
      <c r="BL54" s="115">
        <f t="shared" si="29"/>
        <v>0</v>
      </c>
      <c r="BM54" s="115">
        <f t="shared" si="30"/>
        <v>0</v>
      </c>
      <c r="BN54" s="115">
        <f t="shared" si="31"/>
        <v>0</v>
      </c>
      <c r="BO54" s="115">
        <f t="shared" si="32"/>
        <v>0</v>
      </c>
      <c r="BP54" s="115">
        <f t="shared" si="33"/>
        <v>0</v>
      </c>
      <c r="BQ54" s="115">
        <f t="shared" si="34"/>
        <v>0</v>
      </c>
      <c r="BR54" s="115">
        <f t="shared" si="35"/>
        <v>0</v>
      </c>
      <c r="BS54" s="115">
        <f t="shared" si="36"/>
        <v>0</v>
      </c>
      <c r="BT54" s="115">
        <f t="shared" si="37"/>
        <v>0</v>
      </c>
      <c r="BU54" s="115">
        <f t="shared" si="38"/>
        <v>0</v>
      </c>
      <c r="BV54" s="115">
        <f t="shared" si="39"/>
        <v>0</v>
      </c>
      <c r="BW54" s="115">
        <f t="shared" si="40"/>
        <v>0</v>
      </c>
      <c r="BX54" s="115">
        <f t="shared" si="41"/>
        <v>0</v>
      </c>
      <c r="BY54" s="115">
        <f t="shared" si="42"/>
        <v>0</v>
      </c>
      <c r="BZ54" s="211">
        <f t="shared" si="43"/>
        <v>0</v>
      </c>
    </row>
    <row r="55" spans="21:78" s="41" customFormat="1" ht="15" customHeight="1">
      <c r="U55" s="301" t="s">
        <v>1</v>
      </c>
      <c r="V55" s="47">
        <v>500</v>
      </c>
      <c r="W55" s="115">
        <v>0</v>
      </c>
      <c r="X55" s="115">
        <v>0</v>
      </c>
      <c r="Y55" s="115">
        <v>0</v>
      </c>
      <c r="Z55" s="115">
        <v>0</v>
      </c>
      <c r="AA55" s="115">
        <v>0</v>
      </c>
      <c r="AB55" s="115">
        <v>0</v>
      </c>
      <c r="AC55" s="115">
        <v>0</v>
      </c>
      <c r="AD55" s="115">
        <v>0</v>
      </c>
      <c r="AE55" s="115">
        <v>0</v>
      </c>
      <c r="AF55" s="115">
        <v>0</v>
      </c>
      <c r="AG55" s="115">
        <v>0</v>
      </c>
      <c r="AH55" s="115">
        <v>0</v>
      </c>
      <c r="AI55" s="115">
        <v>0</v>
      </c>
      <c r="AJ55" s="115">
        <v>0</v>
      </c>
      <c r="AK55" s="115">
        <v>0</v>
      </c>
      <c r="AL55" s="115">
        <v>0</v>
      </c>
      <c r="AM55" s="115">
        <v>0</v>
      </c>
      <c r="AN55" s="115">
        <v>0</v>
      </c>
      <c r="AO55" s="211">
        <v>0</v>
      </c>
      <c r="AP55" s="60"/>
      <c r="AQ55" s="60"/>
      <c r="BG55" s="51">
        <v>6000</v>
      </c>
      <c r="BH55" s="115">
        <f t="shared" si="25"/>
        <v>0</v>
      </c>
      <c r="BI55" s="115">
        <f t="shared" si="26"/>
        <v>0</v>
      </c>
      <c r="BJ55" s="115">
        <f t="shared" si="27"/>
        <v>0</v>
      </c>
      <c r="BK55" s="115">
        <f t="shared" si="28"/>
        <v>0</v>
      </c>
      <c r="BL55" s="115">
        <f t="shared" si="29"/>
        <v>0</v>
      </c>
      <c r="BM55" s="115">
        <f t="shared" si="30"/>
        <v>0</v>
      </c>
      <c r="BN55" s="115">
        <f t="shared" si="31"/>
        <v>0</v>
      </c>
      <c r="BO55" s="115">
        <f t="shared" si="32"/>
        <v>0</v>
      </c>
      <c r="BP55" s="115">
        <f t="shared" si="33"/>
        <v>0</v>
      </c>
      <c r="BQ55" s="115">
        <f t="shared" si="34"/>
        <v>0</v>
      </c>
      <c r="BR55" s="115">
        <f t="shared" si="35"/>
        <v>0</v>
      </c>
      <c r="BS55" s="115">
        <f t="shared" si="36"/>
        <v>0</v>
      </c>
      <c r="BT55" s="115">
        <f t="shared" si="37"/>
        <v>0</v>
      </c>
      <c r="BU55" s="115">
        <f t="shared" si="38"/>
        <v>0</v>
      </c>
      <c r="BV55" s="115">
        <f t="shared" si="39"/>
        <v>0</v>
      </c>
      <c r="BW55" s="115">
        <f t="shared" si="40"/>
        <v>0</v>
      </c>
      <c r="BX55" s="115">
        <f t="shared" si="41"/>
        <v>0</v>
      </c>
      <c r="BY55" s="115">
        <f t="shared" si="42"/>
        <v>0</v>
      </c>
      <c r="BZ55" s="211">
        <f t="shared" si="43"/>
        <v>0</v>
      </c>
    </row>
    <row r="56" spans="21:78" s="41" customFormat="1" ht="15" customHeight="1">
      <c r="U56" s="302"/>
      <c r="V56" s="49">
        <v>750</v>
      </c>
      <c r="W56" s="115">
        <v>0</v>
      </c>
      <c r="X56" s="115">
        <v>0</v>
      </c>
      <c r="Y56" s="115">
        <v>0</v>
      </c>
      <c r="Z56" s="115">
        <v>0</v>
      </c>
      <c r="AA56" s="115">
        <v>0</v>
      </c>
      <c r="AB56" s="115">
        <v>0</v>
      </c>
      <c r="AC56" s="115">
        <v>9.6</v>
      </c>
      <c r="AD56" s="115">
        <v>9.6</v>
      </c>
      <c r="AE56" s="115">
        <v>9.6</v>
      </c>
      <c r="AF56" s="115">
        <v>9.6</v>
      </c>
      <c r="AG56" s="115">
        <v>9.6</v>
      </c>
      <c r="AH56" s="115">
        <v>9.6</v>
      </c>
      <c r="AI56" s="115">
        <v>9.6</v>
      </c>
      <c r="AJ56" s="115">
        <v>9.6</v>
      </c>
      <c r="AK56" s="115">
        <v>9.6</v>
      </c>
      <c r="AL56" s="115">
        <v>9.6</v>
      </c>
      <c r="AM56" s="115">
        <v>9.6</v>
      </c>
      <c r="AN56" s="115">
        <v>9.6</v>
      </c>
      <c r="AO56" s="211">
        <v>9.6</v>
      </c>
      <c r="AP56" s="60"/>
      <c r="AQ56" s="60"/>
      <c r="BG56" s="111">
        <v>6500</v>
      </c>
      <c r="BH56" s="115">
        <f t="shared" si="25"/>
        <v>0</v>
      </c>
      <c r="BI56" s="115">
        <f t="shared" si="26"/>
        <v>0</v>
      </c>
      <c r="BJ56" s="115">
        <f t="shared" si="27"/>
        <v>0</v>
      </c>
      <c r="BK56" s="115">
        <f t="shared" si="28"/>
        <v>0</v>
      </c>
      <c r="BL56" s="115">
        <f t="shared" si="29"/>
        <v>0</v>
      </c>
      <c r="BM56" s="115">
        <f t="shared" si="30"/>
        <v>0</v>
      </c>
      <c r="BN56" s="115">
        <f t="shared" si="31"/>
        <v>0</v>
      </c>
      <c r="BO56" s="115">
        <f t="shared" si="32"/>
        <v>0</v>
      </c>
      <c r="BP56" s="115">
        <f t="shared" si="33"/>
        <v>0</v>
      </c>
      <c r="BQ56" s="115">
        <f t="shared" si="34"/>
        <v>0</v>
      </c>
      <c r="BR56" s="115">
        <f t="shared" si="35"/>
        <v>0</v>
      </c>
      <c r="BS56" s="115">
        <f t="shared" si="36"/>
        <v>0</v>
      </c>
      <c r="BT56" s="115">
        <f t="shared" si="37"/>
        <v>0</v>
      </c>
      <c r="BU56" s="115">
        <f t="shared" si="38"/>
        <v>0</v>
      </c>
      <c r="BV56" s="115">
        <f t="shared" si="39"/>
        <v>0</v>
      </c>
      <c r="BW56" s="115">
        <f t="shared" si="40"/>
        <v>0</v>
      </c>
      <c r="BX56" s="115">
        <f t="shared" si="41"/>
        <v>0</v>
      </c>
      <c r="BY56" s="115">
        <f t="shared" si="42"/>
        <v>0</v>
      </c>
      <c r="BZ56" s="211">
        <f t="shared" si="43"/>
        <v>0</v>
      </c>
    </row>
    <row r="57" spans="21:78" s="41" customFormat="1" ht="15" customHeight="1" thickBot="1">
      <c r="U57" s="302"/>
      <c r="V57" s="50">
        <v>1000</v>
      </c>
      <c r="W57" s="115">
        <v>0</v>
      </c>
      <c r="X57" s="115">
        <v>0</v>
      </c>
      <c r="Y57" s="115">
        <v>0</v>
      </c>
      <c r="Z57" s="115">
        <v>0</v>
      </c>
      <c r="AA57" s="115">
        <v>4.8</v>
      </c>
      <c r="AB57" s="115">
        <v>4.8</v>
      </c>
      <c r="AC57" s="115">
        <v>9.6</v>
      </c>
      <c r="AD57" s="115">
        <v>19.2</v>
      </c>
      <c r="AE57" s="115">
        <v>19.2</v>
      </c>
      <c r="AF57" s="115">
        <v>19.2</v>
      </c>
      <c r="AG57" s="115">
        <v>19.2</v>
      </c>
      <c r="AH57" s="115">
        <v>19.2</v>
      </c>
      <c r="AI57" s="115">
        <v>19.2</v>
      </c>
      <c r="AJ57" s="115">
        <v>19.2</v>
      </c>
      <c r="AK57" s="115">
        <v>19.2</v>
      </c>
      <c r="AL57" s="115">
        <v>19.2</v>
      </c>
      <c r="AM57" s="115">
        <v>19.2</v>
      </c>
      <c r="AN57" s="115">
        <v>19.2</v>
      </c>
      <c r="AO57" s="211">
        <v>19.2</v>
      </c>
      <c r="AP57" s="60"/>
      <c r="AQ57" s="60"/>
      <c r="BG57" s="57">
        <v>7000</v>
      </c>
      <c r="BH57" s="212">
        <f t="shared" ref="BH57:BZ57" si="44">W45-W70</f>
        <v>0</v>
      </c>
      <c r="BI57" s="212">
        <f t="shared" si="44"/>
        <v>0</v>
      </c>
      <c r="BJ57" s="212">
        <f t="shared" si="44"/>
        <v>0</v>
      </c>
      <c r="BK57" s="212">
        <f t="shared" si="44"/>
        <v>0</v>
      </c>
      <c r="BL57" s="212">
        <f t="shared" si="44"/>
        <v>0</v>
      </c>
      <c r="BM57" s="212">
        <f t="shared" si="44"/>
        <v>0</v>
      </c>
      <c r="BN57" s="212">
        <f t="shared" si="44"/>
        <v>0</v>
      </c>
      <c r="BO57" s="212">
        <f t="shared" si="44"/>
        <v>0</v>
      </c>
      <c r="BP57" s="212">
        <f t="shared" si="44"/>
        <v>0</v>
      </c>
      <c r="BQ57" s="212">
        <f t="shared" si="44"/>
        <v>0</v>
      </c>
      <c r="BR57" s="212">
        <f t="shared" si="44"/>
        <v>0</v>
      </c>
      <c r="BS57" s="212">
        <f t="shared" si="44"/>
        <v>0</v>
      </c>
      <c r="BT57" s="212">
        <f t="shared" si="44"/>
        <v>0</v>
      </c>
      <c r="BU57" s="212">
        <f t="shared" si="44"/>
        <v>0</v>
      </c>
      <c r="BV57" s="212">
        <f t="shared" si="44"/>
        <v>0</v>
      </c>
      <c r="BW57" s="212">
        <f t="shared" si="44"/>
        <v>0</v>
      </c>
      <c r="BX57" s="212">
        <f t="shared" si="44"/>
        <v>0</v>
      </c>
      <c r="BY57" s="212">
        <f t="shared" si="44"/>
        <v>0</v>
      </c>
      <c r="BZ57" s="213">
        <f t="shared" si="44"/>
        <v>0</v>
      </c>
    </row>
    <row r="58" spans="21:78" s="41" customFormat="1" ht="15" customHeight="1">
      <c r="U58" s="302"/>
      <c r="V58" s="50">
        <v>1250</v>
      </c>
      <c r="W58" s="115">
        <v>4.8</v>
      </c>
      <c r="X58" s="115">
        <v>4.8</v>
      </c>
      <c r="Y58" s="115">
        <v>9.6</v>
      </c>
      <c r="Z58" s="115">
        <v>9.6</v>
      </c>
      <c r="AA58" s="115">
        <v>9.6</v>
      </c>
      <c r="AB58" s="115">
        <v>14.4</v>
      </c>
      <c r="AC58" s="115">
        <v>14.4</v>
      </c>
      <c r="AD58" s="115">
        <v>19.2</v>
      </c>
      <c r="AE58" s="115">
        <v>19.2</v>
      </c>
      <c r="AF58" s="115">
        <v>19.2</v>
      </c>
      <c r="AG58" s="115">
        <v>19.2</v>
      </c>
      <c r="AH58" s="115">
        <v>19.2</v>
      </c>
      <c r="AI58" s="115">
        <v>19.2</v>
      </c>
      <c r="AJ58" s="115">
        <v>19.2</v>
      </c>
      <c r="AK58" s="115">
        <v>19.2</v>
      </c>
      <c r="AL58" s="115">
        <v>19.2</v>
      </c>
      <c r="AM58" s="115">
        <v>19.2</v>
      </c>
      <c r="AN58" s="115">
        <v>19.2</v>
      </c>
      <c r="AO58" s="211">
        <v>19.2</v>
      </c>
      <c r="AP58" s="60"/>
      <c r="AQ58" s="60"/>
    </row>
    <row r="59" spans="21:78" s="41" customFormat="1" ht="15" customHeight="1">
      <c r="U59" s="302"/>
      <c r="V59" s="50">
        <v>1500</v>
      </c>
      <c r="W59" s="115">
        <v>4.8</v>
      </c>
      <c r="X59" s="115">
        <v>4.8</v>
      </c>
      <c r="Y59" s="115">
        <v>9.6</v>
      </c>
      <c r="Z59" s="115">
        <v>9.6</v>
      </c>
      <c r="AA59" s="115">
        <v>9.6</v>
      </c>
      <c r="AB59" s="115">
        <v>14.4</v>
      </c>
      <c r="AC59" s="115">
        <v>19.2</v>
      </c>
      <c r="AD59" s="115">
        <v>19.2</v>
      </c>
      <c r="AE59" s="115">
        <v>19.2</v>
      </c>
      <c r="AF59" s="115">
        <v>19.2</v>
      </c>
      <c r="AG59" s="115">
        <v>19.2</v>
      </c>
      <c r="AH59" s="115">
        <v>19.2</v>
      </c>
      <c r="AI59" s="115">
        <v>19.2</v>
      </c>
      <c r="AJ59" s="115">
        <v>19.2</v>
      </c>
      <c r="AK59" s="115">
        <v>19.2</v>
      </c>
      <c r="AL59" s="115">
        <v>19.2</v>
      </c>
      <c r="AM59" s="115">
        <v>19.2</v>
      </c>
      <c r="AN59" s="115">
        <v>19.2</v>
      </c>
      <c r="AO59" s="211">
        <v>19.2</v>
      </c>
      <c r="AP59" s="60"/>
      <c r="AQ59" s="60"/>
    </row>
    <row r="60" spans="21:78" s="41" customFormat="1" ht="15" customHeight="1">
      <c r="U60" s="302"/>
      <c r="V60" s="51">
        <v>2000</v>
      </c>
      <c r="W60" s="115">
        <v>4.8</v>
      </c>
      <c r="X60" s="115">
        <v>4.8</v>
      </c>
      <c r="Y60" s="115">
        <v>14.4</v>
      </c>
      <c r="Z60" s="115">
        <v>14.4</v>
      </c>
      <c r="AA60" s="115">
        <v>14.4</v>
      </c>
      <c r="AB60" s="115">
        <v>19.2</v>
      </c>
      <c r="AC60" s="115">
        <v>19.2</v>
      </c>
      <c r="AD60" s="115">
        <v>19.2</v>
      </c>
      <c r="AE60" s="115">
        <v>19.2</v>
      </c>
      <c r="AF60" s="115">
        <v>19.2</v>
      </c>
      <c r="AG60" s="115">
        <v>14.4</v>
      </c>
      <c r="AH60" s="115">
        <v>14.4</v>
      </c>
      <c r="AI60" s="115">
        <v>14.4</v>
      </c>
      <c r="AJ60" s="115">
        <v>14.4</v>
      </c>
      <c r="AK60" s="115">
        <v>14.4</v>
      </c>
      <c r="AL60" s="115">
        <v>14.4</v>
      </c>
      <c r="AM60" s="115">
        <v>14.4</v>
      </c>
      <c r="AN60" s="115">
        <v>14.4</v>
      </c>
      <c r="AO60" s="211">
        <v>14.4</v>
      </c>
      <c r="AP60" s="60"/>
      <c r="AQ60" s="60"/>
    </row>
    <row r="61" spans="21:78">
      <c r="U61" s="302"/>
      <c r="V61" s="51">
        <v>2500</v>
      </c>
      <c r="W61" s="115">
        <v>9.6</v>
      </c>
      <c r="X61" s="115">
        <v>9.6</v>
      </c>
      <c r="Y61" s="115">
        <v>14.4</v>
      </c>
      <c r="Z61" s="115">
        <v>14.4</v>
      </c>
      <c r="AA61" s="115">
        <v>14.4</v>
      </c>
      <c r="AB61" s="115">
        <v>19.2</v>
      </c>
      <c r="AC61" s="115">
        <v>19.2</v>
      </c>
      <c r="AD61" s="115">
        <v>19.2</v>
      </c>
      <c r="AE61" s="115">
        <v>19.2</v>
      </c>
      <c r="AF61" s="115">
        <v>19.2</v>
      </c>
      <c r="AG61" s="115">
        <v>14.4</v>
      </c>
      <c r="AH61" s="115">
        <v>14.4</v>
      </c>
      <c r="AI61" s="115">
        <v>14.4</v>
      </c>
      <c r="AJ61" s="115">
        <v>14.4</v>
      </c>
      <c r="AK61" s="115">
        <v>14.4</v>
      </c>
      <c r="AL61" s="115">
        <v>14.4</v>
      </c>
      <c r="AM61" s="115">
        <v>14.4</v>
      </c>
      <c r="AN61" s="115">
        <v>14.4</v>
      </c>
      <c r="AO61" s="211">
        <v>14.4</v>
      </c>
      <c r="AT61" s="37"/>
      <c r="AU61" s="37"/>
      <c r="AV61" s="37"/>
      <c r="AW61" s="37"/>
      <c r="AX61" s="37"/>
      <c r="AY61" s="37"/>
      <c r="AZ61" s="37"/>
      <c r="BA61" s="37"/>
      <c r="BB61" s="37"/>
      <c r="BC61" s="37"/>
      <c r="BD61" s="37"/>
      <c r="BE61" s="37"/>
      <c r="BF61" s="37"/>
    </row>
    <row r="62" spans="21:78">
      <c r="U62" s="302"/>
      <c r="V62" s="51">
        <v>3000</v>
      </c>
      <c r="W62" s="115">
        <v>9.6</v>
      </c>
      <c r="X62" s="115">
        <v>9.6</v>
      </c>
      <c r="Y62" s="115">
        <v>14.4</v>
      </c>
      <c r="Z62" s="115">
        <v>14.4</v>
      </c>
      <c r="AA62" s="115">
        <v>14.4</v>
      </c>
      <c r="AB62" s="115">
        <v>19.2</v>
      </c>
      <c r="AC62" s="115">
        <v>19.2</v>
      </c>
      <c r="AD62" s="115">
        <v>19.2</v>
      </c>
      <c r="AE62" s="115">
        <v>19.2</v>
      </c>
      <c r="AF62" s="115">
        <v>14.4</v>
      </c>
      <c r="AG62" s="115">
        <v>14.4</v>
      </c>
      <c r="AH62" s="115">
        <v>14.4</v>
      </c>
      <c r="AI62" s="115">
        <v>14.4</v>
      </c>
      <c r="AJ62" s="115">
        <v>14.4</v>
      </c>
      <c r="AK62" s="115">
        <v>14.4</v>
      </c>
      <c r="AL62" s="115">
        <v>14.4</v>
      </c>
      <c r="AM62" s="115">
        <v>14.4</v>
      </c>
      <c r="AN62" s="115">
        <v>14.4</v>
      </c>
      <c r="AO62" s="211">
        <v>14.4</v>
      </c>
      <c r="AT62" s="37"/>
      <c r="AU62" s="37"/>
      <c r="AV62" s="37"/>
      <c r="AW62" s="37"/>
      <c r="AX62" s="37"/>
      <c r="AY62" s="37"/>
      <c r="AZ62" s="37"/>
      <c r="BA62" s="37"/>
      <c r="BB62" s="37"/>
      <c r="BC62" s="37"/>
      <c r="BD62" s="37"/>
      <c r="BE62" s="37"/>
      <c r="BF62" s="37"/>
      <c r="BG62" s="37"/>
    </row>
    <row r="63" spans="21:78">
      <c r="U63" s="302"/>
      <c r="V63" s="51">
        <v>3500</v>
      </c>
      <c r="W63" s="115">
        <v>9.6</v>
      </c>
      <c r="X63" s="115">
        <v>9.6</v>
      </c>
      <c r="Y63" s="115">
        <v>9.6</v>
      </c>
      <c r="Z63" s="115">
        <v>9.6</v>
      </c>
      <c r="AA63" s="115">
        <v>19.2</v>
      </c>
      <c r="AB63" s="115">
        <v>19.2</v>
      </c>
      <c r="AC63" s="115">
        <v>19.2</v>
      </c>
      <c r="AD63" s="115">
        <v>19.2</v>
      </c>
      <c r="AE63" s="115">
        <v>19.2</v>
      </c>
      <c r="AF63" s="115">
        <v>19.2</v>
      </c>
      <c r="AG63" s="115">
        <v>19.2</v>
      </c>
      <c r="AH63" s="115">
        <v>19.2</v>
      </c>
      <c r="AI63" s="115">
        <v>19.2</v>
      </c>
      <c r="AJ63" s="115">
        <v>19.2</v>
      </c>
      <c r="AK63" s="115">
        <v>19.2</v>
      </c>
      <c r="AL63" s="115">
        <v>19.2</v>
      </c>
      <c r="AM63" s="115">
        <v>19.2</v>
      </c>
      <c r="AN63" s="115">
        <v>19.2</v>
      </c>
      <c r="AO63" s="211">
        <v>19.2</v>
      </c>
      <c r="AT63" s="37"/>
      <c r="AU63" s="37"/>
      <c r="AV63" s="37"/>
      <c r="AW63" s="37"/>
      <c r="AX63" s="37"/>
      <c r="AY63" s="37"/>
      <c r="AZ63" s="37"/>
      <c r="BA63" s="37"/>
      <c r="BB63" s="37"/>
      <c r="BC63" s="37"/>
      <c r="BD63" s="37"/>
      <c r="BE63" s="37"/>
      <c r="BF63" s="37"/>
      <c r="BG63" s="37"/>
    </row>
    <row r="64" spans="21:78">
      <c r="U64" s="302"/>
      <c r="V64" s="51">
        <v>4000</v>
      </c>
      <c r="W64" s="115">
        <v>9.6</v>
      </c>
      <c r="X64" s="115">
        <v>9.6</v>
      </c>
      <c r="Y64" s="115">
        <v>9.6</v>
      </c>
      <c r="Z64" s="115">
        <v>9.6</v>
      </c>
      <c r="AA64" s="115">
        <v>19.2</v>
      </c>
      <c r="AB64" s="115">
        <v>19.2</v>
      </c>
      <c r="AC64" s="115">
        <v>19.2</v>
      </c>
      <c r="AD64" s="115">
        <v>19.2</v>
      </c>
      <c r="AE64" s="115">
        <v>19.2</v>
      </c>
      <c r="AF64" s="115">
        <v>14.4</v>
      </c>
      <c r="AG64" s="115">
        <v>14.4</v>
      </c>
      <c r="AH64" s="115">
        <v>14.4</v>
      </c>
      <c r="AI64" s="115">
        <v>14.4</v>
      </c>
      <c r="AJ64" s="115">
        <v>14.4</v>
      </c>
      <c r="AK64" s="115">
        <v>24</v>
      </c>
      <c r="AL64" s="115">
        <v>24</v>
      </c>
      <c r="AM64" s="115">
        <v>24</v>
      </c>
      <c r="AN64" s="115">
        <v>24</v>
      </c>
      <c r="AO64" s="211">
        <v>24</v>
      </c>
      <c r="AT64" s="37"/>
      <c r="AU64" s="37"/>
      <c r="AV64" s="37"/>
      <c r="AW64" s="37"/>
      <c r="AX64" s="37"/>
      <c r="AY64" s="37"/>
      <c r="AZ64" s="37"/>
      <c r="BA64" s="37"/>
      <c r="BB64" s="37"/>
      <c r="BC64" s="37"/>
      <c r="BD64" s="37"/>
      <c r="BE64" s="37"/>
      <c r="BF64" s="37"/>
      <c r="BG64" s="37"/>
    </row>
    <row r="65" spans="20:59">
      <c r="U65" s="302"/>
      <c r="V65" s="51">
        <v>4500</v>
      </c>
      <c r="W65" s="115">
        <v>9.6</v>
      </c>
      <c r="X65" s="115">
        <v>9.6</v>
      </c>
      <c r="Y65" s="115">
        <v>9.6</v>
      </c>
      <c r="Z65" s="115">
        <v>9.6</v>
      </c>
      <c r="AA65" s="115">
        <v>14.4</v>
      </c>
      <c r="AB65" s="115">
        <v>14.4</v>
      </c>
      <c r="AC65" s="115">
        <v>19.2</v>
      </c>
      <c r="AD65" s="115">
        <v>19.2</v>
      </c>
      <c r="AE65" s="115">
        <v>19.2</v>
      </c>
      <c r="AF65" s="115">
        <v>14.4</v>
      </c>
      <c r="AG65" s="115">
        <v>14.4</v>
      </c>
      <c r="AH65" s="115">
        <v>14.4</v>
      </c>
      <c r="AI65" s="115">
        <v>14.4</v>
      </c>
      <c r="AJ65" s="115">
        <v>14.4</v>
      </c>
      <c r="AK65" s="115">
        <v>24</v>
      </c>
      <c r="AL65" s="115">
        <v>24</v>
      </c>
      <c r="AM65" s="115">
        <v>24</v>
      </c>
      <c r="AN65" s="115">
        <v>24</v>
      </c>
      <c r="AO65" s="211">
        <v>24</v>
      </c>
      <c r="AT65" s="37"/>
      <c r="AU65" s="37"/>
      <c r="AV65" s="37"/>
      <c r="AW65" s="37"/>
      <c r="AX65" s="37"/>
      <c r="AY65" s="37"/>
      <c r="AZ65" s="37"/>
      <c r="BA65" s="37"/>
      <c r="BB65" s="37"/>
      <c r="BC65" s="37"/>
      <c r="BD65" s="37"/>
      <c r="BE65" s="37"/>
      <c r="BF65" s="37"/>
      <c r="BG65" s="37"/>
    </row>
    <row r="66" spans="20:59">
      <c r="U66" s="302"/>
      <c r="V66" s="51">
        <v>5000</v>
      </c>
      <c r="W66" s="115">
        <v>4.8</v>
      </c>
      <c r="X66" s="115">
        <v>4.8</v>
      </c>
      <c r="Y66" s="115">
        <v>4.8</v>
      </c>
      <c r="Z66" s="115">
        <v>4.8</v>
      </c>
      <c r="AA66" s="115">
        <v>4.8</v>
      </c>
      <c r="AB66" s="115">
        <v>14.4</v>
      </c>
      <c r="AC66" s="115">
        <v>14.4</v>
      </c>
      <c r="AD66" s="115">
        <v>14.4</v>
      </c>
      <c r="AE66" s="115">
        <v>14.4</v>
      </c>
      <c r="AF66" s="115">
        <v>14.4</v>
      </c>
      <c r="AG66" s="115">
        <v>14.4</v>
      </c>
      <c r="AH66" s="115">
        <v>14.4</v>
      </c>
      <c r="AI66" s="115">
        <v>14.4</v>
      </c>
      <c r="AJ66" s="115">
        <v>14.4</v>
      </c>
      <c r="AK66" s="115">
        <v>24</v>
      </c>
      <c r="AL66" s="115">
        <v>24</v>
      </c>
      <c r="AM66" s="115">
        <v>24</v>
      </c>
      <c r="AN66" s="115">
        <v>24</v>
      </c>
      <c r="AO66" s="211">
        <v>24</v>
      </c>
      <c r="AT66" s="37"/>
      <c r="AU66" s="37"/>
      <c r="AV66" s="37"/>
      <c r="AW66" s="37"/>
      <c r="AX66" s="37"/>
      <c r="AY66" s="37"/>
      <c r="AZ66" s="37"/>
      <c r="BA66" s="37"/>
      <c r="BB66" s="37"/>
      <c r="BC66" s="37"/>
      <c r="BD66" s="37"/>
      <c r="BE66" s="37"/>
      <c r="BF66" s="37"/>
      <c r="BG66" s="37"/>
    </row>
    <row r="67" spans="20:59">
      <c r="U67" s="302"/>
      <c r="V67" s="51">
        <v>5500</v>
      </c>
      <c r="W67" s="115">
        <v>4.8</v>
      </c>
      <c r="X67" s="115">
        <v>4.8</v>
      </c>
      <c r="Y67" s="115">
        <v>4.8</v>
      </c>
      <c r="Z67" s="115">
        <v>4.8</v>
      </c>
      <c r="AA67" s="115">
        <v>4.8</v>
      </c>
      <c r="AB67" s="115">
        <v>9.6</v>
      </c>
      <c r="AC67" s="115">
        <v>9.6</v>
      </c>
      <c r="AD67" s="115">
        <v>9.6</v>
      </c>
      <c r="AE67" s="115">
        <v>9.6</v>
      </c>
      <c r="AF67" s="115">
        <v>9.6</v>
      </c>
      <c r="AG67" s="115">
        <v>9.6</v>
      </c>
      <c r="AH67" s="115">
        <v>9.6</v>
      </c>
      <c r="AI67" s="115">
        <v>9.6</v>
      </c>
      <c r="AJ67" s="115">
        <v>14.4</v>
      </c>
      <c r="AK67" s="115">
        <v>19.2</v>
      </c>
      <c r="AL67" s="115">
        <v>19.2</v>
      </c>
      <c r="AM67" s="115">
        <v>19.2</v>
      </c>
      <c r="AN67" s="115">
        <v>19.2</v>
      </c>
      <c r="AO67" s="211">
        <v>19.2</v>
      </c>
      <c r="AT67" s="37"/>
      <c r="AU67" s="37"/>
      <c r="AV67" s="37"/>
      <c r="AW67" s="37"/>
      <c r="AX67" s="37"/>
      <c r="AY67" s="37"/>
      <c r="AZ67" s="37"/>
      <c r="BA67" s="37"/>
      <c r="BB67" s="37"/>
      <c r="BC67" s="37"/>
      <c r="BD67" s="37"/>
      <c r="BE67" s="37"/>
      <c r="BF67" s="37"/>
      <c r="BG67" s="37"/>
    </row>
    <row r="68" spans="20:59">
      <c r="U68" s="302"/>
      <c r="V68" s="51">
        <v>6000</v>
      </c>
      <c r="W68" s="115">
        <v>4.8</v>
      </c>
      <c r="X68" s="115">
        <v>4.8</v>
      </c>
      <c r="Y68" s="115">
        <v>4.8</v>
      </c>
      <c r="Z68" s="115">
        <v>4.8</v>
      </c>
      <c r="AA68" s="115">
        <v>4.8</v>
      </c>
      <c r="AB68" s="115">
        <v>4.8</v>
      </c>
      <c r="AC68" s="115">
        <v>4.8</v>
      </c>
      <c r="AD68" s="115">
        <v>4.8</v>
      </c>
      <c r="AE68" s="115">
        <v>4.8</v>
      </c>
      <c r="AF68" s="115">
        <v>4.8</v>
      </c>
      <c r="AG68" s="115">
        <v>9.6</v>
      </c>
      <c r="AH68" s="115">
        <v>9.6</v>
      </c>
      <c r="AI68" s="115">
        <v>9.6</v>
      </c>
      <c r="AJ68" s="115">
        <v>9.6</v>
      </c>
      <c r="AK68" s="115">
        <v>9.6</v>
      </c>
      <c r="AL68" s="115">
        <v>9.6</v>
      </c>
      <c r="AM68" s="115">
        <v>9.6</v>
      </c>
      <c r="AN68" s="115">
        <v>9.6</v>
      </c>
      <c r="AO68" s="211">
        <v>9.6</v>
      </c>
      <c r="AT68" s="37"/>
      <c r="AU68" s="37"/>
      <c r="AV68" s="37"/>
      <c r="AW68" s="37"/>
      <c r="AX68" s="37"/>
      <c r="AY68" s="37"/>
      <c r="AZ68" s="37"/>
      <c r="BA68" s="37"/>
      <c r="BB68" s="37"/>
      <c r="BC68" s="37"/>
      <c r="BD68" s="37"/>
      <c r="BE68" s="37"/>
      <c r="BF68" s="37"/>
      <c r="BG68" s="37"/>
    </row>
    <row r="69" spans="20:59">
      <c r="U69" s="302"/>
      <c r="V69" s="111">
        <v>6500</v>
      </c>
      <c r="W69" s="115">
        <v>0</v>
      </c>
      <c r="X69" s="115">
        <v>0</v>
      </c>
      <c r="Y69" s="115">
        <v>0</v>
      </c>
      <c r="Z69" s="115">
        <v>0</v>
      </c>
      <c r="AA69" s="115">
        <v>0</v>
      </c>
      <c r="AB69" s="115">
        <v>0</v>
      </c>
      <c r="AC69" s="115">
        <v>0</v>
      </c>
      <c r="AD69" s="115">
        <v>0</v>
      </c>
      <c r="AE69" s="115">
        <v>0</v>
      </c>
      <c r="AF69" s="115">
        <v>0</v>
      </c>
      <c r="AG69" s="115">
        <v>0</v>
      </c>
      <c r="AH69" s="115">
        <v>0</v>
      </c>
      <c r="AI69" s="115">
        <v>0</v>
      </c>
      <c r="AJ69" s="115">
        <v>0</v>
      </c>
      <c r="AK69" s="115">
        <v>0</v>
      </c>
      <c r="AL69" s="115">
        <v>0</v>
      </c>
      <c r="AM69" s="115">
        <v>0</v>
      </c>
      <c r="AN69" s="115">
        <v>0</v>
      </c>
      <c r="AO69" s="211">
        <v>0</v>
      </c>
      <c r="AT69" s="37"/>
      <c r="AU69" s="37"/>
      <c r="AV69" s="37"/>
      <c r="AW69" s="37"/>
      <c r="AX69" s="37"/>
      <c r="AY69" s="37"/>
      <c r="AZ69" s="37"/>
      <c r="BA69" s="37"/>
      <c r="BB69" s="37"/>
      <c r="BC69" s="37"/>
      <c r="BD69" s="37"/>
      <c r="BE69" s="37"/>
      <c r="BF69" s="37"/>
      <c r="BG69" s="37"/>
    </row>
    <row r="70" spans="20:59" ht="13.5" thickBot="1">
      <c r="U70" s="303"/>
      <c r="V70" s="57">
        <v>7000</v>
      </c>
      <c r="W70" s="212">
        <v>0</v>
      </c>
      <c r="X70" s="212">
        <v>0</v>
      </c>
      <c r="Y70" s="212">
        <v>0</v>
      </c>
      <c r="Z70" s="212">
        <v>0</v>
      </c>
      <c r="AA70" s="212">
        <v>0</v>
      </c>
      <c r="AB70" s="212">
        <v>0</v>
      </c>
      <c r="AC70" s="212">
        <v>0</v>
      </c>
      <c r="AD70" s="212">
        <v>0</v>
      </c>
      <c r="AE70" s="212">
        <v>0</v>
      </c>
      <c r="AF70" s="212">
        <v>0</v>
      </c>
      <c r="AG70" s="212">
        <v>0</v>
      </c>
      <c r="AH70" s="212">
        <v>0</v>
      </c>
      <c r="AI70" s="212">
        <v>0</v>
      </c>
      <c r="AJ70" s="212">
        <v>0</v>
      </c>
      <c r="AK70" s="212">
        <v>0</v>
      </c>
      <c r="AL70" s="212">
        <v>0</v>
      </c>
      <c r="AM70" s="212">
        <v>0</v>
      </c>
      <c r="AN70" s="212">
        <v>0</v>
      </c>
      <c r="AO70" s="213">
        <v>0</v>
      </c>
      <c r="AT70" s="37"/>
      <c r="AU70" s="37"/>
      <c r="AV70" s="37"/>
      <c r="AW70" s="37"/>
      <c r="AX70" s="37"/>
      <c r="AY70" s="37"/>
      <c r="AZ70" s="37"/>
      <c r="BA70" s="37"/>
      <c r="BB70" s="37"/>
      <c r="BC70" s="37"/>
      <c r="BD70" s="37"/>
      <c r="BE70" s="37"/>
      <c r="BF70" s="37"/>
      <c r="BG70" s="37"/>
    </row>
    <row r="71" spans="20:59">
      <c r="AD71" s="9"/>
      <c r="AE71" s="9"/>
      <c r="AT71" s="37"/>
      <c r="AU71" s="37"/>
      <c r="AV71" s="37"/>
      <c r="AW71" s="37"/>
      <c r="AX71" s="37"/>
      <c r="AY71" s="37"/>
      <c r="AZ71" s="37"/>
      <c r="BA71" s="37"/>
      <c r="BB71" s="37"/>
      <c r="BC71" s="37"/>
      <c r="BD71" s="37"/>
      <c r="BE71" s="37"/>
      <c r="BF71" s="37"/>
      <c r="BG71" s="37"/>
    </row>
    <row r="72" spans="20:59">
      <c r="AD72" s="9"/>
      <c r="AE72" s="9"/>
      <c r="AT72" s="37"/>
      <c r="AU72" s="37"/>
      <c r="AV72" s="37"/>
      <c r="AW72" s="37"/>
      <c r="AX72" s="37"/>
      <c r="AY72" s="37"/>
      <c r="AZ72" s="37"/>
      <c r="BA72" s="37"/>
      <c r="BB72" s="37"/>
      <c r="BC72" s="37"/>
      <c r="BD72" s="37"/>
      <c r="BE72" s="37"/>
      <c r="BF72" s="37"/>
      <c r="BG72" s="37"/>
    </row>
    <row r="73" spans="20:59">
      <c r="AD73" s="9"/>
      <c r="AE73" s="9"/>
      <c r="AT73" s="37"/>
      <c r="AU73" s="37"/>
      <c r="AV73" s="37"/>
      <c r="AW73" s="37"/>
      <c r="AX73" s="37"/>
      <c r="AY73" s="37"/>
      <c r="AZ73" s="37"/>
      <c r="BA73" s="37"/>
      <c r="BB73" s="37"/>
      <c r="BC73" s="37"/>
      <c r="BD73" s="37"/>
      <c r="BE73" s="37"/>
      <c r="BF73" s="37"/>
      <c r="BG73" s="37"/>
    </row>
    <row r="74" spans="20:59">
      <c r="AD74" s="9"/>
      <c r="AE74" s="9"/>
      <c r="AT74" s="37"/>
      <c r="AU74" s="37"/>
      <c r="AV74" s="37"/>
      <c r="AW74" s="37"/>
      <c r="AX74" s="37"/>
      <c r="AY74" s="37"/>
      <c r="AZ74" s="37"/>
      <c r="BA74" s="37"/>
      <c r="BB74" s="37"/>
      <c r="BC74" s="37"/>
      <c r="BD74" s="37"/>
      <c r="BE74" s="37"/>
      <c r="BF74" s="37"/>
      <c r="BG74" s="37"/>
    </row>
    <row r="75" spans="20:59">
      <c r="AD75" s="9"/>
      <c r="AE75" s="9"/>
      <c r="AT75" s="37"/>
      <c r="AU75" s="37"/>
      <c r="AV75" s="37"/>
      <c r="AW75" s="37"/>
      <c r="AX75" s="37"/>
      <c r="AY75" s="37"/>
      <c r="AZ75" s="37"/>
      <c r="BA75" s="37"/>
      <c r="BB75" s="37"/>
      <c r="BC75" s="37"/>
      <c r="BD75" s="37"/>
      <c r="BE75" s="37"/>
      <c r="BF75" s="37"/>
      <c r="BG75" s="37"/>
    </row>
    <row r="76" spans="20:59" ht="18.75" thickBot="1">
      <c r="T76" s="287"/>
      <c r="U76" s="287"/>
      <c r="V76" s="287"/>
      <c r="W76" s="287"/>
      <c r="X76" s="287"/>
      <c r="Y76" s="287"/>
      <c r="Z76" s="287"/>
      <c r="AA76" s="287"/>
      <c r="AB76" s="287"/>
      <c r="AC76" s="287"/>
      <c r="AD76" s="287"/>
      <c r="AE76" s="287"/>
      <c r="AF76" s="287"/>
      <c r="AG76" s="287"/>
      <c r="AH76" s="287"/>
      <c r="AI76" s="287"/>
      <c r="AJ76" s="287"/>
      <c r="AK76" s="287"/>
      <c r="AL76" s="287"/>
      <c r="AM76" s="287"/>
      <c r="AN76" s="287"/>
      <c r="AO76" s="287"/>
      <c r="AP76" s="287"/>
      <c r="BC76" s="37"/>
      <c r="BD76" s="37"/>
      <c r="BE76" s="37"/>
      <c r="BF76" s="37"/>
      <c r="BG76" s="37"/>
    </row>
    <row r="77" spans="20:59" ht="18.75" customHeight="1" thickBot="1">
      <c r="T77" s="99"/>
      <c r="U77" s="278">
        <v>4</v>
      </c>
      <c r="V77" s="279"/>
      <c r="W77" s="304" t="s">
        <v>49</v>
      </c>
      <c r="X77" s="305"/>
      <c r="Y77" s="305"/>
      <c r="Z77" s="305"/>
      <c r="AA77" s="305"/>
      <c r="AB77" s="305"/>
      <c r="AC77" s="305"/>
      <c r="AD77" s="305"/>
      <c r="AE77" s="305"/>
      <c r="AF77" s="305"/>
      <c r="AG77" s="305"/>
      <c r="AH77" s="305"/>
      <c r="AI77" s="305"/>
      <c r="AJ77" s="305"/>
      <c r="AK77" s="305"/>
      <c r="AL77" s="305"/>
      <c r="AM77" s="305"/>
      <c r="AN77" s="305"/>
      <c r="AO77" s="306"/>
      <c r="AP77" s="99"/>
      <c r="AT77" s="37"/>
      <c r="AU77" s="37"/>
      <c r="AV77" s="37"/>
      <c r="BC77" s="37"/>
      <c r="BD77" s="37"/>
      <c r="BE77" s="37"/>
      <c r="BF77" s="37"/>
      <c r="BG77" s="37"/>
    </row>
    <row r="78" spans="20:59" ht="16.5" customHeight="1">
      <c r="T78" s="99"/>
      <c r="U78" s="280"/>
      <c r="V78" s="281"/>
      <c r="W78" s="417" t="str">
        <f>W28</f>
        <v>Load Value</v>
      </c>
      <c r="X78" s="418"/>
      <c r="Y78" s="418"/>
      <c r="Z78" s="418"/>
      <c r="AA78" s="418"/>
      <c r="AB78" s="418"/>
      <c r="AC78" s="418"/>
      <c r="AD78" s="418"/>
      <c r="AE78" s="418"/>
      <c r="AF78" s="418"/>
      <c r="AG78" s="418"/>
      <c r="AH78" s="418"/>
      <c r="AI78" s="418"/>
      <c r="AJ78" s="418"/>
      <c r="AK78" s="418"/>
      <c r="AL78" s="418"/>
      <c r="AM78" s="418"/>
      <c r="AN78" s="418"/>
      <c r="AO78" s="419"/>
      <c r="AP78" s="99"/>
    </row>
    <row r="79" spans="20:59" ht="13.5" customHeight="1" thickBot="1">
      <c r="T79" s="99"/>
      <c r="U79" s="282"/>
      <c r="V79" s="283"/>
      <c r="W79" s="103">
        <v>0</v>
      </c>
      <c r="X79" s="104">
        <v>10</v>
      </c>
      <c r="Y79" s="104">
        <v>20</v>
      </c>
      <c r="Z79" s="104">
        <v>30</v>
      </c>
      <c r="AA79" s="105">
        <v>40</v>
      </c>
      <c r="AB79" s="105">
        <v>50</v>
      </c>
      <c r="AC79" s="105">
        <v>60</v>
      </c>
      <c r="AD79" s="105">
        <v>70</v>
      </c>
      <c r="AE79" s="105">
        <v>80</v>
      </c>
      <c r="AF79" s="105">
        <v>90</v>
      </c>
      <c r="AG79" s="105">
        <v>100</v>
      </c>
      <c r="AH79" s="105">
        <v>120</v>
      </c>
      <c r="AI79" s="106">
        <v>140</v>
      </c>
      <c r="AJ79" s="106">
        <v>160</v>
      </c>
      <c r="AK79" s="106">
        <v>180</v>
      </c>
      <c r="AL79" s="106">
        <v>200</v>
      </c>
      <c r="AM79" s="106">
        <v>220</v>
      </c>
      <c r="AN79" s="107">
        <v>240</v>
      </c>
      <c r="AO79" s="192">
        <v>260</v>
      </c>
      <c r="AP79" s="99"/>
    </row>
    <row r="80" spans="20:59">
      <c r="T80" s="99"/>
      <c r="U80" s="301" t="str">
        <f>U30</f>
        <v>RPM</v>
      </c>
      <c r="V80" s="47">
        <v>500</v>
      </c>
      <c r="W80" s="94">
        <v>0</v>
      </c>
      <c r="X80" s="94">
        <v>0</v>
      </c>
      <c r="Y80" s="94">
        <v>0</v>
      </c>
      <c r="Z80" s="94">
        <v>0</v>
      </c>
      <c r="AA80" s="94">
        <v>0</v>
      </c>
      <c r="AB80" s="94">
        <v>0</v>
      </c>
      <c r="AC80" s="94">
        <v>0</v>
      </c>
      <c r="AD80" s="94">
        <v>0</v>
      </c>
      <c r="AE80" s="94">
        <v>0</v>
      </c>
      <c r="AF80" s="94">
        <v>0</v>
      </c>
      <c r="AG80" s="94">
        <v>0</v>
      </c>
      <c r="AH80" s="94">
        <v>0</v>
      </c>
      <c r="AI80" s="94">
        <v>0</v>
      </c>
      <c r="AJ80" s="94">
        <v>0</v>
      </c>
      <c r="AK80" s="94">
        <v>0</v>
      </c>
      <c r="AL80" s="94">
        <v>0</v>
      </c>
      <c r="AM80" s="94">
        <v>0</v>
      </c>
      <c r="AN80" s="94">
        <v>0</v>
      </c>
      <c r="AO80" s="95">
        <v>0</v>
      </c>
      <c r="AP80" s="99"/>
    </row>
    <row r="81" spans="20:59">
      <c r="T81" s="99"/>
      <c r="U81" s="302"/>
      <c r="V81" s="49">
        <v>750</v>
      </c>
      <c r="W81" s="94">
        <v>0</v>
      </c>
      <c r="X81" s="94">
        <v>0</v>
      </c>
      <c r="Y81" s="94">
        <v>0</v>
      </c>
      <c r="Z81" s="94">
        <v>0</v>
      </c>
      <c r="AA81" s="94">
        <v>0</v>
      </c>
      <c r="AB81" s="94">
        <v>0</v>
      </c>
      <c r="AC81" s="94">
        <v>0</v>
      </c>
      <c r="AD81" s="94">
        <v>0</v>
      </c>
      <c r="AE81" s="94">
        <v>0</v>
      </c>
      <c r="AF81" s="94">
        <v>0</v>
      </c>
      <c r="AG81" s="94">
        <v>0</v>
      </c>
      <c r="AH81" s="94">
        <v>0</v>
      </c>
      <c r="AI81" s="94">
        <v>0</v>
      </c>
      <c r="AJ81" s="94">
        <v>0</v>
      </c>
      <c r="AK81" s="94">
        <v>0</v>
      </c>
      <c r="AL81" s="94">
        <v>0</v>
      </c>
      <c r="AM81" s="94">
        <v>0</v>
      </c>
      <c r="AN81" s="94">
        <v>0</v>
      </c>
      <c r="AO81" s="95">
        <v>0</v>
      </c>
      <c r="AP81" s="99"/>
    </row>
    <row r="82" spans="20:59">
      <c r="T82" s="99"/>
      <c r="U82" s="302"/>
      <c r="V82" s="50">
        <v>1000</v>
      </c>
      <c r="W82" s="94">
        <v>0</v>
      </c>
      <c r="X82" s="94">
        <v>0</v>
      </c>
      <c r="Y82" s="94">
        <v>0</v>
      </c>
      <c r="Z82" s="94">
        <v>0</v>
      </c>
      <c r="AA82" s="94">
        <v>0</v>
      </c>
      <c r="AB82" s="94">
        <v>0</v>
      </c>
      <c r="AC82" s="94">
        <v>0</v>
      </c>
      <c r="AD82" s="94">
        <v>0</v>
      </c>
      <c r="AE82" s="94">
        <v>0</v>
      </c>
      <c r="AF82" s="94">
        <v>0</v>
      </c>
      <c r="AG82" s="94">
        <v>0</v>
      </c>
      <c r="AH82" s="94">
        <v>0</v>
      </c>
      <c r="AI82" s="94">
        <v>0</v>
      </c>
      <c r="AJ82" s="94">
        <v>0</v>
      </c>
      <c r="AK82" s="94">
        <v>0</v>
      </c>
      <c r="AL82" s="94">
        <v>0</v>
      </c>
      <c r="AM82" s="94">
        <v>0</v>
      </c>
      <c r="AN82" s="94">
        <v>0</v>
      </c>
      <c r="AO82" s="95">
        <v>0</v>
      </c>
      <c r="AP82" s="99"/>
    </row>
    <row r="83" spans="20:59">
      <c r="T83" s="99"/>
      <c r="U83" s="302"/>
      <c r="V83" s="50">
        <v>1250</v>
      </c>
      <c r="W83" s="94">
        <v>0</v>
      </c>
      <c r="X83" s="94">
        <v>0</v>
      </c>
      <c r="Y83" s="94">
        <v>0</v>
      </c>
      <c r="Z83" s="94">
        <v>0</v>
      </c>
      <c r="AA83" s="94">
        <v>0</v>
      </c>
      <c r="AB83" s="94">
        <v>0</v>
      </c>
      <c r="AC83" s="94">
        <v>0</v>
      </c>
      <c r="AD83" s="94">
        <v>0</v>
      </c>
      <c r="AE83" s="94">
        <v>0</v>
      </c>
      <c r="AF83" s="94">
        <v>0</v>
      </c>
      <c r="AG83" s="94">
        <v>0</v>
      </c>
      <c r="AH83" s="94">
        <v>0</v>
      </c>
      <c r="AI83" s="94">
        <v>0</v>
      </c>
      <c r="AJ83" s="94">
        <v>0</v>
      </c>
      <c r="AK83" s="94">
        <v>0</v>
      </c>
      <c r="AL83" s="94">
        <v>0</v>
      </c>
      <c r="AM83" s="94">
        <v>0</v>
      </c>
      <c r="AN83" s="94">
        <v>0</v>
      </c>
      <c r="AO83" s="95">
        <v>0</v>
      </c>
      <c r="AP83" s="99"/>
    </row>
    <row r="84" spans="20:59">
      <c r="T84" s="99"/>
      <c r="U84" s="302"/>
      <c r="V84" s="50">
        <v>1500</v>
      </c>
      <c r="W84" s="94">
        <v>0</v>
      </c>
      <c r="X84" s="94">
        <v>0</v>
      </c>
      <c r="Y84" s="94">
        <v>0</v>
      </c>
      <c r="Z84" s="94">
        <v>0</v>
      </c>
      <c r="AA84" s="94">
        <v>0</v>
      </c>
      <c r="AB84" s="94">
        <v>0</v>
      </c>
      <c r="AC84" s="94">
        <v>0</v>
      </c>
      <c r="AD84" s="94">
        <v>0</v>
      </c>
      <c r="AE84" s="94">
        <v>0</v>
      </c>
      <c r="AF84" s="94">
        <v>0</v>
      </c>
      <c r="AG84" s="94">
        <v>0</v>
      </c>
      <c r="AH84" s="94">
        <v>0</v>
      </c>
      <c r="AI84" s="94">
        <v>0</v>
      </c>
      <c r="AJ84" s="94">
        <v>0</v>
      </c>
      <c r="AK84" s="94">
        <v>0</v>
      </c>
      <c r="AL84" s="94">
        <v>0</v>
      </c>
      <c r="AM84" s="94">
        <v>0</v>
      </c>
      <c r="AN84" s="94">
        <v>0</v>
      </c>
      <c r="AO84" s="95">
        <v>0</v>
      </c>
      <c r="AP84" s="99"/>
    </row>
    <row r="85" spans="20:59" ht="15" customHeight="1">
      <c r="T85" s="99"/>
      <c r="U85" s="302"/>
      <c r="V85" s="51">
        <v>2000</v>
      </c>
      <c r="W85" s="94">
        <v>0</v>
      </c>
      <c r="X85" s="94">
        <v>0</v>
      </c>
      <c r="Y85" s="94">
        <v>0</v>
      </c>
      <c r="Z85" s="94">
        <v>0</v>
      </c>
      <c r="AA85" s="94">
        <v>0</v>
      </c>
      <c r="AB85" s="94">
        <v>0</v>
      </c>
      <c r="AC85" s="94">
        <v>0</v>
      </c>
      <c r="AD85" s="94">
        <v>0</v>
      </c>
      <c r="AE85" s="94">
        <v>0</v>
      </c>
      <c r="AF85" s="94">
        <v>0</v>
      </c>
      <c r="AG85" s="94">
        <v>0</v>
      </c>
      <c r="AH85" s="94">
        <v>0</v>
      </c>
      <c r="AI85" s="94">
        <v>0</v>
      </c>
      <c r="AJ85" s="94">
        <v>0</v>
      </c>
      <c r="AK85" s="94">
        <v>0</v>
      </c>
      <c r="AL85" s="94">
        <v>0</v>
      </c>
      <c r="AM85" s="94">
        <v>0</v>
      </c>
      <c r="AN85" s="94">
        <v>0</v>
      </c>
      <c r="AO85" s="95">
        <v>0</v>
      </c>
      <c r="AP85" s="99"/>
    </row>
    <row r="86" spans="20:59">
      <c r="T86" s="99"/>
      <c r="U86" s="302"/>
      <c r="V86" s="51">
        <v>2500</v>
      </c>
      <c r="W86" s="94">
        <v>0</v>
      </c>
      <c r="X86" s="94">
        <v>0</v>
      </c>
      <c r="Y86" s="94">
        <v>0</v>
      </c>
      <c r="Z86" s="94">
        <v>0</v>
      </c>
      <c r="AA86" s="94">
        <v>0</v>
      </c>
      <c r="AB86" s="94">
        <v>0</v>
      </c>
      <c r="AC86" s="94">
        <v>0</v>
      </c>
      <c r="AD86" s="94">
        <v>0</v>
      </c>
      <c r="AE86" s="94">
        <v>0</v>
      </c>
      <c r="AF86" s="94">
        <v>0</v>
      </c>
      <c r="AG86" s="94">
        <v>0</v>
      </c>
      <c r="AH86" s="94">
        <v>0</v>
      </c>
      <c r="AI86" s="94">
        <v>0</v>
      </c>
      <c r="AJ86" s="94">
        <v>0</v>
      </c>
      <c r="AK86" s="94">
        <v>0</v>
      </c>
      <c r="AL86" s="94">
        <v>0</v>
      </c>
      <c r="AM86" s="94">
        <v>0</v>
      </c>
      <c r="AN86" s="94">
        <v>0</v>
      </c>
      <c r="AO86" s="95">
        <v>0</v>
      </c>
      <c r="AP86" s="99"/>
    </row>
    <row r="87" spans="20:59">
      <c r="T87" s="99"/>
      <c r="U87" s="302"/>
      <c r="V87" s="51">
        <v>3000</v>
      </c>
      <c r="W87" s="94">
        <v>0</v>
      </c>
      <c r="X87" s="94">
        <v>0</v>
      </c>
      <c r="Y87" s="94">
        <v>0</v>
      </c>
      <c r="Z87" s="94">
        <v>0</v>
      </c>
      <c r="AA87" s="94">
        <v>0</v>
      </c>
      <c r="AB87" s="94">
        <v>0</v>
      </c>
      <c r="AC87" s="94">
        <v>0</v>
      </c>
      <c r="AD87" s="94">
        <v>0</v>
      </c>
      <c r="AE87" s="94">
        <v>0</v>
      </c>
      <c r="AF87" s="94">
        <v>0</v>
      </c>
      <c r="AG87" s="94">
        <v>0</v>
      </c>
      <c r="AH87" s="94">
        <v>0</v>
      </c>
      <c r="AI87" s="94">
        <v>0</v>
      </c>
      <c r="AJ87" s="94">
        <v>0</v>
      </c>
      <c r="AK87" s="94">
        <v>0</v>
      </c>
      <c r="AL87" s="94">
        <v>0</v>
      </c>
      <c r="AM87" s="94">
        <v>0</v>
      </c>
      <c r="AN87" s="94">
        <v>0</v>
      </c>
      <c r="AO87" s="95">
        <v>0</v>
      </c>
      <c r="AP87" s="99"/>
    </row>
    <row r="88" spans="20:59">
      <c r="T88" s="99"/>
      <c r="U88" s="302"/>
      <c r="V88" s="51">
        <v>3500</v>
      </c>
      <c r="W88" s="94">
        <v>0</v>
      </c>
      <c r="X88" s="94">
        <v>0</v>
      </c>
      <c r="Y88" s="94">
        <v>0</v>
      </c>
      <c r="Z88" s="94">
        <v>0</v>
      </c>
      <c r="AA88" s="94">
        <v>0</v>
      </c>
      <c r="AB88" s="94">
        <v>0</v>
      </c>
      <c r="AC88" s="94">
        <v>0</v>
      </c>
      <c r="AD88" s="94">
        <v>0</v>
      </c>
      <c r="AE88" s="94">
        <v>0</v>
      </c>
      <c r="AF88" s="94">
        <v>0</v>
      </c>
      <c r="AG88" s="94">
        <v>0</v>
      </c>
      <c r="AH88" s="94">
        <v>0</v>
      </c>
      <c r="AI88" s="94">
        <v>0</v>
      </c>
      <c r="AJ88" s="94">
        <v>0</v>
      </c>
      <c r="AK88" s="94">
        <v>0</v>
      </c>
      <c r="AL88" s="94">
        <v>0</v>
      </c>
      <c r="AM88" s="94">
        <v>0</v>
      </c>
      <c r="AN88" s="94">
        <v>0</v>
      </c>
      <c r="AO88" s="95">
        <v>0</v>
      </c>
      <c r="AP88" s="99"/>
    </row>
    <row r="89" spans="20:59">
      <c r="T89" s="99"/>
      <c r="U89" s="302"/>
      <c r="V89" s="51">
        <v>4000</v>
      </c>
      <c r="W89" s="94">
        <v>0</v>
      </c>
      <c r="X89" s="94">
        <v>0</v>
      </c>
      <c r="Y89" s="94">
        <v>0</v>
      </c>
      <c r="Z89" s="94">
        <v>0</v>
      </c>
      <c r="AA89" s="94">
        <v>0</v>
      </c>
      <c r="AB89" s="94">
        <v>0</v>
      </c>
      <c r="AC89" s="94">
        <v>0</v>
      </c>
      <c r="AD89" s="94">
        <v>0</v>
      </c>
      <c r="AE89" s="94">
        <v>0</v>
      </c>
      <c r="AF89" s="94">
        <v>0</v>
      </c>
      <c r="AG89" s="94">
        <v>0</v>
      </c>
      <c r="AH89" s="94">
        <v>0</v>
      </c>
      <c r="AI89" s="94">
        <v>0</v>
      </c>
      <c r="AJ89" s="94">
        <v>0</v>
      </c>
      <c r="AK89" s="94">
        <v>0</v>
      </c>
      <c r="AL89" s="94">
        <v>0</v>
      </c>
      <c r="AM89" s="94">
        <v>0</v>
      </c>
      <c r="AN89" s="94">
        <v>0</v>
      </c>
      <c r="AO89" s="95">
        <v>0</v>
      </c>
      <c r="AP89" s="99"/>
    </row>
    <row r="90" spans="20:59">
      <c r="T90" s="99"/>
      <c r="U90" s="302"/>
      <c r="V90" s="51">
        <v>4500</v>
      </c>
      <c r="W90" s="94">
        <v>0</v>
      </c>
      <c r="X90" s="94">
        <v>0</v>
      </c>
      <c r="Y90" s="94">
        <v>0</v>
      </c>
      <c r="Z90" s="94">
        <v>0</v>
      </c>
      <c r="AA90" s="94">
        <v>0</v>
      </c>
      <c r="AB90" s="94">
        <v>0</v>
      </c>
      <c r="AC90" s="94">
        <v>0</v>
      </c>
      <c r="AD90" s="94">
        <v>0</v>
      </c>
      <c r="AE90" s="94">
        <v>0</v>
      </c>
      <c r="AF90" s="94">
        <v>0</v>
      </c>
      <c r="AG90" s="94">
        <v>0</v>
      </c>
      <c r="AH90" s="94">
        <v>0</v>
      </c>
      <c r="AI90" s="94">
        <v>0</v>
      </c>
      <c r="AJ90" s="94">
        <v>0</v>
      </c>
      <c r="AK90" s="94">
        <v>0</v>
      </c>
      <c r="AL90" s="94">
        <v>0</v>
      </c>
      <c r="AM90" s="94">
        <v>0</v>
      </c>
      <c r="AN90" s="94">
        <v>0</v>
      </c>
      <c r="AO90" s="95">
        <v>0</v>
      </c>
      <c r="AP90" s="99"/>
      <c r="AS90" s="38"/>
      <c r="AT90" s="39"/>
      <c r="BG90" s="37"/>
    </row>
    <row r="91" spans="20:59" ht="13.5" customHeight="1">
      <c r="T91" s="99"/>
      <c r="U91" s="302"/>
      <c r="V91" s="51">
        <v>5000</v>
      </c>
      <c r="W91" s="94">
        <v>0</v>
      </c>
      <c r="X91" s="94">
        <v>0</v>
      </c>
      <c r="Y91" s="94">
        <v>0</v>
      </c>
      <c r="Z91" s="94">
        <v>0</v>
      </c>
      <c r="AA91" s="94">
        <v>0</v>
      </c>
      <c r="AB91" s="94">
        <v>0</v>
      </c>
      <c r="AC91" s="94">
        <v>0</v>
      </c>
      <c r="AD91" s="94">
        <v>0</v>
      </c>
      <c r="AE91" s="94">
        <v>0</v>
      </c>
      <c r="AF91" s="94">
        <v>0</v>
      </c>
      <c r="AG91" s="94">
        <v>0</v>
      </c>
      <c r="AH91" s="94">
        <v>0</v>
      </c>
      <c r="AI91" s="94">
        <v>0</v>
      </c>
      <c r="AJ91" s="94">
        <v>0</v>
      </c>
      <c r="AK91" s="94">
        <v>0</v>
      </c>
      <c r="AL91" s="94">
        <v>0</v>
      </c>
      <c r="AM91" s="94">
        <v>0</v>
      </c>
      <c r="AN91" s="94">
        <v>0</v>
      </c>
      <c r="AO91" s="95">
        <v>0</v>
      </c>
      <c r="AP91" s="99"/>
      <c r="AS91" s="38"/>
      <c r="AT91" s="39"/>
      <c r="BG91" s="37"/>
    </row>
    <row r="92" spans="20:59" ht="12.75" customHeight="1">
      <c r="T92" s="99"/>
      <c r="U92" s="302"/>
      <c r="V92" s="51">
        <v>5500</v>
      </c>
      <c r="W92" s="94">
        <v>0</v>
      </c>
      <c r="X92" s="94">
        <v>0</v>
      </c>
      <c r="Y92" s="94">
        <v>0</v>
      </c>
      <c r="Z92" s="94">
        <v>0</v>
      </c>
      <c r="AA92" s="94">
        <v>0</v>
      </c>
      <c r="AB92" s="94">
        <v>0</v>
      </c>
      <c r="AC92" s="94">
        <v>0</v>
      </c>
      <c r="AD92" s="94">
        <v>0</v>
      </c>
      <c r="AE92" s="94">
        <v>0</v>
      </c>
      <c r="AF92" s="94">
        <v>0</v>
      </c>
      <c r="AG92" s="94">
        <v>0</v>
      </c>
      <c r="AH92" s="94">
        <v>0</v>
      </c>
      <c r="AI92" s="94">
        <v>0</v>
      </c>
      <c r="AJ92" s="94">
        <v>0</v>
      </c>
      <c r="AK92" s="94">
        <v>0</v>
      </c>
      <c r="AL92" s="94">
        <v>0</v>
      </c>
      <c r="AM92" s="94">
        <v>0</v>
      </c>
      <c r="AN92" s="94">
        <v>0</v>
      </c>
      <c r="AO92" s="95">
        <v>0</v>
      </c>
      <c r="AP92" s="99"/>
      <c r="AS92" s="38"/>
      <c r="AT92" s="39"/>
      <c r="BG92" s="37"/>
    </row>
    <row r="93" spans="20:59" ht="12.75" customHeight="1">
      <c r="T93" s="99"/>
      <c r="U93" s="302"/>
      <c r="V93" s="51">
        <v>6000</v>
      </c>
      <c r="W93" s="94">
        <v>0</v>
      </c>
      <c r="X93" s="94">
        <v>0</v>
      </c>
      <c r="Y93" s="94">
        <v>0</v>
      </c>
      <c r="Z93" s="94">
        <v>0</v>
      </c>
      <c r="AA93" s="94">
        <v>0</v>
      </c>
      <c r="AB93" s="94">
        <v>0</v>
      </c>
      <c r="AC93" s="94">
        <v>0</v>
      </c>
      <c r="AD93" s="94">
        <v>0</v>
      </c>
      <c r="AE93" s="94">
        <v>0</v>
      </c>
      <c r="AF93" s="94">
        <v>0</v>
      </c>
      <c r="AG93" s="94">
        <v>0</v>
      </c>
      <c r="AH93" s="94">
        <v>0</v>
      </c>
      <c r="AI93" s="94">
        <v>0</v>
      </c>
      <c r="AJ93" s="94">
        <v>0</v>
      </c>
      <c r="AK93" s="94">
        <v>0</v>
      </c>
      <c r="AL93" s="94">
        <v>0</v>
      </c>
      <c r="AM93" s="94">
        <v>0</v>
      </c>
      <c r="AN93" s="94">
        <v>0</v>
      </c>
      <c r="AO93" s="95">
        <v>0</v>
      </c>
      <c r="AP93" s="99"/>
      <c r="AQ93" s="100"/>
      <c r="AS93" s="38"/>
      <c r="AT93" s="39"/>
      <c r="BG93" s="37"/>
    </row>
    <row r="94" spans="20:59" ht="12.75" customHeight="1">
      <c r="T94" s="99"/>
      <c r="U94" s="302"/>
      <c r="V94" s="111">
        <v>6500</v>
      </c>
      <c r="W94" s="94">
        <v>0</v>
      </c>
      <c r="X94" s="94">
        <v>0</v>
      </c>
      <c r="Y94" s="94">
        <v>0</v>
      </c>
      <c r="Z94" s="94">
        <v>0</v>
      </c>
      <c r="AA94" s="94">
        <v>0</v>
      </c>
      <c r="AB94" s="94">
        <v>0</v>
      </c>
      <c r="AC94" s="94">
        <v>0</v>
      </c>
      <c r="AD94" s="94">
        <v>0</v>
      </c>
      <c r="AE94" s="94">
        <v>0</v>
      </c>
      <c r="AF94" s="94">
        <v>0</v>
      </c>
      <c r="AG94" s="94">
        <v>0</v>
      </c>
      <c r="AH94" s="94">
        <v>0</v>
      </c>
      <c r="AI94" s="94">
        <v>0</v>
      </c>
      <c r="AJ94" s="94">
        <v>0</v>
      </c>
      <c r="AK94" s="94">
        <v>0</v>
      </c>
      <c r="AL94" s="94">
        <v>0</v>
      </c>
      <c r="AM94" s="94">
        <v>0</v>
      </c>
      <c r="AN94" s="94">
        <v>0</v>
      </c>
      <c r="AO94" s="95">
        <v>0</v>
      </c>
      <c r="AP94" s="99"/>
      <c r="AQ94" s="100"/>
      <c r="AS94" s="38"/>
      <c r="AT94" s="39"/>
      <c r="BG94" s="37"/>
    </row>
    <row r="95" spans="20:59" ht="12.75" customHeight="1" thickBot="1">
      <c r="T95" s="99"/>
      <c r="U95" s="303"/>
      <c r="V95" s="57">
        <v>7000</v>
      </c>
      <c r="W95" s="97">
        <v>0</v>
      </c>
      <c r="X95" s="97">
        <v>0</v>
      </c>
      <c r="Y95" s="97">
        <v>0</v>
      </c>
      <c r="Z95" s="97">
        <v>0</v>
      </c>
      <c r="AA95" s="97">
        <v>0</v>
      </c>
      <c r="AB95" s="97">
        <v>0</v>
      </c>
      <c r="AC95" s="97">
        <v>0</v>
      </c>
      <c r="AD95" s="97">
        <v>0</v>
      </c>
      <c r="AE95" s="97">
        <v>0</v>
      </c>
      <c r="AF95" s="97">
        <v>0</v>
      </c>
      <c r="AG95" s="97">
        <v>0</v>
      </c>
      <c r="AH95" s="97">
        <v>0</v>
      </c>
      <c r="AI95" s="97">
        <v>0</v>
      </c>
      <c r="AJ95" s="97">
        <v>0</v>
      </c>
      <c r="AK95" s="97">
        <v>0</v>
      </c>
      <c r="AL95" s="97">
        <v>0</v>
      </c>
      <c r="AM95" s="97">
        <v>0</v>
      </c>
      <c r="AN95" s="97">
        <v>0</v>
      </c>
      <c r="AO95" s="98">
        <v>0</v>
      </c>
      <c r="AP95" s="99"/>
      <c r="AQ95" s="100"/>
      <c r="AS95" s="38"/>
      <c r="AT95" s="39"/>
      <c r="BG95" s="37"/>
    </row>
    <row r="96" spans="20:59" ht="12.75" customHeight="1">
      <c r="T96" s="99"/>
      <c r="U96" s="99"/>
      <c r="V96" s="99"/>
      <c r="W96" s="99"/>
      <c r="X96" s="99"/>
      <c r="Y96" s="99"/>
      <c r="Z96" s="99"/>
      <c r="AA96" s="99"/>
      <c r="AB96" s="99"/>
      <c r="AC96" s="99"/>
      <c r="AD96" s="99"/>
      <c r="AE96" s="99"/>
      <c r="AF96" s="99"/>
      <c r="AG96" s="99"/>
      <c r="AH96" s="99"/>
      <c r="AI96" s="99"/>
      <c r="AJ96" s="99"/>
      <c r="AK96" s="99"/>
      <c r="AL96" s="99"/>
      <c r="AM96" s="99"/>
      <c r="AN96" s="99"/>
      <c r="AO96" s="99"/>
      <c r="AP96" s="99"/>
      <c r="AQ96" s="100"/>
      <c r="AS96" s="38"/>
      <c r="AT96" s="39"/>
      <c r="BG96" s="37"/>
    </row>
    <row r="97" spans="20:59" ht="12.75" customHeight="1">
      <c r="AS97" s="38"/>
      <c r="AT97" s="39"/>
      <c r="BG97" s="37"/>
    </row>
    <row r="98" spans="20:59" ht="12.75" customHeight="1">
      <c r="T98" s="325" t="s">
        <v>26</v>
      </c>
      <c r="U98" s="325"/>
      <c r="V98" s="325"/>
      <c r="W98" s="325"/>
      <c r="X98" s="325"/>
      <c r="Y98" s="325"/>
      <c r="Z98" s="325"/>
      <c r="AA98" s="325"/>
      <c r="AB98" s="325"/>
      <c r="AC98" s="325"/>
      <c r="AD98" s="325"/>
      <c r="AE98" s="325"/>
      <c r="AF98" s="325"/>
      <c r="AG98" s="325"/>
      <c r="AH98" s="325"/>
      <c r="AI98" s="325"/>
      <c r="AJ98" s="325"/>
      <c r="AK98" s="325"/>
      <c r="AL98" s="325"/>
      <c r="AM98" s="325"/>
      <c r="AN98" s="325"/>
      <c r="AO98" s="325"/>
      <c r="AP98" s="325"/>
      <c r="AS98" s="38"/>
      <c r="AT98" s="39"/>
      <c r="BG98" s="37"/>
    </row>
    <row r="99" spans="20:59" ht="12.75" customHeight="1">
      <c r="T99" s="325"/>
      <c r="U99" s="325"/>
      <c r="V99" s="325"/>
      <c r="W99" s="325"/>
      <c r="X99" s="325"/>
      <c r="Y99" s="325"/>
      <c r="Z99" s="325"/>
      <c r="AA99" s="325"/>
      <c r="AB99" s="325"/>
      <c r="AC99" s="325"/>
      <c r="AD99" s="325"/>
      <c r="AE99" s="325"/>
      <c r="AF99" s="325"/>
      <c r="AG99" s="325"/>
      <c r="AH99" s="325"/>
      <c r="AI99" s="325"/>
      <c r="AJ99" s="325"/>
      <c r="AK99" s="325"/>
      <c r="AL99" s="325"/>
      <c r="AM99" s="325"/>
      <c r="AN99" s="325"/>
      <c r="AO99" s="325"/>
      <c r="AP99" s="325"/>
      <c r="AS99" s="38"/>
      <c r="AT99" s="39"/>
      <c r="BG99" s="37"/>
    </row>
    <row r="100" spans="20:59" ht="12.75" customHeight="1" thickBot="1">
      <c r="T100" s="325"/>
      <c r="U100" s="325"/>
      <c r="V100" s="325"/>
      <c r="W100" s="325"/>
      <c r="X100" s="325"/>
      <c r="Y100" s="325"/>
      <c r="Z100" s="325"/>
      <c r="AA100" s="325"/>
      <c r="AB100" s="325"/>
      <c r="AC100" s="325"/>
      <c r="AD100" s="325"/>
      <c r="AE100" s="325"/>
      <c r="AF100" s="325"/>
      <c r="AG100" s="325"/>
      <c r="AH100" s="325"/>
      <c r="AI100" s="325"/>
      <c r="AJ100" s="325"/>
      <c r="AK100" s="325"/>
      <c r="AL100" s="325"/>
      <c r="AM100" s="325"/>
      <c r="AN100" s="325"/>
      <c r="AO100" s="325"/>
      <c r="AP100" s="325"/>
      <c r="AS100" s="38"/>
      <c r="AT100" s="39"/>
      <c r="BG100" s="37"/>
    </row>
    <row r="101" spans="20:59" ht="12.75" customHeight="1" thickBot="1">
      <c r="T101" s="64"/>
      <c r="U101" s="65"/>
      <c r="V101" s="65"/>
      <c r="W101" s="288" t="s">
        <v>50</v>
      </c>
      <c r="X101" s="289"/>
      <c r="Y101" s="289"/>
      <c r="Z101" s="289"/>
      <c r="AA101" s="289"/>
      <c r="AB101" s="289"/>
      <c r="AC101" s="289"/>
      <c r="AD101" s="289"/>
      <c r="AE101" s="289"/>
      <c r="AF101" s="289"/>
      <c r="AG101" s="289"/>
      <c r="AH101" s="289"/>
      <c r="AI101" s="289"/>
      <c r="AJ101" s="289"/>
      <c r="AK101" s="289"/>
      <c r="AL101" s="289"/>
      <c r="AM101" s="289"/>
      <c r="AN101" s="289"/>
      <c r="AO101" s="290"/>
      <c r="AP101" s="64"/>
      <c r="AS101" s="38"/>
      <c r="AT101" s="39"/>
      <c r="BG101" s="37"/>
    </row>
    <row r="102" spans="20:59" ht="12.75" customHeight="1" thickBot="1">
      <c r="T102" s="64"/>
      <c r="U102" s="65"/>
      <c r="V102" s="65"/>
      <c r="W102" s="284" t="s">
        <v>0</v>
      </c>
      <c r="X102" s="360"/>
      <c r="Y102" s="360"/>
      <c r="Z102" s="360"/>
      <c r="AA102" s="360"/>
      <c r="AB102" s="360"/>
      <c r="AC102" s="360"/>
      <c r="AD102" s="360"/>
      <c r="AE102" s="360"/>
      <c r="AF102" s="360"/>
      <c r="AG102" s="360"/>
      <c r="AH102" s="360"/>
      <c r="AI102" s="360"/>
      <c r="AJ102" s="360"/>
      <c r="AK102" s="360"/>
      <c r="AL102" s="360"/>
      <c r="AM102" s="360"/>
      <c r="AN102" s="360"/>
      <c r="AO102" s="361"/>
      <c r="AP102" s="64"/>
      <c r="AS102" s="38"/>
      <c r="AT102" s="39"/>
      <c r="BG102" s="37"/>
    </row>
    <row r="103" spans="20:59" ht="13.5" thickBot="1">
      <c r="T103" s="64"/>
      <c r="U103" s="65"/>
      <c r="V103" s="65"/>
      <c r="W103" s="103">
        <v>0</v>
      </c>
      <c r="X103" s="104">
        <v>10</v>
      </c>
      <c r="Y103" s="104">
        <v>20</v>
      </c>
      <c r="Z103" s="104">
        <v>30</v>
      </c>
      <c r="AA103" s="105">
        <v>40</v>
      </c>
      <c r="AB103" s="105">
        <v>50</v>
      </c>
      <c r="AC103" s="105">
        <v>60</v>
      </c>
      <c r="AD103" s="105">
        <v>70</v>
      </c>
      <c r="AE103" s="105">
        <v>80</v>
      </c>
      <c r="AF103" s="105">
        <v>90</v>
      </c>
      <c r="AG103" s="105">
        <v>100</v>
      </c>
      <c r="AH103" s="105">
        <v>120</v>
      </c>
      <c r="AI103" s="106">
        <v>140</v>
      </c>
      <c r="AJ103" s="106">
        <v>160</v>
      </c>
      <c r="AK103" s="106">
        <v>180</v>
      </c>
      <c r="AL103" s="106">
        <v>200</v>
      </c>
      <c r="AM103" s="106">
        <v>220</v>
      </c>
      <c r="AN103" s="107">
        <v>240</v>
      </c>
      <c r="AO103" s="192">
        <v>260</v>
      </c>
      <c r="AP103" s="64"/>
      <c r="AS103" s="38"/>
      <c r="AT103" s="39"/>
      <c r="BG103" s="37"/>
    </row>
    <row r="104" spans="20:59">
      <c r="T104" s="64"/>
      <c r="U104" s="301" t="s">
        <v>1</v>
      </c>
      <c r="V104" s="47">
        <v>500</v>
      </c>
      <c r="W104" s="94">
        <f t="shared" ref="W104:AO104" si="45">ROUND((72-W30)/0.6,0)</f>
        <v>120</v>
      </c>
      <c r="X104" s="94">
        <f t="shared" si="45"/>
        <v>120</v>
      </c>
      <c r="Y104" s="94">
        <f t="shared" si="45"/>
        <v>120</v>
      </c>
      <c r="Z104" s="94">
        <f t="shared" si="45"/>
        <v>120</v>
      </c>
      <c r="AA104" s="94">
        <f t="shared" si="45"/>
        <v>120</v>
      </c>
      <c r="AB104" s="94">
        <f t="shared" si="45"/>
        <v>120</v>
      </c>
      <c r="AC104" s="94">
        <f t="shared" si="45"/>
        <v>120</v>
      </c>
      <c r="AD104" s="94">
        <f t="shared" si="45"/>
        <v>120</v>
      </c>
      <c r="AE104" s="94">
        <f t="shared" si="45"/>
        <v>120</v>
      </c>
      <c r="AF104" s="94">
        <f t="shared" si="45"/>
        <v>120</v>
      </c>
      <c r="AG104" s="94">
        <f t="shared" si="45"/>
        <v>120</v>
      </c>
      <c r="AH104" s="94">
        <f t="shared" si="45"/>
        <v>120</v>
      </c>
      <c r="AI104" s="94">
        <f t="shared" si="45"/>
        <v>120</v>
      </c>
      <c r="AJ104" s="94">
        <f t="shared" si="45"/>
        <v>120</v>
      </c>
      <c r="AK104" s="94">
        <f t="shared" si="45"/>
        <v>120</v>
      </c>
      <c r="AL104" s="94">
        <f t="shared" si="45"/>
        <v>120</v>
      </c>
      <c r="AM104" s="94">
        <f t="shared" si="45"/>
        <v>120</v>
      </c>
      <c r="AN104" s="94">
        <f t="shared" si="45"/>
        <v>120</v>
      </c>
      <c r="AO104" s="95">
        <f t="shared" si="45"/>
        <v>120</v>
      </c>
      <c r="AP104" s="64"/>
      <c r="AS104" s="38"/>
      <c r="AT104" s="39"/>
      <c r="BG104" s="37"/>
    </row>
    <row r="105" spans="20:59">
      <c r="T105" s="64"/>
      <c r="U105" s="302">
        <v>0</v>
      </c>
      <c r="V105" s="49">
        <v>750</v>
      </c>
      <c r="W105" s="94">
        <f t="shared" ref="W105:AO105" si="46">ROUND((72-W31)/0.6,0)</f>
        <v>120</v>
      </c>
      <c r="X105" s="94">
        <f t="shared" si="46"/>
        <v>120</v>
      </c>
      <c r="Y105" s="94">
        <f t="shared" si="46"/>
        <v>120</v>
      </c>
      <c r="Z105" s="94">
        <f t="shared" si="46"/>
        <v>120</v>
      </c>
      <c r="AA105" s="94">
        <f t="shared" si="46"/>
        <v>120</v>
      </c>
      <c r="AB105" s="94">
        <f t="shared" si="46"/>
        <v>120</v>
      </c>
      <c r="AC105" s="94">
        <f t="shared" si="46"/>
        <v>104</v>
      </c>
      <c r="AD105" s="94">
        <f t="shared" si="46"/>
        <v>104</v>
      </c>
      <c r="AE105" s="94">
        <f t="shared" si="46"/>
        <v>104</v>
      </c>
      <c r="AF105" s="94">
        <f t="shared" si="46"/>
        <v>104</v>
      </c>
      <c r="AG105" s="94">
        <f t="shared" si="46"/>
        <v>104</v>
      </c>
      <c r="AH105" s="94">
        <f t="shared" si="46"/>
        <v>104</v>
      </c>
      <c r="AI105" s="94">
        <f t="shared" si="46"/>
        <v>104</v>
      </c>
      <c r="AJ105" s="94">
        <f t="shared" si="46"/>
        <v>104</v>
      </c>
      <c r="AK105" s="94">
        <f t="shared" si="46"/>
        <v>104</v>
      </c>
      <c r="AL105" s="94">
        <f t="shared" si="46"/>
        <v>104</v>
      </c>
      <c r="AM105" s="94">
        <f t="shared" si="46"/>
        <v>104</v>
      </c>
      <c r="AN105" s="94">
        <f t="shared" si="46"/>
        <v>104</v>
      </c>
      <c r="AO105" s="95">
        <f t="shared" si="46"/>
        <v>104</v>
      </c>
      <c r="AP105" s="64"/>
      <c r="AS105" s="38"/>
      <c r="AT105" s="39"/>
      <c r="BG105" s="37"/>
    </row>
    <row r="106" spans="20:59">
      <c r="T106" s="64"/>
      <c r="U106" s="302">
        <v>0</v>
      </c>
      <c r="V106" s="50">
        <v>1000</v>
      </c>
      <c r="W106" s="94">
        <f t="shared" ref="W106:AO106" si="47">ROUND((72-W32)/0.6,0)</f>
        <v>120</v>
      </c>
      <c r="X106" s="94">
        <f t="shared" si="47"/>
        <v>120</v>
      </c>
      <c r="Y106" s="94">
        <f t="shared" si="47"/>
        <v>120</v>
      </c>
      <c r="Z106" s="94">
        <f t="shared" si="47"/>
        <v>120</v>
      </c>
      <c r="AA106" s="94">
        <f t="shared" si="47"/>
        <v>112</v>
      </c>
      <c r="AB106" s="94">
        <f t="shared" si="47"/>
        <v>112</v>
      </c>
      <c r="AC106" s="94">
        <f t="shared" si="47"/>
        <v>104</v>
      </c>
      <c r="AD106" s="94">
        <f t="shared" si="47"/>
        <v>88</v>
      </c>
      <c r="AE106" s="94">
        <f t="shared" si="47"/>
        <v>88</v>
      </c>
      <c r="AF106" s="94">
        <f t="shared" si="47"/>
        <v>88</v>
      </c>
      <c r="AG106" s="94">
        <f t="shared" si="47"/>
        <v>88</v>
      </c>
      <c r="AH106" s="94">
        <f t="shared" si="47"/>
        <v>88</v>
      </c>
      <c r="AI106" s="94">
        <f t="shared" si="47"/>
        <v>88</v>
      </c>
      <c r="AJ106" s="94">
        <f t="shared" si="47"/>
        <v>88</v>
      </c>
      <c r="AK106" s="94">
        <f t="shared" si="47"/>
        <v>88</v>
      </c>
      <c r="AL106" s="94">
        <f t="shared" si="47"/>
        <v>88</v>
      </c>
      <c r="AM106" s="94">
        <f t="shared" si="47"/>
        <v>88</v>
      </c>
      <c r="AN106" s="94">
        <f t="shared" si="47"/>
        <v>88</v>
      </c>
      <c r="AO106" s="95">
        <f t="shared" si="47"/>
        <v>88</v>
      </c>
      <c r="AP106" s="64"/>
      <c r="AS106" s="38"/>
      <c r="AT106" s="39"/>
      <c r="BG106" s="37"/>
    </row>
    <row r="107" spans="20:59">
      <c r="T107" s="64"/>
      <c r="U107" s="302">
        <v>0</v>
      </c>
      <c r="V107" s="50">
        <v>1250</v>
      </c>
      <c r="W107" s="94">
        <f t="shared" ref="W107:AO107" si="48">ROUND((72-W33)/0.6,0)</f>
        <v>112</v>
      </c>
      <c r="X107" s="94">
        <f t="shared" si="48"/>
        <v>112</v>
      </c>
      <c r="Y107" s="94">
        <f t="shared" si="48"/>
        <v>104</v>
      </c>
      <c r="Z107" s="94">
        <f t="shared" si="48"/>
        <v>104</v>
      </c>
      <c r="AA107" s="94">
        <f t="shared" si="48"/>
        <v>104</v>
      </c>
      <c r="AB107" s="94">
        <f t="shared" si="48"/>
        <v>96</v>
      </c>
      <c r="AC107" s="94">
        <f t="shared" si="48"/>
        <v>96</v>
      </c>
      <c r="AD107" s="94">
        <f t="shared" si="48"/>
        <v>88</v>
      </c>
      <c r="AE107" s="94">
        <f t="shared" si="48"/>
        <v>88</v>
      </c>
      <c r="AF107" s="94">
        <f t="shared" si="48"/>
        <v>88</v>
      </c>
      <c r="AG107" s="94">
        <f t="shared" si="48"/>
        <v>88</v>
      </c>
      <c r="AH107" s="94">
        <f t="shared" si="48"/>
        <v>88</v>
      </c>
      <c r="AI107" s="94">
        <f t="shared" si="48"/>
        <v>88</v>
      </c>
      <c r="AJ107" s="94">
        <f t="shared" si="48"/>
        <v>88</v>
      </c>
      <c r="AK107" s="94">
        <f t="shared" si="48"/>
        <v>88</v>
      </c>
      <c r="AL107" s="94">
        <f t="shared" si="48"/>
        <v>88</v>
      </c>
      <c r="AM107" s="94">
        <f t="shared" si="48"/>
        <v>88</v>
      </c>
      <c r="AN107" s="94">
        <f t="shared" si="48"/>
        <v>88</v>
      </c>
      <c r="AO107" s="95">
        <f t="shared" si="48"/>
        <v>88</v>
      </c>
      <c r="AP107" s="64"/>
      <c r="AS107" s="38"/>
      <c r="AT107" s="39"/>
      <c r="BG107" s="37"/>
    </row>
    <row r="108" spans="20:59">
      <c r="T108" s="64"/>
      <c r="U108" s="302">
        <v>0</v>
      </c>
      <c r="V108" s="50">
        <v>1500</v>
      </c>
      <c r="W108" s="94">
        <f t="shared" ref="W108:AO108" si="49">ROUND((72-W34)/0.6,0)</f>
        <v>112</v>
      </c>
      <c r="X108" s="94">
        <f t="shared" si="49"/>
        <v>112</v>
      </c>
      <c r="Y108" s="94">
        <f t="shared" si="49"/>
        <v>104</v>
      </c>
      <c r="Z108" s="94">
        <f t="shared" si="49"/>
        <v>104</v>
      </c>
      <c r="AA108" s="94">
        <f t="shared" si="49"/>
        <v>104</v>
      </c>
      <c r="AB108" s="94">
        <f t="shared" si="49"/>
        <v>96</v>
      </c>
      <c r="AC108" s="94">
        <f t="shared" si="49"/>
        <v>88</v>
      </c>
      <c r="AD108" s="94">
        <f t="shared" si="49"/>
        <v>88</v>
      </c>
      <c r="AE108" s="94">
        <f t="shared" si="49"/>
        <v>88</v>
      </c>
      <c r="AF108" s="94">
        <f t="shared" si="49"/>
        <v>88</v>
      </c>
      <c r="AG108" s="94">
        <f t="shared" si="49"/>
        <v>88</v>
      </c>
      <c r="AH108" s="94">
        <f t="shared" si="49"/>
        <v>88</v>
      </c>
      <c r="AI108" s="94">
        <f t="shared" si="49"/>
        <v>88</v>
      </c>
      <c r="AJ108" s="94">
        <f t="shared" si="49"/>
        <v>88</v>
      </c>
      <c r="AK108" s="94">
        <f t="shared" si="49"/>
        <v>88</v>
      </c>
      <c r="AL108" s="94">
        <f t="shared" si="49"/>
        <v>88</v>
      </c>
      <c r="AM108" s="94">
        <f t="shared" si="49"/>
        <v>88</v>
      </c>
      <c r="AN108" s="94">
        <f t="shared" si="49"/>
        <v>88</v>
      </c>
      <c r="AO108" s="95">
        <f t="shared" si="49"/>
        <v>88</v>
      </c>
      <c r="AP108" s="64"/>
      <c r="AS108" s="38"/>
      <c r="AT108" s="39"/>
      <c r="BG108" s="37"/>
    </row>
    <row r="109" spans="20:59">
      <c r="T109" s="64"/>
      <c r="U109" s="302">
        <v>0</v>
      </c>
      <c r="V109" s="51">
        <v>2000</v>
      </c>
      <c r="W109" s="94">
        <f t="shared" ref="W109:AO109" si="50">ROUND((72-W35)/0.6,0)</f>
        <v>112</v>
      </c>
      <c r="X109" s="94">
        <f t="shared" si="50"/>
        <v>112</v>
      </c>
      <c r="Y109" s="94">
        <f t="shared" si="50"/>
        <v>96</v>
      </c>
      <c r="Z109" s="94">
        <f t="shared" si="50"/>
        <v>96</v>
      </c>
      <c r="AA109" s="94">
        <f t="shared" si="50"/>
        <v>96</v>
      </c>
      <c r="AB109" s="94">
        <f t="shared" si="50"/>
        <v>88</v>
      </c>
      <c r="AC109" s="94">
        <f t="shared" si="50"/>
        <v>88</v>
      </c>
      <c r="AD109" s="94">
        <f t="shared" si="50"/>
        <v>88</v>
      </c>
      <c r="AE109" s="94">
        <f t="shared" si="50"/>
        <v>88</v>
      </c>
      <c r="AF109" s="94">
        <f t="shared" si="50"/>
        <v>88</v>
      </c>
      <c r="AG109" s="94">
        <f t="shared" si="50"/>
        <v>96</v>
      </c>
      <c r="AH109" s="94">
        <f t="shared" si="50"/>
        <v>96</v>
      </c>
      <c r="AI109" s="94">
        <f t="shared" si="50"/>
        <v>96</v>
      </c>
      <c r="AJ109" s="94">
        <f t="shared" si="50"/>
        <v>96</v>
      </c>
      <c r="AK109" s="94">
        <f t="shared" si="50"/>
        <v>96</v>
      </c>
      <c r="AL109" s="94">
        <f t="shared" si="50"/>
        <v>96</v>
      </c>
      <c r="AM109" s="94">
        <f t="shared" si="50"/>
        <v>96</v>
      </c>
      <c r="AN109" s="94">
        <f t="shared" si="50"/>
        <v>96</v>
      </c>
      <c r="AO109" s="95">
        <f t="shared" si="50"/>
        <v>96</v>
      </c>
      <c r="AP109" s="64"/>
      <c r="AS109" s="38"/>
      <c r="AT109" s="39"/>
      <c r="BG109" s="37"/>
    </row>
    <row r="110" spans="20:59">
      <c r="T110" s="64"/>
      <c r="U110" s="302">
        <v>0</v>
      </c>
      <c r="V110" s="51">
        <v>2500</v>
      </c>
      <c r="W110" s="94">
        <f t="shared" ref="W110:AO110" si="51">ROUND((72-W36)/0.6,0)</f>
        <v>104</v>
      </c>
      <c r="X110" s="94">
        <f t="shared" si="51"/>
        <v>104</v>
      </c>
      <c r="Y110" s="94">
        <f t="shared" si="51"/>
        <v>96</v>
      </c>
      <c r="Z110" s="94">
        <f t="shared" si="51"/>
        <v>96</v>
      </c>
      <c r="AA110" s="94">
        <f t="shared" si="51"/>
        <v>96</v>
      </c>
      <c r="AB110" s="94">
        <f t="shared" si="51"/>
        <v>88</v>
      </c>
      <c r="AC110" s="94">
        <f t="shared" si="51"/>
        <v>88</v>
      </c>
      <c r="AD110" s="94">
        <f t="shared" si="51"/>
        <v>88</v>
      </c>
      <c r="AE110" s="94">
        <f t="shared" si="51"/>
        <v>88</v>
      </c>
      <c r="AF110" s="94">
        <f t="shared" si="51"/>
        <v>88</v>
      </c>
      <c r="AG110" s="94">
        <f t="shared" si="51"/>
        <v>96</v>
      </c>
      <c r="AH110" s="94">
        <f t="shared" si="51"/>
        <v>96</v>
      </c>
      <c r="AI110" s="94">
        <f t="shared" si="51"/>
        <v>96</v>
      </c>
      <c r="AJ110" s="94">
        <f t="shared" si="51"/>
        <v>96</v>
      </c>
      <c r="AK110" s="94">
        <f t="shared" si="51"/>
        <v>96</v>
      </c>
      <c r="AL110" s="94">
        <f t="shared" si="51"/>
        <v>96</v>
      </c>
      <c r="AM110" s="94">
        <f t="shared" si="51"/>
        <v>96</v>
      </c>
      <c r="AN110" s="94">
        <f t="shared" si="51"/>
        <v>96</v>
      </c>
      <c r="AO110" s="95">
        <f t="shared" si="51"/>
        <v>96</v>
      </c>
      <c r="AP110" s="64"/>
      <c r="AS110" s="38"/>
      <c r="AT110" s="39"/>
      <c r="BG110" s="37"/>
    </row>
    <row r="111" spans="20:59">
      <c r="T111" s="64"/>
      <c r="U111" s="302">
        <v>0</v>
      </c>
      <c r="V111" s="51">
        <v>3000</v>
      </c>
      <c r="W111" s="94">
        <f t="shared" ref="W111:AO111" si="52">ROUND((72-W37)/0.6,0)</f>
        <v>104</v>
      </c>
      <c r="X111" s="94">
        <f t="shared" si="52"/>
        <v>104</v>
      </c>
      <c r="Y111" s="94">
        <f t="shared" si="52"/>
        <v>96</v>
      </c>
      <c r="Z111" s="94">
        <f t="shared" si="52"/>
        <v>96</v>
      </c>
      <c r="AA111" s="94">
        <f t="shared" si="52"/>
        <v>96</v>
      </c>
      <c r="AB111" s="94">
        <f t="shared" si="52"/>
        <v>88</v>
      </c>
      <c r="AC111" s="94">
        <f t="shared" si="52"/>
        <v>88</v>
      </c>
      <c r="AD111" s="94">
        <f t="shared" si="52"/>
        <v>88</v>
      </c>
      <c r="AE111" s="94">
        <f t="shared" si="52"/>
        <v>88</v>
      </c>
      <c r="AF111" s="94">
        <f t="shared" si="52"/>
        <v>96</v>
      </c>
      <c r="AG111" s="94">
        <f t="shared" si="52"/>
        <v>96</v>
      </c>
      <c r="AH111" s="94">
        <f t="shared" si="52"/>
        <v>96</v>
      </c>
      <c r="AI111" s="94">
        <f t="shared" si="52"/>
        <v>96</v>
      </c>
      <c r="AJ111" s="94">
        <f t="shared" si="52"/>
        <v>96</v>
      </c>
      <c r="AK111" s="94">
        <f t="shared" si="52"/>
        <v>96</v>
      </c>
      <c r="AL111" s="94">
        <f t="shared" si="52"/>
        <v>96</v>
      </c>
      <c r="AM111" s="94">
        <f t="shared" si="52"/>
        <v>96</v>
      </c>
      <c r="AN111" s="94">
        <f t="shared" si="52"/>
        <v>96</v>
      </c>
      <c r="AO111" s="95">
        <f t="shared" si="52"/>
        <v>96</v>
      </c>
      <c r="AP111" s="64"/>
      <c r="AS111" s="38"/>
      <c r="AT111" s="39"/>
      <c r="BG111" s="37"/>
    </row>
    <row r="112" spans="20:59">
      <c r="T112" s="64"/>
      <c r="U112" s="302">
        <v>0</v>
      </c>
      <c r="V112" s="51">
        <v>3500</v>
      </c>
      <c r="W112" s="94">
        <f t="shared" ref="W112:AO112" si="53">ROUND((72-W38)/0.6,0)</f>
        <v>104</v>
      </c>
      <c r="X112" s="94">
        <f t="shared" si="53"/>
        <v>104</v>
      </c>
      <c r="Y112" s="94">
        <f t="shared" si="53"/>
        <v>104</v>
      </c>
      <c r="Z112" s="94">
        <f t="shared" si="53"/>
        <v>104</v>
      </c>
      <c r="AA112" s="94">
        <f t="shared" si="53"/>
        <v>88</v>
      </c>
      <c r="AB112" s="94">
        <f t="shared" si="53"/>
        <v>88</v>
      </c>
      <c r="AC112" s="94">
        <f t="shared" si="53"/>
        <v>88</v>
      </c>
      <c r="AD112" s="94">
        <f t="shared" si="53"/>
        <v>88</v>
      </c>
      <c r="AE112" s="94">
        <f t="shared" si="53"/>
        <v>88</v>
      </c>
      <c r="AF112" s="94">
        <f t="shared" si="53"/>
        <v>88</v>
      </c>
      <c r="AG112" s="94">
        <f t="shared" si="53"/>
        <v>88</v>
      </c>
      <c r="AH112" s="94">
        <f t="shared" si="53"/>
        <v>88</v>
      </c>
      <c r="AI112" s="94">
        <f t="shared" si="53"/>
        <v>88</v>
      </c>
      <c r="AJ112" s="94">
        <f t="shared" si="53"/>
        <v>88</v>
      </c>
      <c r="AK112" s="94">
        <f t="shared" si="53"/>
        <v>88</v>
      </c>
      <c r="AL112" s="94">
        <f t="shared" si="53"/>
        <v>88</v>
      </c>
      <c r="AM112" s="94">
        <f t="shared" si="53"/>
        <v>88</v>
      </c>
      <c r="AN112" s="94">
        <f t="shared" si="53"/>
        <v>88</v>
      </c>
      <c r="AO112" s="95">
        <f t="shared" si="53"/>
        <v>88</v>
      </c>
      <c r="AP112" s="64"/>
      <c r="AS112" s="38"/>
      <c r="AT112" s="39"/>
      <c r="BG112" s="37"/>
    </row>
    <row r="113" spans="20:59">
      <c r="T113" s="64"/>
      <c r="U113" s="302">
        <v>0</v>
      </c>
      <c r="V113" s="51">
        <v>4000</v>
      </c>
      <c r="W113" s="94">
        <f t="shared" ref="W113:AO113" si="54">ROUND((72-W39)/0.6,0)</f>
        <v>104</v>
      </c>
      <c r="X113" s="94">
        <f t="shared" si="54"/>
        <v>104</v>
      </c>
      <c r="Y113" s="94">
        <f t="shared" si="54"/>
        <v>104</v>
      </c>
      <c r="Z113" s="94">
        <f t="shared" si="54"/>
        <v>104</v>
      </c>
      <c r="AA113" s="94">
        <f t="shared" si="54"/>
        <v>88</v>
      </c>
      <c r="AB113" s="94">
        <f t="shared" si="54"/>
        <v>88</v>
      </c>
      <c r="AC113" s="94">
        <f t="shared" si="54"/>
        <v>88</v>
      </c>
      <c r="AD113" s="94">
        <f t="shared" si="54"/>
        <v>88</v>
      </c>
      <c r="AE113" s="94">
        <f t="shared" si="54"/>
        <v>88</v>
      </c>
      <c r="AF113" s="94">
        <f t="shared" si="54"/>
        <v>96</v>
      </c>
      <c r="AG113" s="94">
        <f t="shared" si="54"/>
        <v>96</v>
      </c>
      <c r="AH113" s="94">
        <f t="shared" si="54"/>
        <v>96</v>
      </c>
      <c r="AI113" s="94">
        <f t="shared" si="54"/>
        <v>96</v>
      </c>
      <c r="AJ113" s="94">
        <f t="shared" si="54"/>
        <v>96</v>
      </c>
      <c r="AK113" s="94">
        <f t="shared" si="54"/>
        <v>80</v>
      </c>
      <c r="AL113" s="94">
        <f t="shared" si="54"/>
        <v>80</v>
      </c>
      <c r="AM113" s="94">
        <f t="shared" si="54"/>
        <v>80</v>
      </c>
      <c r="AN113" s="94">
        <f t="shared" si="54"/>
        <v>80</v>
      </c>
      <c r="AO113" s="95">
        <f t="shared" si="54"/>
        <v>80</v>
      </c>
      <c r="AP113" s="64"/>
      <c r="AS113" s="38"/>
      <c r="AT113" s="39"/>
      <c r="BG113" s="37"/>
    </row>
    <row r="114" spans="20:59">
      <c r="T114" s="64"/>
      <c r="U114" s="302">
        <v>0</v>
      </c>
      <c r="V114" s="51">
        <v>4500</v>
      </c>
      <c r="W114" s="94">
        <f t="shared" ref="W114:AO114" si="55">ROUND((72-W40)/0.6,0)</f>
        <v>104</v>
      </c>
      <c r="X114" s="94">
        <f t="shared" si="55"/>
        <v>104</v>
      </c>
      <c r="Y114" s="94">
        <f t="shared" si="55"/>
        <v>104</v>
      </c>
      <c r="Z114" s="94">
        <f t="shared" si="55"/>
        <v>104</v>
      </c>
      <c r="AA114" s="94">
        <f t="shared" si="55"/>
        <v>96</v>
      </c>
      <c r="AB114" s="94">
        <f t="shared" si="55"/>
        <v>96</v>
      </c>
      <c r="AC114" s="94">
        <f t="shared" si="55"/>
        <v>88</v>
      </c>
      <c r="AD114" s="94">
        <f t="shared" si="55"/>
        <v>88</v>
      </c>
      <c r="AE114" s="94">
        <f t="shared" si="55"/>
        <v>88</v>
      </c>
      <c r="AF114" s="94">
        <f t="shared" si="55"/>
        <v>96</v>
      </c>
      <c r="AG114" s="94">
        <f t="shared" si="55"/>
        <v>96</v>
      </c>
      <c r="AH114" s="94">
        <f t="shared" si="55"/>
        <v>96</v>
      </c>
      <c r="AI114" s="94">
        <f t="shared" si="55"/>
        <v>96</v>
      </c>
      <c r="AJ114" s="94">
        <f t="shared" si="55"/>
        <v>96</v>
      </c>
      <c r="AK114" s="94">
        <f t="shared" si="55"/>
        <v>80</v>
      </c>
      <c r="AL114" s="94">
        <f t="shared" si="55"/>
        <v>80</v>
      </c>
      <c r="AM114" s="94">
        <f t="shared" si="55"/>
        <v>80</v>
      </c>
      <c r="AN114" s="94">
        <f t="shared" si="55"/>
        <v>80</v>
      </c>
      <c r="AO114" s="95">
        <f t="shared" si="55"/>
        <v>80</v>
      </c>
      <c r="AP114" s="64"/>
      <c r="AS114" s="38"/>
      <c r="AT114" s="39"/>
      <c r="BG114" s="37"/>
    </row>
    <row r="115" spans="20:59">
      <c r="T115" s="64"/>
      <c r="U115" s="302">
        <v>0</v>
      </c>
      <c r="V115" s="51">
        <v>5000</v>
      </c>
      <c r="W115" s="94">
        <f t="shared" ref="W115:AO115" si="56">ROUND((72-W41)/0.6,0)</f>
        <v>112</v>
      </c>
      <c r="X115" s="94">
        <f t="shared" si="56"/>
        <v>112</v>
      </c>
      <c r="Y115" s="94">
        <f t="shared" si="56"/>
        <v>112</v>
      </c>
      <c r="Z115" s="94">
        <f t="shared" si="56"/>
        <v>112</v>
      </c>
      <c r="AA115" s="94">
        <f t="shared" si="56"/>
        <v>112</v>
      </c>
      <c r="AB115" s="94">
        <f t="shared" si="56"/>
        <v>96</v>
      </c>
      <c r="AC115" s="94">
        <f t="shared" si="56"/>
        <v>96</v>
      </c>
      <c r="AD115" s="94">
        <f t="shared" si="56"/>
        <v>96</v>
      </c>
      <c r="AE115" s="94">
        <f t="shared" si="56"/>
        <v>96</v>
      </c>
      <c r="AF115" s="94">
        <f t="shared" si="56"/>
        <v>96</v>
      </c>
      <c r="AG115" s="94">
        <f t="shared" si="56"/>
        <v>96</v>
      </c>
      <c r="AH115" s="94">
        <f t="shared" si="56"/>
        <v>96</v>
      </c>
      <c r="AI115" s="94">
        <f t="shared" si="56"/>
        <v>96</v>
      </c>
      <c r="AJ115" s="94">
        <f t="shared" si="56"/>
        <v>96</v>
      </c>
      <c r="AK115" s="94">
        <f t="shared" si="56"/>
        <v>80</v>
      </c>
      <c r="AL115" s="94">
        <f t="shared" si="56"/>
        <v>80</v>
      </c>
      <c r="AM115" s="94">
        <f t="shared" si="56"/>
        <v>80</v>
      </c>
      <c r="AN115" s="94">
        <f t="shared" si="56"/>
        <v>80</v>
      </c>
      <c r="AO115" s="95">
        <f t="shared" si="56"/>
        <v>80</v>
      </c>
      <c r="AP115" s="64"/>
      <c r="AS115" s="38"/>
      <c r="AT115" s="39"/>
      <c r="BG115" s="37"/>
    </row>
    <row r="116" spans="20:59">
      <c r="T116" s="64"/>
      <c r="U116" s="302">
        <v>0</v>
      </c>
      <c r="V116" s="51">
        <v>5500</v>
      </c>
      <c r="W116" s="94">
        <f t="shared" ref="W116:AO116" si="57">ROUND((72-W42)/0.6,0)</f>
        <v>112</v>
      </c>
      <c r="X116" s="94">
        <f t="shared" si="57"/>
        <v>112</v>
      </c>
      <c r="Y116" s="94">
        <f t="shared" si="57"/>
        <v>112</v>
      </c>
      <c r="Z116" s="94">
        <f t="shared" si="57"/>
        <v>112</v>
      </c>
      <c r="AA116" s="94">
        <f t="shared" si="57"/>
        <v>112</v>
      </c>
      <c r="AB116" s="94">
        <f t="shared" si="57"/>
        <v>104</v>
      </c>
      <c r="AC116" s="94">
        <f t="shared" si="57"/>
        <v>104</v>
      </c>
      <c r="AD116" s="94">
        <f t="shared" si="57"/>
        <v>104</v>
      </c>
      <c r="AE116" s="94">
        <f t="shared" si="57"/>
        <v>104</v>
      </c>
      <c r="AF116" s="94">
        <f t="shared" si="57"/>
        <v>104</v>
      </c>
      <c r="AG116" s="94">
        <f t="shared" si="57"/>
        <v>104</v>
      </c>
      <c r="AH116" s="94">
        <f t="shared" si="57"/>
        <v>104</v>
      </c>
      <c r="AI116" s="94">
        <f t="shared" si="57"/>
        <v>104</v>
      </c>
      <c r="AJ116" s="94">
        <f t="shared" si="57"/>
        <v>96</v>
      </c>
      <c r="AK116" s="94">
        <f t="shared" si="57"/>
        <v>88</v>
      </c>
      <c r="AL116" s="94">
        <f t="shared" si="57"/>
        <v>88</v>
      </c>
      <c r="AM116" s="94">
        <f t="shared" si="57"/>
        <v>88</v>
      </c>
      <c r="AN116" s="94">
        <f t="shared" si="57"/>
        <v>88</v>
      </c>
      <c r="AO116" s="95">
        <f t="shared" si="57"/>
        <v>88</v>
      </c>
      <c r="AP116" s="64"/>
      <c r="AS116" s="38"/>
      <c r="AT116" s="39"/>
      <c r="BG116" s="37"/>
    </row>
    <row r="117" spans="20:59">
      <c r="T117" s="64"/>
      <c r="U117" s="302">
        <v>0</v>
      </c>
      <c r="V117" s="51">
        <v>6000</v>
      </c>
      <c r="W117" s="94">
        <f t="shared" ref="W117:AO117" si="58">ROUND((72-W43)/0.6,0)</f>
        <v>112</v>
      </c>
      <c r="X117" s="94">
        <f t="shared" si="58"/>
        <v>112</v>
      </c>
      <c r="Y117" s="94">
        <f t="shared" si="58"/>
        <v>112</v>
      </c>
      <c r="Z117" s="94">
        <f t="shared" si="58"/>
        <v>112</v>
      </c>
      <c r="AA117" s="94">
        <f t="shared" si="58"/>
        <v>112</v>
      </c>
      <c r="AB117" s="94">
        <f t="shared" si="58"/>
        <v>112</v>
      </c>
      <c r="AC117" s="94">
        <f t="shared" si="58"/>
        <v>112</v>
      </c>
      <c r="AD117" s="94">
        <f t="shared" si="58"/>
        <v>112</v>
      </c>
      <c r="AE117" s="94">
        <f t="shared" si="58"/>
        <v>112</v>
      </c>
      <c r="AF117" s="94">
        <f t="shared" si="58"/>
        <v>112</v>
      </c>
      <c r="AG117" s="94">
        <f t="shared" si="58"/>
        <v>104</v>
      </c>
      <c r="AH117" s="94">
        <f t="shared" si="58"/>
        <v>104</v>
      </c>
      <c r="AI117" s="94">
        <f t="shared" si="58"/>
        <v>104</v>
      </c>
      <c r="AJ117" s="94">
        <f t="shared" si="58"/>
        <v>104</v>
      </c>
      <c r="AK117" s="94">
        <f t="shared" si="58"/>
        <v>104</v>
      </c>
      <c r="AL117" s="94">
        <f t="shared" si="58"/>
        <v>104</v>
      </c>
      <c r="AM117" s="94">
        <f t="shared" si="58"/>
        <v>104</v>
      </c>
      <c r="AN117" s="94">
        <f t="shared" si="58"/>
        <v>104</v>
      </c>
      <c r="AO117" s="95">
        <f t="shared" si="58"/>
        <v>104</v>
      </c>
      <c r="AP117" s="64"/>
      <c r="AS117" s="38"/>
      <c r="AT117" s="39"/>
      <c r="BG117" s="37"/>
    </row>
    <row r="118" spans="20:59">
      <c r="T118" s="64"/>
      <c r="U118" s="302"/>
      <c r="V118" s="111">
        <v>6500</v>
      </c>
      <c r="W118" s="94">
        <f t="shared" ref="W118:AO118" si="59">ROUND((72-W44)/0.6,0)</f>
        <v>120</v>
      </c>
      <c r="X118" s="94">
        <f t="shared" si="59"/>
        <v>120</v>
      </c>
      <c r="Y118" s="94">
        <f t="shared" si="59"/>
        <v>120</v>
      </c>
      <c r="Z118" s="94">
        <f t="shared" si="59"/>
        <v>120</v>
      </c>
      <c r="AA118" s="94">
        <f t="shared" si="59"/>
        <v>120</v>
      </c>
      <c r="AB118" s="94">
        <f t="shared" si="59"/>
        <v>120</v>
      </c>
      <c r="AC118" s="94">
        <f t="shared" si="59"/>
        <v>120</v>
      </c>
      <c r="AD118" s="94">
        <f t="shared" si="59"/>
        <v>120</v>
      </c>
      <c r="AE118" s="94">
        <f t="shared" si="59"/>
        <v>120</v>
      </c>
      <c r="AF118" s="94">
        <f t="shared" si="59"/>
        <v>120</v>
      </c>
      <c r="AG118" s="94">
        <f t="shared" si="59"/>
        <v>120</v>
      </c>
      <c r="AH118" s="94">
        <f t="shared" si="59"/>
        <v>120</v>
      </c>
      <c r="AI118" s="94">
        <f t="shared" si="59"/>
        <v>120</v>
      </c>
      <c r="AJ118" s="94">
        <f t="shared" si="59"/>
        <v>120</v>
      </c>
      <c r="AK118" s="94">
        <f t="shared" si="59"/>
        <v>120</v>
      </c>
      <c r="AL118" s="94">
        <f t="shared" si="59"/>
        <v>120</v>
      </c>
      <c r="AM118" s="94">
        <f t="shared" si="59"/>
        <v>120</v>
      </c>
      <c r="AN118" s="94">
        <f t="shared" si="59"/>
        <v>120</v>
      </c>
      <c r="AO118" s="95">
        <f t="shared" si="59"/>
        <v>120</v>
      </c>
      <c r="AP118" s="64"/>
      <c r="AS118" s="38"/>
      <c r="AT118" s="39"/>
      <c r="BG118" s="37"/>
    </row>
    <row r="119" spans="20:59" ht="13.5" thickBot="1">
      <c r="T119" s="64"/>
      <c r="U119" s="303">
        <v>0</v>
      </c>
      <c r="V119" s="57">
        <v>7000</v>
      </c>
      <c r="W119" s="97">
        <f t="shared" ref="W119:AO119" si="60">ROUND((72-W45)/0.6,0)</f>
        <v>120</v>
      </c>
      <c r="X119" s="97">
        <f t="shared" si="60"/>
        <v>120</v>
      </c>
      <c r="Y119" s="97">
        <f t="shared" si="60"/>
        <v>120</v>
      </c>
      <c r="Z119" s="97">
        <f t="shared" si="60"/>
        <v>120</v>
      </c>
      <c r="AA119" s="97">
        <f t="shared" si="60"/>
        <v>120</v>
      </c>
      <c r="AB119" s="97">
        <f t="shared" si="60"/>
        <v>120</v>
      </c>
      <c r="AC119" s="97">
        <f t="shared" si="60"/>
        <v>120</v>
      </c>
      <c r="AD119" s="97">
        <f t="shared" si="60"/>
        <v>120</v>
      </c>
      <c r="AE119" s="97">
        <f t="shared" si="60"/>
        <v>120</v>
      </c>
      <c r="AF119" s="97">
        <f t="shared" si="60"/>
        <v>120</v>
      </c>
      <c r="AG119" s="97">
        <f t="shared" si="60"/>
        <v>120</v>
      </c>
      <c r="AH119" s="97">
        <f t="shared" si="60"/>
        <v>120</v>
      </c>
      <c r="AI119" s="97">
        <f t="shared" si="60"/>
        <v>120</v>
      </c>
      <c r="AJ119" s="97">
        <f t="shared" si="60"/>
        <v>120</v>
      </c>
      <c r="AK119" s="97">
        <f t="shared" si="60"/>
        <v>120</v>
      </c>
      <c r="AL119" s="97">
        <f t="shared" si="60"/>
        <v>120</v>
      </c>
      <c r="AM119" s="97">
        <f t="shared" si="60"/>
        <v>120</v>
      </c>
      <c r="AN119" s="97">
        <f t="shared" si="60"/>
        <v>120</v>
      </c>
      <c r="AO119" s="98">
        <f t="shared" si="60"/>
        <v>120</v>
      </c>
      <c r="AP119" s="64"/>
      <c r="AS119" s="38"/>
      <c r="AT119" s="39"/>
      <c r="BG119" s="37"/>
    </row>
    <row r="120" spans="20:59" ht="12" customHeight="1">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T120" s="37"/>
      <c r="AU120" s="37"/>
      <c r="AV120" s="37"/>
      <c r="AW120" s="37"/>
      <c r="AX120" s="37"/>
      <c r="AY120" s="37"/>
      <c r="AZ120" s="37"/>
      <c r="BA120" s="37"/>
      <c r="BB120" s="37"/>
      <c r="BC120" s="37"/>
      <c r="BD120" s="37"/>
      <c r="BE120" s="37"/>
      <c r="BF120" s="37"/>
      <c r="BG120" s="37"/>
    </row>
    <row r="121" spans="20:59" ht="12" customHeight="1">
      <c r="AT121" s="37"/>
      <c r="AU121" s="37"/>
      <c r="AV121" s="37"/>
      <c r="AW121" s="37"/>
      <c r="AX121" s="37"/>
      <c r="AY121" s="37"/>
      <c r="AZ121" s="37"/>
      <c r="BA121" s="37"/>
      <c r="BB121" s="37"/>
      <c r="BC121" s="37"/>
      <c r="BD121" s="37"/>
      <c r="BE121" s="37"/>
      <c r="BF121" s="37"/>
      <c r="BG121" s="37"/>
    </row>
  </sheetData>
  <mergeCells count="45">
    <mergeCell ref="BG12:BZ12"/>
    <mergeCell ref="AM23:AN23"/>
    <mergeCell ref="AM24:AN24"/>
    <mergeCell ref="W102:AO102"/>
    <mergeCell ref="W101:AO101"/>
    <mergeCell ref="T98:AP100"/>
    <mergeCell ref="U77:V79"/>
    <mergeCell ref="BG40:BZ40"/>
    <mergeCell ref="AG24:AH24"/>
    <mergeCell ref="AQ33:BE33"/>
    <mergeCell ref="W52:AO52"/>
    <mergeCell ref="W77:AO77"/>
    <mergeCell ref="W78:AO78"/>
    <mergeCell ref="U104:U119"/>
    <mergeCell ref="U1:V1"/>
    <mergeCell ref="T76:AP76"/>
    <mergeCell ref="U80:U95"/>
    <mergeCell ref="W53:AO53"/>
    <mergeCell ref="U26:AA26"/>
    <mergeCell ref="AD1:AE1"/>
    <mergeCell ref="AG23:AH23"/>
    <mergeCell ref="Z23:AA23"/>
    <mergeCell ref="W3:AO3"/>
    <mergeCell ref="U6:U21"/>
    <mergeCell ref="U2:V2"/>
    <mergeCell ref="AC23:AC24"/>
    <mergeCell ref="AD2:AE2"/>
    <mergeCell ref="AI23:AK23"/>
    <mergeCell ref="AI24:AK24"/>
    <mergeCell ref="AQ1:BE1"/>
    <mergeCell ref="U27:V29"/>
    <mergeCell ref="U52:V54"/>
    <mergeCell ref="U55:U70"/>
    <mergeCell ref="U30:U45"/>
    <mergeCell ref="W23:Y24"/>
    <mergeCell ref="Z1:AA1"/>
    <mergeCell ref="W28:AO28"/>
    <mergeCell ref="W27:AO27"/>
    <mergeCell ref="W1:Y1"/>
    <mergeCell ref="Z2:AA2"/>
    <mergeCell ref="Z24:AA24"/>
    <mergeCell ref="W2:Y2"/>
    <mergeCell ref="AB23:AB24"/>
    <mergeCell ref="U3:V5"/>
    <mergeCell ref="W4:AO4"/>
  </mergeCells>
  <phoneticPr fontId="1" type="noConversion"/>
  <conditionalFormatting sqref="W6:AO21">
    <cfRule type="cellIs" dxfId="9" priority="1" stopIfTrue="1" operator="greaterThan">
      <formula>W30*1.005</formula>
    </cfRule>
    <cfRule type="cellIs" dxfId="8" priority="2" stopIfTrue="1" operator="lessThan">
      <formula>W30*0.995</formula>
    </cfRule>
  </conditionalFormatting>
  <conditionalFormatting sqref="W30:AO45">
    <cfRule type="cellIs" dxfId="7" priority="3" stopIfTrue="1" operator="greaterThan">
      <formula>W55</formula>
    </cfRule>
    <cfRule type="cellIs" dxfId="6" priority="4" stopIfTrue="1" operator="lessThan">
      <formula>W55</formula>
    </cfRule>
  </conditionalFormatting>
  <conditionalFormatting sqref="BH14:BZ29 BH42:BZ57">
    <cfRule type="cellIs" dxfId="5" priority="5" stopIfTrue="1" operator="greaterThanOrEqual">
      <formula>0.0001</formula>
    </cfRule>
    <cfRule type="cellIs" dxfId="4" priority="6" stopIfTrue="1" operator="lessThanOrEqual">
      <formula>-0.0001</formula>
    </cfRule>
    <cfRule type="cellIs" dxfId="3" priority="7" stopIfTrue="1" operator="between">
      <formula>-0.0001</formula>
      <formula>0.0001</formula>
    </cfRule>
  </conditionalFormatting>
  <conditionalFormatting sqref="AA25">
    <cfRule type="cellIs" dxfId="2" priority="8" stopIfTrue="1" operator="lessThan">
      <formula>0</formula>
    </cfRule>
    <cfRule type="cellIs" dxfId="1" priority="9" stopIfTrue="1" operator="greaterThan">
      <formula>0</formula>
    </cfRule>
  </conditionalFormatting>
  <conditionalFormatting sqref="W80:AO95">
    <cfRule type="cellIs" dxfId="0" priority="10" stopIfTrue="1" operator="equal">
      <formula>1</formula>
    </cfRule>
  </conditionalFormatting>
  <printOptions horizontalCentered="1"/>
  <pageMargins left="0.3" right="0.3" top="1.5" bottom="0.3" header="0.5" footer="0.5"/>
  <pageSetup paperSize="17" scale="110" orientation="landscape" horizontalDpi="200" verticalDpi="200" r:id="rId1"/>
  <headerFooter alignWithMargins="0"/>
  <drawing r:id="rId2"/>
  <legacyDrawing r:id="rId3"/>
  <controls>
    <control shapeId="66571" r:id="rId4" name="SpinButton5"/>
    <control shapeId="66570" r:id="rId5" name="SpinButton4"/>
    <control shapeId="66569" r:id="rId6" name="SpinButton3"/>
    <control shapeId="66568" r:id="rId7" name="CheckBox1"/>
    <control shapeId="66567" r:id="rId8" name="SpinButton2"/>
    <control shapeId="66566" r:id="rId9" name="SpinButton1"/>
  </controls>
</worksheet>
</file>

<file path=xl/worksheets/sheet10.xml><?xml version="1.0" encoding="utf-8"?>
<worksheet xmlns="http://schemas.openxmlformats.org/spreadsheetml/2006/main" xmlns:r="http://schemas.openxmlformats.org/officeDocument/2006/relationships">
  <sheetPr codeName="Sheet5"/>
  <dimension ref="A1:B22"/>
  <sheetViews>
    <sheetView workbookViewId="0">
      <selection activeCell="D25" sqref="D25"/>
    </sheetView>
  </sheetViews>
  <sheetFormatPr defaultRowHeight="12.75"/>
  <sheetData>
    <row r="1" spans="1:2">
      <c r="A1" t="s">
        <v>62</v>
      </c>
      <c r="B1" t="s">
        <v>60</v>
      </c>
    </row>
    <row r="3" spans="1:2">
      <c r="A3" t="s">
        <v>59</v>
      </c>
      <c r="B3" t="s">
        <v>63</v>
      </c>
    </row>
    <row r="5" spans="1:2">
      <c r="A5" t="s">
        <v>61</v>
      </c>
      <c r="B5" t="s">
        <v>64</v>
      </c>
    </row>
    <row r="6" spans="1:2">
      <c r="B6" t="s">
        <v>65</v>
      </c>
    </row>
    <row r="7" spans="1:2">
      <c r="B7" t="s">
        <v>66</v>
      </c>
    </row>
    <row r="8" spans="1:2">
      <c r="B8" t="s">
        <v>67</v>
      </c>
    </row>
    <row r="9" spans="1:2">
      <c r="B9" t="s">
        <v>68</v>
      </c>
    </row>
    <row r="11" spans="1:2">
      <c r="A11" t="s">
        <v>69</v>
      </c>
      <c r="B11" t="s">
        <v>70</v>
      </c>
    </row>
    <row r="13" spans="1:2">
      <c r="A13" t="s">
        <v>71</v>
      </c>
      <c r="B13" t="s">
        <v>72</v>
      </c>
    </row>
    <row r="14" spans="1:2">
      <c r="B14" t="s">
        <v>73</v>
      </c>
    </row>
    <row r="16" spans="1:2">
      <c r="A16" t="s">
        <v>74</v>
      </c>
      <c r="B16" t="s">
        <v>75</v>
      </c>
    </row>
    <row r="18" spans="1:2">
      <c r="A18" t="s">
        <v>76</v>
      </c>
      <c r="B18" t="s">
        <v>78</v>
      </c>
    </row>
    <row r="19" spans="1:2">
      <c r="B19" t="s">
        <v>77</v>
      </c>
    </row>
    <row r="20" spans="1:2">
      <c r="B20" t="s">
        <v>79</v>
      </c>
    </row>
    <row r="22" spans="1:2">
      <c r="A22" s="264" t="s">
        <v>81</v>
      </c>
      <c r="B22" s="264" t="s">
        <v>80</v>
      </c>
    </row>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Timing -19 Cell</vt:lpstr>
      <vt:lpstr>Fuel - 18 Cell</vt:lpstr>
      <vt:lpstr>Timing - 21 Cell</vt:lpstr>
      <vt:lpstr>Fuel - 20 Cell</vt:lpstr>
      <vt:lpstr>Fuel - BIG MAP</vt:lpstr>
      <vt:lpstr>Timing - BIG MAP</vt:lpstr>
      <vt:lpstr>MIVEC - 20 Cell</vt:lpstr>
      <vt:lpstr>MIVEC - 19 Cell</vt:lpstr>
      <vt:lpstr>ChangeLog</vt:lpstr>
    </vt:vector>
  </TitlesOfParts>
  <Company>SUNY Buffalo</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Klemann</dc:creator>
  <cp:lastModifiedBy>Matthew</cp:lastModifiedBy>
  <cp:lastPrinted>2008-05-15T01:55:17Z</cp:lastPrinted>
  <dcterms:created xsi:type="dcterms:W3CDTF">2007-02-10T18:13:50Z</dcterms:created>
  <dcterms:modified xsi:type="dcterms:W3CDTF">2009-12-09T01:51:32Z</dcterms:modified>
</cp:coreProperties>
</file>